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updateLinks="never" codeName="ThisWorkbook" defaultThemeVersion="124226"/>
  <mc:AlternateContent xmlns:mc="http://schemas.openxmlformats.org/markup-compatibility/2006">
    <mc:Choice Requires="x15">
      <x15ac:absPath xmlns:x15ac="http://schemas.microsoft.com/office/spreadsheetml/2010/11/ac" url="E:\Anua_Geoflow\Geoflow Collateral\Design Sheets\"/>
    </mc:Choice>
  </mc:AlternateContent>
  <xr:revisionPtr revIDLastSave="0" documentId="13_ncr:1_{227E6EBC-1E4E-4FAF-BBED-635E5BC76BAF}" xr6:coauthVersionLast="47" xr6:coauthVersionMax="47" xr10:uidLastSave="{00000000-0000-0000-0000-000000000000}"/>
  <bookViews>
    <workbookView xWindow="-110" yWindow="-110" windowWidth="19420" windowHeight="10420" tabRatio="747" xr2:uid="{00000000-000D-0000-FFFF-FFFF00000000}"/>
  </bookViews>
  <sheets>
    <sheet name="Cover Page" sheetId="25" r:id="rId1"/>
    <sheet name="Step 1 - Design Inputs" sheetId="28" r:id="rId2"/>
    <sheet name="System Layout" sheetId="26" r:id="rId3"/>
    <sheet name="Step 3 - Zone TDH" sheetId="18" r:id="rId4"/>
    <sheet name="Pump Data" sheetId="27" state="hidden" r:id="rId5"/>
    <sheet name="Pipe Data .5&quot; to 24&quot;" sheetId="8" state="hidden" r:id="rId6"/>
    <sheet name="Drip Tube Data" sheetId="19" state="hidden" r:id="rId7"/>
    <sheet name="Drip Tube Loss Calculator" sheetId="23" state="hidden" r:id="rId8"/>
    <sheet name="Headworks Data" sheetId="21" state="hidden" r:id="rId9"/>
    <sheet name="Zone Valves Data" sheetId="22" state="hidden" r:id="rId10"/>
    <sheet name="Pipe Data" sheetId="24" state="hidden" r:id="rId11"/>
  </sheets>
  <externalReferences>
    <externalReference r:id="rId1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28" l="1"/>
  <c r="A15" i="28"/>
  <c r="A31" i="28" l="1"/>
  <c r="E28" i="28"/>
  <c r="F28" i="28" s="1"/>
  <c r="A10" i="28"/>
  <c r="A14" i="28" s="1"/>
  <c r="A26" i="28" s="1"/>
  <c r="A32" i="28" l="1"/>
  <c r="F31" i="28"/>
  <c r="A25" i="28"/>
  <c r="A11" i="28"/>
  <c r="A33" i="28"/>
  <c r="A38" i="28" s="1"/>
  <c r="B50" i="28" s="1"/>
  <c r="A16" i="28"/>
  <c r="A17" i="28" s="1"/>
  <c r="A19" i="28" s="1"/>
  <c r="A20" i="28" l="1"/>
  <c r="A22" i="28"/>
  <c r="A46" i="28"/>
  <c r="A34" i="28"/>
  <c r="A39" i="28" l="1"/>
  <c r="A43" i="28"/>
  <c r="A44" i="28"/>
  <c r="A45" i="28" s="1"/>
  <c r="A47" i="28" s="1"/>
  <c r="A35" i="28"/>
  <c r="A41" i="28" l="1"/>
  <c r="D41" i="28" s="1"/>
  <c r="A40" i="28"/>
  <c r="A42" i="28" s="1"/>
  <c r="D42" i="28" s="1"/>
  <c r="C45" i="18" l="1"/>
  <c r="D45" i="18"/>
  <c r="E45" i="18"/>
  <c r="F45" i="18"/>
  <c r="G45" i="18"/>
  <c r="H45" i="18"/>
  <c r="I45" i="18"/>
  <c r="B45" i="18"/>
  <c r="E44" i="18"/>
  <c r="C44" i="18"/>
  <c r="D44" i="18"/>
  <c r="B44" i="18"/>
  <c r="I54" i="27"/>
  <c r="I55" i="27" s="1"/>
  <c r="I56" i="27" s="1"/>
  <c r="I49" i="27"/>
  <c r="I50" i="27" s="1"/>
  <c r="I51" i="27" s="1"/>
  <c r="I52" i="27" s="1"/>
  <c r="I44" i="27"/>
  <c r="I45" i="27" s="1"/>
  <c r="I46" i="27" s="1"/>
  <c r="I47" i="27" s="1"/>
  <c r="I39" i="27"/>
  <c r="I40" i="27" s="1"/>
  <c r="I41" i="27" s="1"/>
  <c r="I42" i="27" s="1"/>
  <c r="I34" i="27"/>
  <c r="I35" i="27" s="1"/>
  <c r="I36" i="27" s="1"/>
  <c r="I37" i="27" s="1"/>
  <c r="I29" i="27"/>
  <c r="I30" i="27" s="1"/>
  <c r="I31" i="27" s="1"/>
  <c r="I32" i="27" s="1"/>
  <c r="I24" i="27"/>
  <c r="I25" i="27" s="1"/>
  <c r="I26" i="27" s="1"/>
  <c r="I27" i="27" s="1"/>
  <c r="H54" i="27"/>
  <c r="H55" i="27" s="1"/>
  <c r="H56" i="27" s="1"/>
  <c r="H49" i="27"/>
  <c r="H50" i="27" s="1"/>
  <c r="H51" i="27" s="1"/>
  <c r="H52" i="27" s="1"/>
  <c r="H44" i="27"/>
  <c r="H45" i="27" s="1"/>
  <c r="H46" i="27" s="1"/>
  <c r="H47" i="27" s="1"/>
  <c r="H39" i="27"/>
  <c r="H40" i="27" s="1"/>
  <c r="H41" i="27" s="1"/>
  <c r="H42" i="27" s="1"/>
  <c r="H34" i="27"/>
  <c r="H35" i="27" s="1"/>
  <c r="H36" i="27" s="1"/>
  <c r="H37" i="27" s="1"/>
  <c r="H29" i="27"/>
  <c r="H30" i="27" s="1"/>
  <c r="H31" i="27" s="1"/>
  <c r="H32" i="27" s="1"/>
  <c r="H24" i="27"/>
  <c r="H25" i="27" s="1"/>
  <c r="H26" i="27" s="1"/>
  <c r="H27" i="27" s="1"/>
  <c r="G49" i="27"/>
  <c r="G44" i="27"/>
  <c r="G45" i="27" s="1"/>
  <c r="G46" i="27" s="1"/>
  <c r="G47" i="27" s="1"/>
  <c r="G39" i="27"/>
  <c r="G40" i="27" s="1"/>
  <c r="G41" i="27" s="1"/>
  <c r="G42" i="27" s="1"/>
  <c r="G34" i="27"/>
  <c r="G35" i="27" s="1"/>
  <c r="G36" i="27" s="1"/>
  <c r="G37" i="27" s="1"/>
  <c r="G29" i="27"/>
  <c r="G30" i="27" s="1"/>
  <c r="G31" i="27" s="1"/>
  <c r="G32" i="27" s="1"/>
  <c r="G24" i="27"/>
  <c r="G25" i="27" s="1"/>
  <c r="G26" i="27" s="1"/>
  <c r="G27" i="27" s="1"/>
  <c r="F49" i="27"/>
  <c r="F44" i="27"/>
  <c r="F45" i="27" s="1"/>
  <c r="F46" i="27" s="1"/>
  <c r="F47" i="27" s="1"/>
  <c r="F39" i="27"/>
  <c r="F40" i="27" s="1"/>
  <c r="F41" i="27" s="1"/>
  <c r="F42" i="27" s="1"/>
  <c r="F34" i="27"/>
  <c r="F35" i="27" s="1"/>
  <c r="F36" i="27" s="1"/>
  <c r="F37" i="27" s="1"/>
  <c r="F29" i="27"/>
  <c r="F30" i="27" s="1"/>
  <c r="F31" i="27" s="1"/>
  <c r="F32" i="27" s="1"/>
  <c r="F24" i="27"/>
  <c r="F25" i="27" s="1"/>
  <c r="F26" i="27" s="1"/>
  <c r="F27" i="27" s="1"/>
  <c r="E36" i="27"/>
  <c r="E34" i="27"/>
  <c r="E32" i="27"/>
  <c r="E30" i="27"/>
  <c r="E28" i="27"/>
  <c r="E26" i="27"/>
  <c r="E24" i="27"/>
  <c r="D54" i="27"/>
  <c r="D55" i="27" s="1"/>
  <c r="D49" i="27"/>
  <c r="D50" i="27" s="1"/>
  <c r="D51" i="27" s="1"/>
  <c r="D52" i="27" s="1"/>
  <c r="D44" i="27"/>
  <c r="D45" i="27" s="1"/>
  <c r="D46" i="27" s="1"/>
  <c r="D47" i="27" s="1"/>
  <c r="D39" i="27"/>
  <c r="D40" i="27" s="1"/>
  <c r="D41" i="27" s="1"/>
  <c r="D42" i="27" s="1"/>
  <c r="D34" i="27"/>
  <c r="D35" i="27" s="1"/>
  <c r="D36" i="27" s="1"/>
  <c r="D37" i="27" s="1"/>
  <c r="D29" i="27"/>
  <c r="D30" i="27" s="1"/>
  <c r="D31" i="27" s="1"/>
  <c r="D32" i="27" s="1"/>
  <c r="D24" i="27"/>
  <c r="D25" i="27" s="1"/>
  <c r="D26" i="27" s="1"/>
  <c r="D27" i="27" s="1"/>
  <c r="N22" i="18" l="1"/>
  <c r="N20" i="18"/>
  <c r="N18" i="18"/>
  <c r="N16" i="18"/>
  <c r="N14" i="18"/>
  <c r="C15" i="23" l="1"/>
  <c r="C13" i="23" l="1"/>
  <c r="P26" i="23" s="1"/>
  <c r="C12" i="23"/>
  <c r="E29" i="19"/>
  <c r="C31" i="19"/>
  <c r="B29" i="19"/>
  <c r="C4" i="23"/>
  <c r="G13" i="24"/>
  <c r="F13" i="24"/>
  <c r="D13" i="24"/>
  <c r="G12" i="24"/>
  <c r="F12" i="24"/>
  <c r="D12" i="24"/>
  <c r="G11" i="24"/>
  <c r="F11" i="24"/>
  <c r="D11" i="24"/>
  <c r="G10" i="24"/>
  <c r="F10" i="24"/>
  <c r="D10" i="24"/>
  <c r="G9" i="24"/>
  <c r="F9" i="24"/>
  <c r="D9" i="24"/>
  <c r="G8" i="24"/>
  <c r="F8" i="24"/>
  <c r="D8" i="24"/>
  <c r="G7" i="24"/>
  <c r="F7" i="24"/>
  <c r="D7" i="24"/>
  <c r="G6" i="24"/>
  <c r="F6" i="24"/>
  <c r="D6" i="24"/>
  <c r="G5" i="24"/>
  <c r="F5" i="24"/>
  <c r="D5" i="24"/>
  <c r="G4" i="24"/>
  <c r="F4" i="24"/>
  <c r="D4" i="24"/>
  <c r="A1" i="24"/>
  <c r="E13" i="24" s="1"/>
  <c r="B26" i="23"/>
  <c r="C7" i="23"/>
  <c r="S38" i="22"/>
  <c r="S39" i="22" s="1"/>
  <c r="S40" i="22" s="1"/>
  <c r="S41" i="22" s="1"/>
  <c r="S42" i="22" s="1"/>
  <c r="S43" i="22" s="1"/>
  <c r="S44" i="22" s="1"/>
  <c r="S45" i="22" s="1"/>
  <c r="S46" i="22" s="1"/>
  <c r="S47" i="22" s="1"/>
  <c r="S48" i="22" s="1"/>
  <c r="S49" i="22" s="1"/>
  <c r="S50" i="22" s="1"/>
  <c r="S51" i="22" s="1"/>
  <c r="S52" i="22" s="1"/>
  <c r="S53" i="22" s="1"/>
  <c r="S54" i="22" s="1"/>
  <c r="S55" i="22" s="1"/>
  <c r="S56" i="22" s="1"/>
  <c r="S57" i="22" s="1"/>
  <c r="S58" i="22" s="1"/>
  <c r="S59" i="22" s="1"/>
  <c r="S60" i="22" s="1"/>
  <c r="S61" i="22" s="1"/>
  <c r="S62" i="22" s="1"/>
  <c r="S63" i="22" s="1"/>
  <c r="S64" i="22" s="1"/>
  <c r="S65" i="22" s="1"/>
  <c r="S66" i="22" s="1"/>
  <c r="S67" i="22" s="1"/>
  <c r="S68" i="22" s="1"/>
  <c r="S69" i="22" s="1"/>
  <c r="S70" i="22" s="1"/>
  <c r="S71" i="22" s="1"/>
  <c r="S72" i="22" s="1"/>
  <c r="S73" i="22" s="1"/>
  <c r="S74" i="22" s="1"/>
  <c r="S75" i="22" s="1"/>
  <c r="S76" i="22" s="1"/>
  <c r="S77" i="22" s="1"/>
  <c r="S78" i="22" s="1"/>
  <c r="S79" i="22" s="1"/>
  <c r="S80" i="22" s="1"/>
  <c r="S81" i="22" s="1"/>
  <c r="S82" i="22" s="1"/>
  <c r="S83" i="22" s="1"/>
  <c r="S84" i="22" s="1"/>
  <c r="S85" i="22" s="1"/>
  <c r="S86" i="22" s="1"/>
  <c r="S87" i="22" s="1"/>
  <c r="S88" i="22" s="1"/>
  <c r="S89" i="22" s="1"/>
  <c r="S90" i="22" s="1"/>
  <c r="S91" i="22" s="1"/>
  <c r="S92" i="22" s="1"/>
  <c r="S93" i="22" s="1"/>
  <c r="S94" i="22" s="1"/>
  <c r="S95" i="22" s="1"/>
  <c r="S96" i="22" s="1"/>
  <c r="S97" i="22" s="1"/>
  <c r="S98" i="22" s="1"/>
  <c r="S99" i="22" s="1"/>
  <c r="S100" i="22" s="1"/>
  <c r="S101" i="22" s="1"/>
  <c r="S102" i="22" s="1"/>
  <c r="S103" i="22" s="1"/>
  <c r="S104" i="22" s="1"/>
  <c r="S105" i="22" s="1"/>
  <c r="S106" i="22" s="1"/>
  <c r="S107" i="22" s="1"/>
  <c r="S108" i="22" s="1"/>
  <c r="S109" i="22" s="1"/>
  <c r="S110" i="22" s="1"/>
  <c r="S111" i="22" s="1"/>
  <c r="S112" i="22" s="1"/>
  <c r="S113" i="22" s="1"/>
  <c r="S114" i="22" s="1"/>
  <c r="S115" i="22" s="1"/>
  <c r="S116" i="22" s="1"/>
  <c r="S117" i="22" s="1"/>
  <c r="R38" i="22"/>
  <c r="R39" i="22" s="1"/>
  <c r="R40" i="22" s="1"/>
  <c r="R41" i="22" s="1"/>
  <c r="R42" i="22" s="1"/>
  <c r="R43" i="22" s="1"/>
  <c r="R44" i="22" s="1"/>
  <c r="R45" i="22" s="1"/>
  <c r="R46" i="22" s="1"/>
  <c r="R47" i="22" s="1"/>
  <c r="R48" i="22" s="1"/>
  <c r="R49" i="22" s="1"/>
  <c r="R50" i="22" s="1"/>
  <c r="R51" i="22" s="1"/>
  <c r="R52" i="22" s="1"/>
  <c r="R53" i="22" s="1"/>
  <c r="R54" i="22" s="1"/>
  <c r="R55" i="22" s="1"/>
  <c r="R56" i="22" s="1"/>
  <c r="R57" i="22" s="1"/>
  <c r="R58" i="22" s="1"/>
  <c r="R59" i="22" s="1"/>
  <c r="R60" i="22" s="1"/>
  <c r="R61" i="22" s="1"/>
  <c r="R62" i="22" s="1"/>
  <c r="R63" i="22" s="1"/>
  <c r="R64" i="22" s="1"/>
  <c r="R65" i="22" s="1"/>
  <c r="R66" i="22" s="1"/>
  <c r="R67" i="22" s="1"/>
  <c r="R68" i="22" s="1"/>
  <c r="R69" i="22" s="1"/>
  <c r="R70" i="22" s="1"/>
  <c r="R71" i="22" s="1"/>
  <c r="R72" i="22" s="1"/>
  <c r="R73" i="22" s="1"/>
  <c r="R74" i="22" s="1"/>
  <c r="R75" i="22" s="1"/>
  <c r="R76" i="22" s="1"/>
  <c r="R77" i="22" s="1"/>
  <c r="R78" i="22" s="1"/>
  <c r="R79" i="22" s="1"/>
  <c r="R80" i="22" s="1"/>
  <c r="R81" i="22" s="1"/>
  <c r="R82" i="22" s="1"/>
  <c r="R83" i="22" s="1"/>
  <c r="R84" i="22" s="1"/>
  <c r="R85" i="22" s="1"/>
  <c r="R86" i="22" s="1"/>
  <c r="R87" i="22" s="1"/>
  <c r="R88" i="22" s="1"/>
  <c r="R89" i="22" s="1"/>
  <c r="R90" i="22" s="1"/>
  <c r="R91" i="22" s="1"/>
  <c r="R92" i="22" s="1"/>
  <c r="R93" i="22" s="1"/>
  <c r="R94" i="22" s="1"/>
  <c r="R95" i="22" s="1"/>
  <c r="R96" i="22" s="1"/>
  <c r="R97" i="22" s="1"/>
  <c r="R98" i="22" s="1"/>
  <c r="R99" i="22" s="1"/>
  <c r="R100" i="22" s="1"/>
  <c r="R101" i="22" s="1"/>
  <c r="R102" i="22" s="1"/>
  <c r="R103" i="22" s="1"/>
  <c r="R104" i="22" s="1"/>
  <c r="R105" i="22" s="1"/>
  <c r="R106" i="22" s="1"/>
  <c r="R107" i="22" s="1"/>
  <c r="R108" i="22" s="1"/>
  <c r="R109" i="22" s="1"/>
  <c r="R110" i="22" s="1"/>
  <c r="R111" i="22" s="1"/>
  <c r="R112" i="22" s="1"/>
  <c r="R113" i="22" s="1"/>
  <c r="R114" i="22" s="1"/>
  <c r="R115" i="22" s="1"/>
  <c r="R116" i="22" s="1"/>
  <c r="R117" i="22" s="1"/>
  <c r="Q38" i="22"/>
  <c r="Q39" i="22" s="1"/>
  <c r="Q40" i="22" s="1"/>
  <c r="Q41" i="22" s="1"/>
  <c r="Q42" i="22" s="1"/>
  <c r="Q43" i="22" s="1"/>
  <c r="Q44" i="22" s="1"/>
  <c r="Q45" i="22" s="1"/>
  <c r="Q46" i="22" s="1"/>
  <c r="Q47" i="22" s="1"/>
  <c r="Q48" i="22" s="1"/>
  <c r="Q49" i="22" s="1"/>
  <c r="Q50" i="22" s="1"/>
  <c r="Q51" i="22" s="1"/>
  <c r="Q52" i="22" s="1"/>
  <c r="Q53" i="22" s="1"/>
  <c r="Q54" i="22" s="1"/>
  <c r="Q55" i="22" s="1"/>
  <c r="Q56" i="22" s="1"/>
  <c r="Q57" i="22" s="1"/>
  <c r="Q58" i="22" s="1"/>
  <c r="Q59" i="22" s="1"/>
  <c r="Q60" i="22" s="1"/>
  <c r="Q61" i="22" s="1"/>
  <c r="Q62" i="22" s="1"/>
  <c r="Q63" i="22" s="1"/>
  <c r="Q64" i="22" s="1"/>
  <c r="Q65" i="22" s="1"/>
  <c r="Q66" i="22" s="1"/>
  <c r="Q67" i="22" s="1"/>
  <c r="Q68" i="22" s="1"/>
  <c r="Q69" i="22" s="1"/>
  <c r="Q70" i="22" s="1"/>
  <c r="Q71" i="22" s="1"/>
  <c r="Q72" i="22" s="1"/>
  <c r="Q73" i="22" s="1"/>
  <c r="Q74" i="22" s="1"/>
  <c r="Q75" i="22" s="1"/>
  <c r="Q76" i="22" s="1"/>
  <c r="Q77" i="22" s="1"/>
  <c r="Q78" i="22" s="1"/>
  <c r="Q79" i="22" s="1"/>
  <c r="Q80" i="22" s="1"/>
  <c r="Q81" i="22" s="1"/>
  <c r="Q82" i="22" s="1"/>
  <c r="Q83" i="22" s="1"/>
  <c r="Q84" i="22" s="1"/>
  <c r="Q85" i="22" s="1"/>
  <c r="Q86" i="22" s="1"/>
  <c r="Q87" i="22" s="1"/>
  <c r="Q88" i="22" s="1"/>
  <c r="Q89" i="22" s="1"/>
  <c r="Q90" i="22" s="1"/>
  <c r="Q91" i="22" s="1"/>
  <c r="Q92" i="22" s="1"/>
  <c r="Q93" i="22" s="1"/>
  <c r="Q94" i="22" s="1"/>
  <c r="Q95" i="22" s="1"/>
  <c r="Q96" i="22" s="1"/>
  <c r="Q97" i="22" s="1"/>
  <c r="Q98" i="22" s="1"/>
  <c r="Q99" i="22" s="1"/>
  <c r="Q100" i="22" s="1"/>
  <c r="Q101" i="22" s="1"/>
  <c r="Q102" i="22" s="1"/>
  <c r="Q103" i="22" s="1"/>
  <c r="Q104" i="22" s="1"/>
  <c r="Q105" i="22" s="1"/>
  <c r="Q106" i="22" s="1"/>
  <c r="Q107" i="22" s="1"/>
  <c r="Q108" i="22" s="1"/>
  <c r="Q109" i="22" s="1"/>
  <c r="Q110" i="22" s="1"/>
  <c r="Q111" i="22" s="1"/>
  <c r="Q112" i="22" s="1"/>
  <c r="Q113" i="22" s="1"/>
  <c r="Q114" i="22" s="1"/>
  <c r="Q115" i="22" s="1"/>
  <c r="Q116" i="22" s="1"/>
  <c r="Q117" i="22" s="1"/>
  <c r="P38" i="22"/>
  <c r="P39" i="22" s="1"/>
  <c r="P40" i="22" s="1"/>
  <c r="P41" i="22" s="1"/>
  <c r="P42" i="22" s="1"/>
  <c r="P43" i="22" s="1"/>
  <c r="P44" i="22" s="1"/>
  <c r="P45" i="22" s="1"/>
  <c r="P46" i="22" s="1"/>
  <c r="P47" i="22" s="1"/>
  <c r="P48" i="22" s="1"/>
  <c r="P49" i="22" s="1"/>
  <c r="P50" i="22" s="1"/>
  <c r="P51" i="22" s="1"/>
  <c r="P52" i="22" s="1"/>
  <c r="P53" i="22" s="1"/>
  <c r="P54" i="22" s="1"/>
  <c r="P55" i="22" s="1"/>
  <c r="P56" i="22" s="1"/>
  <c r="P57" i="22" s="1"/>
  <c r="P58" i="22" s="1"/>
  <c r="P59" i="22" s="1"/>
  <c r="P60" i="22" s="1"/>
  <c r="P61" i="22" s="1"/>
  <c r="P62" i="22" s="1"/>
  <c r="P63" i="22" s="1"/>
  <c r="P64" i="22" s="1"/>
  <c r="P65" i="22" s="1"/>
  <c r="P66" i="22" s="1"/>
  <c r="P67" i="22" s="1"/>
  <c r="P68" i="22" s="1"/>
  <c r="P69" i="22" s="1"/>
  <c r="P70" i="22" s="1"/>
  <c r="P71" i="22" s="1"/>
  <c r="P72" i="22" s="1"/>
  <c r="P73" i="22" s="1"/>
  <c r="P74" i="22" s="1"/>
  <c r="P75" i="22" s="1"/>
  <c r="P76" i="22" s="1"/>
  <c r="P77" i="22" s="1"/>
  <c r="P78" i="22" s="1"/>
  <c r="P79" i="22" s="1"/>
  <c r="P80" i="22" s="1"/>
  <c r="P81" i="22" s="1"/>
  <c r="P82" i="22" s="1"/>
  <c r="P83" i="22" s="1"/>
  <c r="P84" i="22" s="1"/>
  <c r="P85" i="22" s="1"/>
  <c r="P86" i="22" s="1"/>
  <c r="P87" i="22" s="1"/>
  <c r="P88" i="22" s="1"/>
  <c r="P89" i="22" s="1"/>
  <c r="P90" i="22" s="1"/>
  <c r="P91" i="22" s="1"/>
  <c r="P92" i="22" s="1"/>
  <c r="P93" i="22" s="1"/>
  <c r="P94" i="22" s="1"/>
  <c r="P95" i="22" s="1"/>
  <c r="P96" i="22" s="1"/>
  <c r="P97" i="22" s="1"/>
  <c r="P98" i="22" s="1"/>
  <c r="P99" i="22" s="1"/>
  <c r="P100" i="22" s="1"/>
  <c r="P101" i="22" s="1"/>
  <c r="P102" i="22" s="1"/>
  <c r="P103" i="22" s="1"/>
  <c r="P104" i="22" s="1"/>
  <c r="P105" i="22" s="1"/>
  <c r="P106" i="22" s="1"/>
  <c r="P107" i="22" s="1"/>
  <c r="P108" i="22" s="1"/>
  <c r="P109" i="22" s="1"/>
  <c r="P110" i="22" s="1"/>
  <c r="P111" i="22" s="1"/>
  <c r="P112" i="22" s="1"/>
  <c r="P113" i="22" s="1"/>
  <c r="P114" i="22" s="1"/>
  <c r="P115" i="22" s="1"/>
  <c r="P116" i="22" s="1"/>
  <c r="P117" i="22" s="1"/>
  <c r="O38" i="22"/>
  <c r="O39" i="22" s="1"/>
  <c r="O40" i="22" s="1"/>
  <c r="O41" i="22" s="1"/>
  <c r="O42" i="22" s="1"/>
  <c r="O43" i="22" s="1"/>
  <c r="O44" i="22" s="1"/>
  <c r="O45" i="22" s="1"/>
  <c r="O46" i="22" s="1"/>
  <c r="O47" i="22" s="1"/>
  <c r="O48" i="22" s="1"/>
  <c r="O49" i="22" s="1"/>
  <c r="O50" i="22" s="1"/>
  <c r="O51" i="22" s="1"/>
  <c r="O52" i="22" s="1"/>
  <c r="O53" i="22" s="1"/>
  <c r="O54" i="22" s="1"/>
  <c r="O55" i="22" s="1"/>
  <c r="O56" i="22" s="1"/>
  <c r="O57" i="22" s="1"/>
  <c r="O58" i="22" s="1"/>
  <c r="O59" i="22" s="1"/>
  <c r="O60" i="22" s="1"/>
  <c r="O61" i="22" s="1"/>
  <c r="O62" i="22" s="1"/>
  <c r="O63" i="22" s="1"/>
  <c r="O64" i="22" s="1"/>
  <c r="O65" i="22" s="1"/>
  <c r="O66" i="22" s="1"/>
  <c r="O67" i="22" s="1"/>
  <c r="O68" i="22" s="1"/>
  <c r="O69" i="22" s="1"/>
  <c r="O70" i="22" s="1"/>
  <c r="O71" i="22" s="1"/>
  <c r="O72" i="22" s="1"/>
  <c r="O73" i="22" s="1"/>
  <c r="O74" i="22" s="1"/>
  <c r="O75" i="22" s="1"/>
  <c r="O76" i="22" s="1"/>
  <c r="O77" i="22" s="1"/>
  <c r="O78" i="22" s="1"/>
  <c r="O79" i="22" s="1"/>
  <c r="O80" i="22" s="1"/>
  <c r="O81" i="22" s="1"/>
  <c r="O82" i="22" s="1"/>
  <c r="O83" i="22" s="1"/>
  <c r="O84" i="22" s="1"/>
  <c r="O85" i="22" s="1"/>
  <c r="O86" i="22" s="1"/>
  <c r="O87" i="22" s="1"/>
  <c r="O88" i="22" s="1"/>
  <c r="O89" i="22" s="1"/>
  <c r="O90" i="22" s="1"/>
  <c r="O91" i="22" s="1"/>
  <c r="O92" i="22" s="1"/>
  <c r="O93" i="22" s="1"/>
  <c r="O94" i="22" s="1"/>
  <c r="O95" i="22" s="1"/>
  <c r="O96" i="22" s="1"/>
  <c r="O97" i="22" s="1"/>
  <c r="O98" i="22" s="1"/>
  <c r="O99" i="22" s="1"/>
  <c r="O100" i="22" s="1"/>
  <c r="O101" i="22" s="1"/>
  <c r="O102" i="22" s="1"/>
  <c r="O103" i="22" s="1"/>
  <c r="O104" i="22" s="1"/>
  <c r="O105" i="22" s="1"/>
  <c r="O106" i="22" s="1"/>
  <c r="O107" i="22" s="1"/>
  <c r="O108" i="22" s="1"/>
  <c r="O109" i="22" s="1"/>
  <c r="O110" i="22" s="1"/>
  <c r="O111" i="22" s="1"/>
  <c r="O112" i="22" s="1"/>
  <c r="O113" i="22" s="1"/>
  <c r="O114" i="22" s="1"/>
  <c r="O115" i="22" s="1"/>
  <c r="O116" i="22" s="1"/>
  <c r="O117" i="22" s="1"/>
  <c r="N38" i="22"/>
  <c r="N39" i="22" s="1"/>
  <c r="N40" i="22" s="1"/>
  <c r="N41" i="22" s="1"/>
  <c r="N42" i="22" s="1"/>
  <c r="N43" i="22" s="1"/>
  <c r="N44" i="22" s="1"/>
  <c r="N45" i="22" s="1"/>
  <c r="N46" i="22" s="1"/>
  <c r="N47" i="22" s="1"/>
  <c r="N48" i="22" s="1"/>
  <c r="N49" i="22" s="1"/>
  <c r="N50" i="22" s="1"/>
  <c r="N51" i="22" s="1"/>
  <c r="N52" i="22" s="1"/>
  <c r="N53" i="22" s="1"/>
  <c r="N54" i="22" s="1"/>
  <c r="N55" i="22" s="1"/>
  <c r="N56" i="22" s="1"/>
  <c r="N57" i="22" s="1"/>
  <c r="N58" i="22" s="1"/>
  <c r="N59" i="22" s="1"/>
  <c r="N60" i="22" s="1"/>
  <c r="N61" i="22" s="1"/>
  <c r="N62" i="22" s="1"/>
  <c r="N63" i="22" s="1"/>
  <c r="N64" i="22" s="1"/>
  <c r="N65" i="22" s="1"/>
  <c r="N66" i="22" s="1"/>
  <c r="N67" i="22" s="1"/>
  <c r="N68" i="22" s="1"/>
  <c r="N69" i="22" s="1"/>
  <c r="N70" i="22" s="1"/>
  <c r="N71" i="22" s="1"/>
  <c r="N72" i="22" s="1"/>
  <c r="N73" i="22" s="1"/>
  <c r="N74" i="22" s="1"/>
  <c r="N75" i="22" s="1"/>
  <c r="N76" i="22" s="1"/>
  <c r="N77" i="22" s="1"/>
  <c r="N78" i="22" s="1"/>
  <c r="N79" i="22" s="1"/>
  <c r="N80" i="22" s="1"/>
  <c r="N81" i="22" s="1"/>
  <c r="N82" i="22" s="1"/>
  <c r="N83" i="22" s="1"/>
  <c r="N84" i="22" s="1"/>
  <c r="N85" i="22" s="1"/>
  <c r="N86" i="22" s="1"/>
  <c r="N87" i="22" s="1"/>
  <c r="N88" i="22" s="1"/>
  <c r="N89" i="22" s="1"/>
  <c r="N90" i="22" s="1"/>
  <c r="N91" i="22" s="1"/>
  <c r="N92" i="22" s="1"/>
  <c r="N93" i="22" s="1"/>
  <c r="N94" i="22" s="1"/>
  <c r="N95" i="22" s="1"/>
  <c r="N96" i="22" s="1"/>
  <c r="N97" i="22" s="1"/>
  <c r="N98" i="22" s="1"/>
  <c r="N99" i="22" s="1"/>
  <c r="N100" i="22" s="1"/>
  <c r="N101" i="22" s="1"/>
  <c r="N102" i="22" s="1"/>
  <c r="N103" i="22" s="1"/>
  <c r="N104" i="22" s="1"/>
  <c r="N105" i="22" s="1"/>
  <c r="N106" i="22" s="1"/>
  <c r="N107" i="22" s="1"/>
  <c r="N108" i="22" s="1"/>
  <c r="N109" i="22" s="1"/>
  <c r="N110" i="22" s="1"/>
  <c r="N111" i="22" s="1"/>
  <c r="N112" i="22" s="1"/>
  <c r="N113" i="22" s="1"/>
  <c r="N114" i="22" s="1"/>
  <c r="N115" i="22" s="1"/>
  <c r="N116" i="22" s="1"/>
  <c r="N117" i="22" s="1"/>
  <c r="M38" i="22"/>
  <c r="M39" i="22" s="1"/>
  <c r="M40" i="22" s="1"/>
  <c r="M41" i="22" s="1"/>
  <c r="M42" i="22" s="1"/>
  <c r="M43" i="22" s="1"/>
  <c r="M44" i="22" s="1"/>
  <c r="M45" i="22" s="1"/>
  <c r="M46" i="22" s="1"/>
  <c r="M47" i="22" s="1"/>
  <c r="M48" i="22" s="1"/>
  <c r="M49" i="22" s="1"/>
  <c r="M50" i="22" s="1"/>
  <c r="M51" i="22" s="1"/>
  <c r="M52" i="22" s="1"/>
  <c r="M53" i="22" s="1"/>
  <c r="M54" i="22" s="1"/>
  <c r="M55" i="22" s="1"/>
  <c r="M56" i="22" s="1"/>
  <c r="M57" i="22" s="1"/>
  <c r="M58" i="22" s="1"/>
  <c r="M59" i="22" s="1"/>
  <c r="M60" i="22" s="1"/>
  <c r="M61" i="22" s="1"/>
  <c r="M62" i="22" s="1"/>
  <c r="M63" i="22" s="1"/>
  <c r="M64" i="22" s="1"/>
  <c r="M65" i="22" s="1"/>
  <c r="M66" i="22" s="1"/>
  <c r="M67" i="22" s="1"/>
  <c r="M68" i="22" s="1"/>
  <c r="M69" i="22" s="1"/>
  <c r="M70" i="22" s="1"/>
  <c r="M71" i="22" s="1"/>
  <c r="M72" i="22" s="1"/>
  <c r="M73" i="22" s="1"/>
  <c r="M74" i="22" s="1"/>
  <c r="M75" i="22" s="1"/>
  <c r="M76" i="22" s="1"/>
  <c r="M77" i="22" s="1"/>
  <c r="M78" i="22" s="1"/>
  <c r="M79" i="22" s="1"/>
  <c r="M80" i="22" s="1"/>
  <c r="M81" i="22" s="1"/>
  <c r="M82" i="22" s="1"/>
  <c r="M83" i="22" s="1"/>
  <c r="M84" i="22" s="1"/>
  <c r="M85" i="22" s="1"/>
  <c r="M86" i="22" s="1"/>
  <c r="M87" i="22" s="1"/>
  <c r="M88" i="22" s="1"/>
  <c r="M89" i="22" s="1"/>
  <c r="M90" i="22" s="1"/>
  <c r="M91" i="22" s="1"/>
  <c r="M92" i="22" s="1"/>
  <c r="M93" i="22" s="1"/>
  <c r="M94" i="22" s="1"/>
  <c r="M95" i="22" s="1"/>
  <c r="M96" i="22" s="1"/>
  <c r="M97" i="22" s="1"/>
  <c r="M98" i="22" s="1"/>
  <c r="M99" i="22" s="1"/>
  <c r="M100" i="22" s="1"/>
  <c r="M101" i="22" s="1"/>
  <c r="M102" i="22" s="1"/>
  <c r="M103" i="22" s="1"/>
  <c r="M104" i="22" s="1"/>
  <c r="M105" i="22" s="1"/>
  <c r="M106" i="22" s="1"/>
  <c r="M107" i="22" s="1"/>
  <c r="M108" i="22" s="1"/>
  <c r="M109" i="22" s="1"/>
  <c r="M110" i="22" s="1"/>
  <c r="M111" i="22" s="1"/>
  <c r="M112" i="22" s="1"/>
  <c r="M113" i="22" s="1"/>
  <c r="M114" i="22" s="1"/>
  <c r="M115" i="22" s="1"/>
  <c r="M116" i="22" s="1"/>
  <c r="M117" i="22" s="1"/>
  <c r="L38" i="22"/>
  <c r="L39" i="22" s="1"/>
  <c r="L40" i="22" s="1"/>
  <c r="L41" i="22" s="1"/>
  <c r="L42" i="22" s="1"/>
  <c r="L43" i="22" s="1"/>
  <c r="L44" i="22" s="1"/>
  <c r="L45" i="22" s="1"/>
  <c r="L46" i="22" s="1"/>
  <c r="L47" i="22" s="1"/>
  <c r="L48" i="22" s="1"/>
  <c r="L49" i="22" s="1"/>
  <c r="L50" i="22" s="1"/>
  <c r="L51" i="22" s="1"/>
  <c r="L52" i="22" s="1"/>
  <c r="L53" i="22" s="1"/>
  <c r="L54" i="22" s="1"/>
  <c r="L55" i="22" s="1"/>
  <c r="L56" i="22" s="1"/>
  <c r="L57" i="22" s="1"/>
  <c r="L58" i="22" s="1"/>
  <c r="L59" i="22" s="1"/>
  <c r="L60" i="22" s="1"/>
  <c r="L61" i="22" s="1"/>
  <c r="L62" i="22" s="1"/>
  <c r="L63" i="22" s="1"/>
  <c r="L64" i="22" s="1"/>
  <c r="L65" i="22" s="1"/>
  <c r="L66" i="22" s="1"/>
  <c r="L67" i="22" s="1"/>
  <c r="L68" i="22" s="1"/>
  <c r="L69" i="22" s="1"/>
  <c r="L70" i="22" s="1"/>
  <c r="L71" i="22" s="1"/>
  <c r="L72" i="22" s="1"/>
  <c r="L73" i="22" s="1"/>
  <c r="L74" i="22" s="1"/>
  <c r="L75" i="22" s="1"/>
  <c r="L76" i="22" s="1"/>
  <c r="L77" i="22" s="1"/>
  <c r="L78" i="22" s="1"/>
  <c r="L79" i="22" s="1"/>
  <c r="L80" i="22" s="1"/>
  <c r="L81" i="22" s="1"/>
  <c r="L82" i="22" s="1"/>
  <c r="L83" i="22" s="1"/>
  <c r="L84" i="22" s="1"/>
  <c r="L85" i="22" s="1"/>
  <c r="L86" i="22" s="1"/>
  <c r="L87" i="22" s="1"/>
  <c r="L88" i="22" s="1"/>
  <c r="L89" i="22" s="1"/>
  <c r="L90" i="22" s="1"/>
  <c r="L91" i="22" s="1"/>
  <c r="L92" i="22" s="1"/>
  <c r="L93" i="22" s="1"/>
  <c r="L94" i="22" s="1"/>
  <c r="L95" i="22" s="1"/>
  <c r="L96" i="22" s="1"/>
  <c r="L97" i="22" s="1"/>
  <c r="L98" i="22" s="1"/>
  <c r="L99" i="22" s="1"/>
  <c r="L100" i="22" s="1"/>
  <c r="L101" i="22" s="1"/>
  <c r="L102" i="22" s="1"/>
  <c r="L103" i="22" s="1"/>
  <c r="L104" i="22" s="1"/>
  <c r="L105" i="22" s="1"/>
  <c r="L106" i="22" s="1"/>
  <c r="L107" i="22" s="1"/>
  <c r="L108" i="22" s="1"/>
  <c r="L109" i="22" s="1"/>
  <c r="L110" i="22" s="1"/>
  <c r="L111" i="22" s="1"/>
  <c r="L112" i="22" s="1"/>
  <c r="L113" i="22" s="1"/>
  <c r="L114" i="22" s="1"/>
  <c r="L115" i="22" s="1"/>
  <c r="L116" i="22" s="1"/>
  <c r="L117" i="22" s="1"/>
  <c r="U33" i="22"/>
  <c r="U34" i="22" s="1"/>
  <c r="U35" i="22" s="1"/>
  <c r="U36" i="22" s="1"/>
  <c r="U37" i="22" s="1"/>
  <c r="U38" i="22" s="1"/>
  <c r="U39" i="22" s="1"/>
  <c r="U40" i="22" s="1"/>
  <c r="U41" i="22" s="1"/>
  <c r="U42" i="22" s="1"/>
  <c r="U43" i="22" s="1"/>
  <c r="U44" i="22" s="1"/>
  <c r="U45" i="22" s="1"/>
  <c r="U46" i="22" s="1"/>
  <c r="U47" i="22" s="1"/>
  <c r="U48" i="22" s="1"/>
  <c r="U49" i="22" s="1"/>
  <c r="U50" i="22" s="1"/>
  <c r="U51" i="22" s="1"/>
  <c r="U52" i="22" s="1"/>
  <c r="U53" i="22" s="1"/>
  <c r="U54" i="22" s="1"/>
  <c r="U55" i="22" s="1"/>
  <c r="U56" i="22" s="1"/>
  <c r="U57" i="22" s="1"/>
  <c r="U58" i="22" s="1"/>
  <c r="U59" i="22" s="1"/>
  <c r="U60" i="22" s="1"/>
  <c r="U61" i="22" s="1"/>
  <c r="U62" i="22" s="1"/>
  <c r="U63" i="22" s="1"/>
  <c r="U64" i="22" s="1"/>
  <c r="U65" i="22" s="1"/>
  <c r="U66" i="22" s="1"/>
  <c r="U67" i="22" s="1"/>
  <c r="U68" i="22" s="1"/>
  <c r="U69" i="22" s="1"/>
  <c r="U70" i="22" s="1"/>
  <c r="U71" i="22" s="1"/>
  <c r="U72" i="22" s="1"/>
  <c r="U73" i="22" s="1"/>
  <c r="U74" i="22" s="1"/>
  <c r="U75" i="22" s="1"/>
  <c r="U76" i="22" s="1"/>
  <c r="U77" i="22" s="1"/>
  <c r="U78" i="22" s="1"/>
  <c r="U79" i="22" s="1"/>
  <c r="U80" i="22" s="1"/>
  <c r="U81" i="22" s="1"/>
  <c r="U82" i="22" s="1"/>
  <c r="U83" i="22" s="1"/>
  <c r="U84" i="22" s="1"/>
  <c r="U85" i="22" s="1"/>
  <c r="U86" i="22" s="1"/>
  <c r="U87" i="22" s="1"/>
  <c r="U88" i="22" s="1"/>
  <c r="U89" i="22" s="1"/>
  <c r="U90" i="22" s="1"/>
  <c r="U91" i="22" s="1"/>
  <c r="U92" i="22" s="1"/>
  <c r="U93" i="22" s="1"/>
  <c r="U94" i="22" s="1"/>
  <c r="U95" i="22" s="1"/>
  <c r="U96" i="22" s="1"/>
  <c r="U97" i="22" s="1"/>
  <c r="U98" i="22" s="1"/>
  <c r="U99" i="22" s="1"/>
  <c r="U100" i="22" s="1"/>
  <c r="U101" i="22" s="1"/>
  <c r="U102" i="22" s="1"/>
  <c r="U103" i="22" s="1"/>
  <c r="U104" i="22" s="1"/>
  <c r="U105" i="22" s="1"/>
  <c r="U106" i="22" s="1"/>
  <c r="U107" i="22" s="1"/>
  <c r="U108" i="22" s="1"/>
  <c r="U109" i="22" s="1"/>
  <c r="U110" i="22" s="1"/>
  <c r="U111" i="22" s="1"/>
  <c r="U112" i="22" s="1"/>
  <c r="U113" i="22" s="1"/>
  <c r="U114" i="22" s="1"/>
  <c r="U115" i="22" s="1"/>
  <c r="U116" i="22" s="1"/>
  <c r="U117" i="22" s="1"/>
  <c r="U118" i="22" s="1"/>
  <c r="U119" i="22" s="1"/>
  <c r="U120" i="22" s="1"/>
  <c r="U121" i="22" s="1"/>
  <c r="U122" i="22" s="1"/>
  <c r="U123" i="22" s="1"/>
  <c r="U124" i="22" s="1"/>
  <c r="U125" i="22" s="1"/>
  <c r="U126" i="22" s="1"/>
  <c r="U127" i="22" s="1"/>
  <c r="U128" i="22" s="1"/>
  <c r="U129" i="22" s="1"/>
  <c r="U130" i="22" s="1"/>
  <c r="U131" i="22" s="1"/>
  <c r="U132" i="22" s="1"/>
  <c r="U133" i="22" s="1"/>
  <c r="U134" i="22" s="1"/>
  <c r="U135" i="22" s="1"/>
  <c r="U136" i="22" s="1"/>
  <c r="U137" i="22" s="1"/>
  <c r="U138" i="22" s="1"/>
  <c r="U139" i="22" s="1"/>
  <c r="U140" i="22" s="1"/>
  <c r="U141" i="22" s="1"/>
  <c r="U142" i="22" s="1"/>
  <c r="U143" i="22" s="1"/>
  <c r="U144" i="22" s="1"/>
  <c r="U145" i="22" s="1"/>
  <c r="U146" i="22" s="1"/>
  <c r="U147" i="22" s="1"/>
  <c r="U148" i="22" s="1"/>
  <c r="U149" i="22" s="1"/>
  <c r="U150" i="22" s="1"/>
  <c r="U151" i="22" s="1"/>
  <c r="U152" i="22" s="1"/>
  <c r="U153" i="22" s="1"/>
  <c r="U154" i="22" s="1"/>
  <c r="U155" i="22" s="1"/>
  <c r="U156" i="22" s="1"/>
  <c r="U157" i="22" s="1"/>
  <c r="U158" i="22" s="1"/>
  <c r="U159" i="22" s="1"/>
  <c r="U160" i="22" s="1"/>
  <c r="U161" i="22" s="1"/>
  <c r="U162" i="22" s="1"/>
  <c r="U163" i="22" s="1"/>
  <c r="U164" i="22" s="1"/>
  <c r="U165" i="22" s="1"/>
  <c r="U166" i="22" s="1"/>
  <c r="U167" i="22" s="1"/>
  <c r="U168" i="22" s="1"/>
  <c r="U169" i="22" s="1"/>
  <c r="U170" i="22" s="1"/>
  <c r="U171" i="22" s="1"/>
  <c r="U172" i="22" s="1"/>
  <c r="U173" i="22" s="1"/>
  <c r="U174" i="22" s="1"/>
  <c r="U175" i="22" s="1"/>
  <c r="U176" i="22" s="1"/>
  <c r="U177" i="22" s="1"/>
  <c r="U178" i="22" s="1"/>
  <c r="U179" i="22" s="1"/>
  <c r="U180" i="22" s="1"/>
  <c r="U181" i="22" s="1"/>
  <c r="U182" i="22" s="1"/>
  <c r="U183" i="22" s="1"/>
  <c r="U184" i="22" s="1"/>
  <c r="U185" i="22" s="1"/>
  <c r="U186" i="22" s="1"/>
  <c r="U187" i="22" s="1"/>
  <c r="U188" i="22" s="1"/>
  <c r="U189" i="22" s="1"/>
  <c r="U190" i="22" s="1"/>
  <c r="U191" i="22" s="1"/>
  <c r="U192" i="22" s="1"/>
  <c r="U193" i="22" s="1"/>
  <c r="U194" i="22" s="1"/>
  <c r="U195" i="22" s="1"/>
  <c r="U196" i="22" s="1"/>
  <c r="U197" i="22" s="1"/>
  <c r="T28" i="22"/>
  <c r="T29" i="22" s="1"/>
  <c r="T30" i="22" s="1"/>
  <c r="T31" i="22" s="1"/>
  <c r="T32" i="22" s="1"/>
  <c r="T33" i="22" s="1"/>
  <c r="T34" i="22" s="1"/>
  <c r="T35" i="22" s="1"/>
  <c r="T36" i="22" s="1"/>
  <c r="T37" i="22" s="1"/>
  <c r="T38" i="22" s="1"/>
  <c r="T39" i="22" s="1"/>
  <c r="T40" i="22" s="1"/>
  <c r="T41" i="22" s="1"/>
  <c r="T42" i="22" s="1"/>
  <c r="T43" i="22" s="1"/>
  <c r="T44" i="22" s="1"/>
  <c r="T45" i="22" s="1"/>
  <c r="T46" i="22" s="1"/>
  <c r="T47" i="22" s="1"/>
  <c r="T48" i="22" s="1"/>
  <c r="T49" i="22" s="1"/>
  <c r="T50" i="22" s="1"/>
  <c r="T51" i="22" s="1"/>
  <c r="T52" i="22" s="1"/>
  <c r="T53" i="22" s="1"/>
  <c r="T54" i="22" s="1"/>
  <c r="T55" i="22" s="1"/>
  <c r="T56" i="22" s="1"/>
  <c r="T57" i="22" s="1"/>
  <c r="T58" i="22" s="1"/>
  <c r="T59" i="22" s="1"/>
  <c r="T60" i="22" s="1"/>
  <c r="T61" i="22" s="1"/>
  <c r="T62" i="22" s="1"/>
  <c r="T63" i="22" s="1"/>
  <c r="T64" i="22" s="1"/>
  <c r="T65" i="22" s="1"/>
  <c r="T66" i="22" s="1"/>
  <c r="T67" i="22" s="1"/>
  <c r="T68" i="22" s="1"/>
  <c r="T69" i="22" s="1"/>
  <c r="T70" i="22" s="1"/>
  <c r="T71" i="22" s="1"/>
  <c r="T72" i="22" s="1"/>
  <c r="T73" i="22" s="1"/>
  <c r="T74" i="22" s="1"/>
  <c r="T75" i="22" s="1"/>
  <c r="T76" i="22" s="1"/>
  <c r="T77" i="22" s="1"/>
  <c r="K28" i="22"/>
  <c r="K29" i="22" s="1"/>
  <c r="K30" i="22" s="1"/>
  <c r="K31" i="22" s="1"/>
  <c r="K32" i="22" s="1"/>
  <c r="K33" i="22" s="1"/>
  <c r="K34" i="22" s="1"/>
  <c r="K35" i="22" s="1"/>
  <c r="K36" i="22" s="1"/>
  <c r="K37" i="22" s="1"/>
  <c r="K38" i="22" s="1"/>
  <c r="K39" i="22" s="1"/>
  <c r="K40" i="22" s="1"/>
  <c r="K41" i="22" s="1"/>
  <c r="K42" i="22" s="1"/>
  <c r="K43" i="22" s="1"/>
  <c r="K44" i="22" s="1"/>
  <c r="K45" i="22" s="1"/>
  <c r="K46" i="22" s="1"/>
  <c r="K47" i="22" s="1"/>
  <c r="J28" i="22"/>
  <c r="J29" i="22" s="1"/>
  <c r="J30" i="22" s="1"/>
  <c r="I28" i="22"/>
  <c r="I29" i="22" s="1"/>
  <c r="I30" i="22" s="1"/>
  <c r="H28" i="22"/>
  <c r="H29" i="22" s="1"/>
  <c r="H30" i="22" s="1"/>
  <c r="H31" i="22" s="1"/>
  <c r="H32" i="22" s="1"/>
  <c r="H33" i="22" s="1"/>
  <c r="H34" i="22" s="1"/>
  <c r="H35" i="22" s="1"/>
  <c r="H36" i="22" s="1"/>
  <c r="H37" i="22" s="1"/>
  <c r="H38" i="22" s="1"/>
  <c r="H39" i="22" s="1"/>
  <c r="H40" i="22" s="1"/>
  <c r="H41" i="22" s="1"/>
  <c r="H42" i="22" s="1"/>
  <c r="H43" i="22" s="1"/>
  <c r="H44" i="22" s="1"/>
  <c r="H45" i="22" s="1"/>
  <c r="H46" i="22" s="1"/>
  <c r="H47" i="22" s="1"/>
  <c r="G28" i="22"/>
  <c r="G29" i="22" s="1"/>
  <c r="G30" i="22" s="1"/>
  <c r="G31" i="22" s="1"/>
  <c r="G32" i="22" s="1"/>
  <c r="G33" i="22" s="1"/>
  <c r="G34" i="22" s="1"/>
  <c r="G35" i="22" s="1"/>
  <c r="G36" i="22" s="1"/>
  <c r="G37" i="22" s="1"/>
  <c r="G38" i="22" s="1"/>
  <c r="G39" i="22" s="1"/>
  <c r="G40" i="22" s="1"/>
  <c r="G41" i="22" s="1"/>
  <c r="G42" i="22" s="1"/>
  <c r="G43" i="22" s="1"/>
  <c r="G44" i="22" s="1"/>
  <c r="G45" i="22" s="1"/>
  <c r="G46" i="22" s="1"/>
  <c r="G47" i="22" s="1"/>
  <c r="D28" i="22"/>
  <c r="E28" i="22" s="1"/>
  <c r="F28" i="22" s="1"/>
  <c r="E27" i="22"/>
  <c r="F27" i="22" s="1"/>
  <c r="E26" i="22"/>
  <c r="F26" i="22" s="1"/>
  <c r="E25" i="22"/>
  <c r="F25" i="22" s="1"/>
  <c r="E24" i="22"/>
  <c r="F24" i="22" s="1"/>
  <c r="E23" i="22"/>
  <c r="F23" i="22" s="1"/>
  <c r="B4" i="22"/>
  <c r="R14" i="22" s="1"/>
  <c r="B3" i="22"/>
  <c r="B2" i="22"/>
  <c r="B32" i="21"/>
  <c r="B33" i="21" s="1"/>
  <c r="D31" i="21"/>
  <c r="G31" i="21" s="1"/>
  <c r="D30" i="21"/>
  <c r="G30" i="21" s="1"/>
  <c r="D29" i="21"/>
  <c r="G29" i="21" s="1"/>
  <c r="D28" i="21"/>
  <c r="G28" i="21" s="1"/>
  <c r="D27" i="21"/>
  <c r="G27" i="21" s="1"/>
  <c r="D26" i="21"/>
  <c r="G26" i="21" s="1"/>
  <c r="D25" i="21"/>
  <c r="G25" i="21" s="1"/>
  <c r="D24" i="21"/>
  <c r="G24" i="21" s="1"/>
  <c r="D23" i="21"/>
  <c r="G23" i="21" s="1"/>
  <c r="D22" i="21"/>
  <c r="G22" i="21" s="1"/>
  <c r="E13" i="21"/>
  <c r="E12" i="21"/>
  <c r="E11" i="21"/>
  <c r="E10" i="21"/>
  <c r="E9" i="21"/>
  <c r="E8" i="21"/>
  <c r="A5" i="21"/>
  <c r="F18" i="21" s="1"/>
  <c r="A4" i="21"/>
  <c r="E17" i="21" s="1"/>
  <c r="A3" i="21"/>
  <c r="A2" i="21"/>
  <c r="J13" i="19"/>
  <c r="J12" i="19"/>
  <c r="J11" i="19"/>
  <c r="J10" i="19"/>
  <c r="J9" i="19"/>
  <c r="J8" i="19"/>
  <c r="J7" i="19"/>
  <c r="J6" i="19"/>
  <c r="J5" i="19"/>
  <c r="J4" i="19"/>
  <c r="M22" i="18"/>
  <c r="M20" i="18"/>
  <c r="M18" i="18"/>
  <c r="I17" i="18"/>
  <c r="M16" i="18"/>
  <c r="M14" i="18"/>
  <c r="A11" i="18"/>
  <c r="C30" i="19" s="1"/>
  <c r="K13" i="22" l="1"/>
  <c r="D29" i="22"/>
  <c r="D30" i="22" s="1"/>
  <c r="C29" i="19"/>
  <c r="E11" i="24"/>
  <c r="E7" i="24"/>
  <c r="M8" i="22"/>
  <c r="G13" i="22"/>
  <c r="H13" i="22"/>
  <c r="C14" i="22"/>
  <c r="C9" i="22" s="1"/>
  <c r="G14" i="22"/>
  <c r="H14" i="22"/>
  <c r="E10" i="24"/>
  <c r="B18" i="21"/>
  <c r="L8" i="22"/>
  <c r="E6" i="24"/>
  <c r="G18" i="21"/>
  <c r="F16" i="21"/>
  <c r="F17" i="21"/>
  <c r="C16" i="23"/>
  <c r="C18" i="23"/>
  <c r="C14" i="23"/>
  <c r="C11" i="23"/>
  <c r="C18" i="21"/>
  <c r="U14" i="22"/>
  <c r="D18" i="21"/>
  <c r="E18" i="21"/>
  <c r="G8" i="22"/>
  <c r="H8" i="22"/>
  <c r="C16" i="21"/>
  <c r="E16" i="21"/>
  <c r="F29" i="19"/>
  <c r="C5" i="23"/>
  <c r="Q26" i="23" s="1"/>
  <c r="E4" i="24"/>
  <c r="E8" i="24"/>
  <c r="E12" i="24"/>
  <c r="E5" i="24"/>
  <c r="E9" i="24"/>
  <c r="J31" i="22"/>
  <c r="J32" i="22" s="1"/>
  <c r="J33" i="22" s="1"/>
  <c r="J34" i="22" s="1"/>
  <c r="J35" i="22" s="1"/>
  <c r="J36" i="22" s="1"/>
  <c r="J37" i="22" s="1"/>
  <c r="J38" i="22" s="1"/>
  <c r="J39" i="22" s="1"/>
  <c r="J40" i="22" s="1"/>
  <c r="J41" i="22" s="1"/>
  <c r="J42" i="22" s="1"/>
  <c r="J43" i="22" s="1"/>
  <c r="J44" i="22" s="1"/>
  <c r="J45" i="22" s="1"/>
  <c r="J46" i="22" s="1"/>
  <c r="J47" i="22" s="1"/>
  <c r="J14" i="22"/>
  <c r="T14" i="22"/>
  <c r="I31" i="22"/>
  <c r="I32" i="22" s="1"/>
  <c r="I33" i="22" s="1"/>
  <c r="I34" i="22" s="1"/>
  <c r="I35" i="22" s="1"/>
  <c r="I36" i="22" s="1"/>
  <c r="I37" i="22" s="1"/>
  <c r="I38" i="22" s="1"/>
  <c r="I39" i="22" s="1"/>
  <c r="I40" i="22" s="1"/>
  <c r="I41" i="22" s="1"/>
  <c r="I42" i="22" s="1"/>
  <c r="I43" i="22" s="1"/>
  <c r="I44" i="22" s="1"/>
  <c r="I45" i="22" s="1"/>
  <c r="I46" i="22" s="1"/>
  <c r="I47" i="22" s="1"/>
  <c r="E29" i="22"/>
  <c r="F29" i="22" s="1"/>
  <c r="H9" i="22"/>
  <c r="N13" i="22"/>
  <c r="L14" i="22"/>
  <c r="K14" i="22"/>
  <c r="B5" i="22"/>
  <c r="M14" i="22"/>
  <c r="U13" i="22"/>
  <c r="K8" i="22"/>
  <c r="M13" i="22"/>
  <c r="O13" i="22"/>
  <c r="P13" i="22"/>
  <c r="N14" i="22"/>
  <c r="L13" i="22"/>
  <c r="K9" i="22"/>
  <c r="Q13" i="22"/>
  <c r="O14" i="22"/>
  <c r="R13" i="22"/>
  <c r="M9" i="22"/>
  <c r="S13" i="22"/>
  <c r="G9" i="22"/>
  <c r="L9" i="22"/>
  <c r="P14" i="22"/>
  <c r="Q14" i="22"/>
  <c r="C13" i="22"/>
  <c r="C8" i="22" s="1"/>
  <c r="T13" i="22"/>
  <c r="S14" i="22"/>
  <c r="D33" i="21"/>
  <c r="G33" i="21" s="1"/>
  <c r="B34" i="21"/>
  <c r="C17" i="21"/>
  <c r="D32" i="21"/>
  <c r="G32" i="21" s="1"/>
  <c r="G29" i="19"/>
  <c r="G30" i="19" s="1"/>
  <c r="D29" i="19"/>
  <c r="L15" i="18" l="1"/>
  <c r="J9" i="22"/>
  <c r="C32" i="19"/>
  <c r="E17" i="18" s="1"/>
  <c r="I13" i="22"/>
  <c r="N17" i="18"/>
  <c r="A34" i="18" s="1"/>
  <c r="I9" i="22"/>
  <c r="J8" i="22"/>
  <c r="I8" i="22"/>
  <c r="I14" i="22"/>
  <c r="E30" i="22"/>
  <c r="F30" i="22" s="1"/>
  <c r="D31" i="22"/>
  <c r="J13" i="22"/>
  <c r="C17" i="23"/>
  <c r="C19" i="23" s="1"/>
  <c r="C33" i="19"/>
  <c r="U778" i="23"/>
  <c r="U762" i="23"/>
  <c r="G744" i="23"/>
  <c r="U734" i="23"/>
  <c r="G728" i="23"/>
  <c r="U773" i="23"/>
  <c r="U757" i="23"/>
  <c r="U747" i="23"/>
  <c r="G741" i="23"/>
  <c r="U731" i="23"/>
  <c r="G725" i="23"/>
  <c r="U784" i="23"/>
  <c r="U768" i="23"/>
  <c r="U752" i="23"/>
  <c r="U744" i="23"/>
  <c r="G738" i="23"/>
  <c r="U764" i="23"/>
  <c r="U755" i="23"/>
  <c r="G718" i="23"/>
  <c r="U715" i="23"/>
  <c r="G709" i="23"/>
  <c r="U779" i="23"/>
  <c r="U770" i="23"/>
  <c r="U761" i="23"/>
  <c r="G746" i="23"/>
  <c r="U736" i="23"/>
  <c r="G735" i="23"/>
  <c r="G726" i="23"/>
  <c r="G724" i="23"/>
  <c r="U785" i="23"/>
  <c r="U776" i="23"/>
  <c r="U767" i="23"/>
  <c r="U741" i="23"/>
  <c r="U709" i="23"/>
  <c r="U782" i="23"/>
  <c r="G743" i="23"/>
  <c r="U777" i="23"/>
  <c r="U775" i="23"/>
  <c r="G747" i="23"/>
  <c r="G742" i="23"/>
  <c r="U737" i="23"/>
  <c r="G733" i="23"/>
  <c r="U724" i="23"/>
  <c r="U719" i="23"/>
  <c r="G703" i="23"/>
  <c r="U693" i="23"/>
  <c r="G687" i="23"/>
  <c r="U677" i="23"/>
  <c r="U718" i="23"/>
  <c r="U700" i="23"/>
  <c r="U769" i="23"/>
  <c r="U748" i="23"/>
  <c r="U733" i="23"/>
  <c r="U732" i="23"/>
  <c r="G723" i="23"/>
  <c r="U735" i="23"/>
  <c r="G722" i="23"/>
  <c r="G721" i="23"/>
  <c r="G715" i="23"/>
  <c r="G696" i="23"/>
  <c r="U686" i="23"/>
  <c r="G666" i="23"/>
  <c r="U656" i="23"/>
  <c r="G650" i="23"/>
  <c r="U640" i="23"/>
  <c r="U759" i="23"/>
  <c r="U726" i="23"/>
  <c r="G711" i="23"/>
  <c r="U704" i="23"/>
  <c r="U702" i="23"/>
  <c r="U696" i="23"/>
  <c r="G675" i="23"/>
  <c r="U765" i="23"/>
  <c r="G739" i="23"/>
  <c r="G720" i="23"/>
  <c r="G716" i="23"/>
  <c r="G698" i="23"/>
  <c r="U751" i="23"/>
  <c r="G734" i="23"/>
  <c r="U725" i="23"/>
  <c r="U711" i="23"/>
  <c r="G708" i="23"/>
  <c r="G701" i="23"/>
  <c r="U699" i="23"/>
  <c r="G690" i="23"/>
  <c r="U683" i="23"/>
  <c r="G677" i="23"/>
  <c r="U675" i="23"/>
  <c r="U670" i="23"/>
  <c r="U668" i="23"/>
  <c r="U659" i="23"/>
  <c r="U637" i="23"/>
  <c r="G631" i="23"/>
  <c r="U621" i="23"/>
  <c r="G615" i="23"/>
  <c r="U605" i="23"/>
  <c r="G599" i="23"/>
  <c r="U589" i="23"/>
  <c r="G583" i="23"/>
  <c r="G748" i="23"/>
  <c r="G740" i="23"/>
  <c r="G714" i="23"/>
  <c r="U710" i="23"/>
  <c r="G704" i="23"/>
  <c r="G692" i="23"/>
  <c r="U685" i="23"/>
  <c r="G674" i="23"/>
  <c r="U672" i="23"/>
  <c r="G667" i="23"/>
  <c r="G660" i="23"/>
  <c r="U650" i="23"/>
  <c r="G648" i="23"/>
  <c r="G638" i="23"/>
  <c r="U763" i="23"/>
  <c r="G712" i="23"/>
  <c r="G702" i="23"/>
  <c r="G700" i="23"/>
  <c r="U694" i="23"/>
  <c r="G691" i="23"/>
  <c r="G683" i="23"/>
  <c r="G669" i="23"/>
  <c r="G663" i="23"/>
  <c r="G645" i="23"/>
  <c r="U643" i="23"/>
  <c r="U638" i="23"/>
  <c r="U636" i="23"/>
  <c r="G628" i="23"/>
  <c r="U618" i="23"/>
  <c r="G616" i="23"/>
  <c r="U780" i="23"/>
  <c r="U745" i="23"/>
  <c r="U740" i="23"/>
  <c r="G727" i="23"/>
  <c r="G699" i="23"/>
  <c r="G682" i="23"/>
  <c r="U679" i="23"/>
  <c r="U648" i="23"/>
  <c r="U720" i="23"/>
  <c r="U760" i="23"/>
  <c r="U742" i="23"/>
  <c r="U738" i="23"/>
  <c r="G737" i="23"/>
  <c r="G730" i="23"/>
  <c r="U717" i="23"/>
  <c r="U690" i="23"/>
  <c r="U687" i="23"/>
  <c r="U681" i="23"/>
  <c r="G673" i="23"/>
  <c r="U662" i="23"/>
  <c r="G646" i="23"/>
  <c r="U630" i="23"/>
  <c r="G613" i="23"/>
  <c r="G611" i="23"/>
  <c r="U606" i="23"/>
  <c r="G604" i="23"/>
  <c r="U594" i="23"/>
  <c r="G592" i="23"/>
  <c r="U582" i="23"/>
  <c r="G577" i="23"/>
  <c r="U708" i="23"/>
  <c r="U692" i="23"/>
  <c r="U689" i="23"/>
  <c r="U688" i="23"/>
  <c r="U680" i="23"/>
  <c r="G672" i="23"/>
  <c r="G671" i="23"/>
  <c r="U667" i="23"/>
  <c r="U657" i="23"/>
  <c r="G655" i="23"/>
  <c r="G639" i="23"/>
  <c r="G634" i="23"/>
  <c r="U632" i="23"/>
  <c r="G619" i="23"/>
  <c r="G617" i="23"/>
  <c r="G609" i="23"/>
  <c r="U599" i="23"/>
  <c r="U774" i="23"/>
  <c r="G731" i="23"/>
  <c r="U705" i="23"/>
  <c r="G695" i="23"/>
  <c r="U691" i="23"/>
  <c r="G679" i="23"/>
  <c r="U664" i="23"/>
  <c r="U663" i="23"/>
  <c r="G643" i="23"/>
  <c r="G642" i="23"/>
  <c r="G637" i="23"/>
  <c r="U623" i="23"/>
  <c r="G622" i="23"/>
  <c r="U620" i="23"/>
  <c r="U613" i="23"/>
  <c r="U593" i="23"/>
  <c r="U591" i="23"/>
  <c r="U754" i="23"/>
  <c r="G729" i="23"/>
  <c r="U746" i="23"/>
  <c r="G719" i="23"/>
  <c r="U783" i="23"/>
  <c r="U749" i="23"/>
  <c r="U739" i="23"/>
  <c r="U722" i="23"/>
  <c r="G653" i="23"/>
  <c r="U633" i="23"/>
  <c r="U626" i="23"/>
  <c r="U619" i="23"/>
  <c r="G606" i="23"/>
  <c r="U604" i="23"/>
  <c r="G590" i="23"/>
  <c r="G588" i="23"/>
  <c r="G586" i="23"/>
  <c r="G578" i="23"/>
  <c r="U564" i="23"/>
  <c r="G558" i="23"/>
  <c r="U548" i="23"/>
  <c r="G542" i="23"/>
  <c r="U532" i="23"/>
  <c r="G526" i="23"/>
  <c r="U516" i="23"/>
  <c r="G510" i="23"/>
  <c r="U500" i="23"/>
  <c r="G494" i="23"/>
  <c r="U758" i="23"/>
  <c r="U728" i="23"/>
  <c r="G717" i="23"/>
  <c r="U712" i="23"/>
  <c r="U706" i="23"/>
  <c r="G652" i="23"/>
  <c r="U644" i="23"/>
  <c r="U629" i="23"/>
  <c r="G621" i="23"/>
  <c r="G618" i="23"/>
  <c r="U609" i="23"/>
  <c r="U580" i="23"/>
  <c r="G571" i="23"/>
  <c r="U561" i="23"/>
  <c r="G555" i="23"/>
  <c r="U545" i="23"/>
  <c r="G539" i="23"/>
  <c r="U529" i="23"/>
  <c r="G523" i="23"/>
  <c r="U513" i="23"/>
  <c r="G507" i="23"/>
  <c r="U497" i="23"/>
  <c r="G697" i="23"/>
  <c r="G693" i="23"/>
  <c r="U635" i="23"/>
  <c r="U634" i="23"/>
  <c r="U611" i="23"/>
  <c r="U603" i="23"/>
  <c r="G573" i="23"/>
  <c r="G713" i="23"/>
  <c r="U695" i="23"/>
  <c r="G680" i="23"/>
  <c r="U678" i="23"/>
  <c r="G676" i="23"/>
  <c r="U669" i="23"/>
  <c r="U639" i="23"/>
  <c r="G607" i="23"/>
  <c r="U596" i="23"/>
  <c r="G594" i="23"/>
  <c r="U586" i="23"/>
  <c r="U576" i="23"/>
  <c r="G568" i="23"/>
  <c r="G566" i="23"/>
  <c r="G564" i="23"/>
  <c r="U558" i="23"/>
  <c r="U556" i="23"/>
  <c r="U753" i="23"/>
  <c r="U698" i="23"/>
  <c r="G684" i="23"/>
  <c r="U674" i="23"/>
  <c r="U628" i="23"/>
  <c r="G620" i="23"/>
  <c r="U602" i="23"/>
  <c r="G694" i="23"/>
  <c r="U682" i="23"/>
  <c r="G668" i="23"/>
  <c r="G654" i="23"/>
  <c r="U649" i="23"/>
  <c r="G647" i="23"/>
  <c r="U641" i="23"/>
  <c r="U610" i="23"/>
  <c r="G589" i="23"/>
  <c r="G584" i="23"/>
  <c r="G575" i="23"/>
  <c r="U573" i="23"/>
  <c r="G570" i="23"/>
  <c r="U562" i="23"/>
  <c r="U560" i="23"/>
  <c r="G530" i="23"/>
  <c r="G528" i="23"/>
  <c r="U520" i="23"/>
  <c r="U518" i="23"/>
  <c r="U484" i="23"/>
  <c r="G478" i="23"/>
  <c r="U468" i="23"/>
  <c r="G462" i="23"/>
  <c r="U452" i="23"/>
  <c r="U743" i="23"/>
  <c r="G681" i="23"/>
  <c r="G661" i="23"/>
  <c r="U658" i="23"/>
  <c r="U642" i="23"/>
  <c r="U627" i="23"/>
  <c r="U625" i="23"/>
  <c r="U601" i="23"/>
  <c r="G598" i="23"/>
  <c r="U590" i="23"/>
  <c r="U578" i="23"/>
  <c r="G553" i="23"/>
  <c r="G551" i="23"/>
  <c r="U543" i="23"/>
  <c r="U541" i="23"/>
  <c r="G511" i="23"/>
  <c r="G509" i="23"/>
  <c r="U501" i="23"/>
  <c r="U499" i="23"/>
  <c r="G491" i="23"/>
  <c r="U481" i="23"/>
  <c r="G475" i="23"/>
  <c r="U465" i="23"/>
  <c r="G459" i="23"/>
  <c r="U449" i="23"/>
  <c r="U697" i="23"/>
  <c r="U665" i="23"/>
  <c r="U660" i="23"/>
  <c r="U655" i="23"/>
  <c r="G629" i="23"/>
  <c r="U612" i="23"/>
  <c r="G602" i="23"/>
  <c r="G591" i="23"/>
  <c r="U588" i="23"/>
  <c r="G585" i="23"/>
  <c r="G562" i="23"/>
  <c r="G557" i="23"/>
  <c r="U554" i="23"/>
  <c r="G540" i="23"/>
  <c r="U538" i="23"/>
  <c r="U524" i="23"/>
  <c r="U514" i="23"/>
  <c r="G506" i="23"/>
  <c r="U781" i="23"/>
  <c r="U771" i="23"/>
  <c r="U750" i="23"/>
  <c r="G745" i="23"/>
  <c r="G662" i="23"/>
  <c r="G659" i="23"/>
  <c r="G636" i="23"/>
  <c r="G633" i="23"/>
  <c r="U600" i="23"/>
  <c r="G576" i="23"/>
  <c r="G560" i="23"/>
  <c r="G547" i="23"/>
  <c r="G533" i="23"/>
  <c r="U531" i="23"/>
  <c r="U517" i="23"/>
  <c r="G499" i="23"/>
  <c r="G493" i="23"/>
  <c r="G463" i="23"/>
  <c r="G461" i="23"/>
  <c r="U453" i="23"/>
  <c r="U451" i="23"/>
  <c r="U447" i="23"/>
  <c r="G441" i="23"/>
  <c r="U431" i="23"/>
  <c r="G425" i="23"/>
  <c r="U415" i="23"/>
  <c r="G409" i="23"/>
  <c r="U714" i="23"/>
  <c r="U676" i="23"/>
  <c r="U653" i="23"/>
  <c r="U616" i="23"/>
  <c r="G603" i="23"/>
  <c r="U595" i="23"/>
  <c r="U553" i="23"/>
  <c r="G536" i="23"/>
  <c r="U534" i="23"/>
  <c r="G516" i="23"/>
  <c r="U510" i="23"/>
  <c r="G502" i="23"/>
  <c r="G488" i="23"/>
  <c r="G486" i="23"/>
  <c r="G484" i="23"/>
  <c r="U478" i="23"/>
  <c r="U476" i="23"/>
  <c r="U474" i="23"/>
  <c r="U444" i="23"/>
  <c r="G438" i="23"/>
  <c r="U721" i="23"/>
  <c r="U707" i="23"/>
  <c r="G705" i="23"/>
  <c r="U684" i="23"/>
  <c r="G657" i="23"/>
  <c r="G593" i="23"/>
  <c r="U583" i="23"/>
  <c r="G580" i="23"/>
  <c r="G579" i="23"/>
  <c r="U568" i="23"/>
  <c r="G556" i="23"/>
  <c r="G543" i="23"/>
  <c r="U527" i="23"/>
  <c r="G519" i="23"/>
  <c r="U503" i="23"/>
  <c r="G469" i="23"/>
  <c r="G467" i="23"/>
  <c r="G465" i="23"/>
  <c r="U459" i="23"/>
  <c r="U457" i="23"/>
  <c r="U455" i="23"/>
  <c r="U441" i="23"/>
  <c r="G435" i="23"/>
  <c r="U425" i="23"/>
  <c r="G419" i="23"/>
  <c r="U409" i="23"/>
  <c r="G403" i="23"/>
  <c r="U631" i="23"/>
  <c r="G626" i="23"/>
  <c r="U624" i="23"/>
  <c r="G587" i="23"/>
  <c r="U584" i="23"/>
  <c r="U570" i="23"/>
  <c r="U566" i="23"/>
  <c r="G546" i="23"/>
  <c r="U544" i="23"/>
  <c r="U530" i="23"/>
  <c r="G512" i="23"/>
  <c r="G498" i="23"/>
  <c r="U496" i="23"/>
  <c r="G495" i="23"/>
  <c r="U493" i="23"/>
  <c r="G490" i="23"/>
  <c r="U482" i="23"/>
  <c r="U480" i="23"/>
  <c r="G450" i="23"/>
  <c r="G448" i="23"/>
  <c r="U438" i="23"/>
  <c r="G432" i="23"/>
  <c r="U716" i="23"/>
  <c r="U703" i="23"/>
  <c r="G678" i="23"/>
  <c r="G569" i="23"/>
  <c r="U567" i="23"/>
  <c r="G550" i="23"/>
  <c r="U547" i="23"/>
  <c r="U546" i="23"/>
  <c r="G541" i="23"/>
  <c r="U519" i="23"/>
  <c r="U488" i="23"/>
  <c r="G476" i="23"/>
  <c r="G466" i="23"/>
  <c r="G456" i="23"/>
  <c r="U428" i="23"/>
  <c r="G417" i="23"/>
  <c r="G415" i="23"/>
  <c r="U407" i="23"/>
  <c r="U405" i="23"/>
  <c r="U396" i="23"/>
  <c r="U387" i="23"/>
  <c r="G381" i="23"/>
  <c r="U371" i="23"/>
  <c r="G365" i="23"/>
  <c r="U355" i="23"/>
  <c r="G349" i="23"/>
  <c r="G736" i="23"/>
  <c r="U647" i="23"/>
  <c r="U617" i="23"/>
  <c r="U598" i="23"/>
  <c r="G581" i="23"/>
  <c r="U528" i="23"/>
  <c r="G525" i="23"/>
  <c r="G524" i="23"/>
  <c r="U502" i="23"/>
  <c r="U489" i="23"/>
  <c r="U479" i="23"/>
  <c r="U469" i="23"/>
  <c r="G457" i="23"/>
  <c r="U445" i="23"/>
  <c r="U401" i="23"/>
  <c r="G399" i="23"/>
  <c r="G394" i="23"/>
  <c r="G707" i="23"/>
  <c r="U666" i="23"/>
  <c r="G640" i="23"/>
  <c r="U615" i="23"/>
  <c r="G595" i="23"/>
  <c r="U579" i="23"/>
  <c r="G534" i="23"/>
  <c r="U511" i="23"/>
  <c r="G508" i="23"/>
  <c r="U470" i="23"/>
  <c r="U460" i="23"/>
  <c r="U450" i="23"/>
  <c r="G444" i="23"/>
  <c r="G440" i="23"/>
  <c r="G436" i="23"/>
  <c r="U434" i="23"/>
  <c r="U430" i="23"/>
  <c r="G423" i="23"/>
  <c r="G421" i="23"/>
  <c r="U413" i="23"/>
  <c r="U411" i="23"/>
  <c r="U727" i="23"/>
  <c r="U661" i="23"/>
  <c r="U654" i="23"/>
  <c r="U651" i="23"/>
  <c r="U607" i="23"/>
  <c r="G600" i="23"/>
  <c r="U571" i="23"/>
  <c r="G563" i="23"/>
  <c r="G517" i="23"/>
  <c r="G483" i="23"/>
  <c r="G473" i="23"/>
  <c r="G404" i="23"/>
  <c r="G397" i="23"/>
  <c r="U394" i="23"/>
  <c r="G388" i="23"/>
  <c r="U378" i="23"/>
  <c r="G372" i="23"/>
  <c r="U362" i="23"/>
  <c r="G356" i="23"/>
  <c r="U346" i="23"/>
  <c r="G340" i="23"/>
  <c r="U330" i="23"/>
  <c r="G324" i="23"/>
  <c r="U314" i="23"/>
  <c r="G308" i="23"/>
  <c r="U298" i="23"/>
  <c r="G292" i="23"/>
  <c r="U282" i="23"/>
  <c r="G276" i="23"/>
  <c r="U266" i="23"/>
  <c r="G260" i="23"/>
  <c r="U250" i="23"/>
  <c r="U574" i="23"/>
  <c r="U540" i="23"/>
  <c r="U539" i="23"/>
  <c r="G535" i="23"/>
  <c r="U512" i="23"/>
  <c r="G496" i="23"/>
  <c r="G492" i="23"/>
  <c r="U486" i="23"/>
  <c r="G474" i="23"/>
  <c r="G464" i="23"/>
  <c r="G454" i="23"/>
  <c r="G429" i="23"/>
  <c r="G427" i="23"/>
  <c r="U419" i="23"/>
  <c r="U417" i="23"/>
  <c r="G406" i="23"/>
  <c r="U399" i="23"/>
  <c r="U391" i="23"/>
  <c r="G385" i="23"/>
  <c r="U375" i="23"/>
  <c r="G369" i="23"/>
  <c r="U359" i="23"/>
  <c r="G353" i="23"/>
  <c r="U343" i="23"/>
  <c r="G337" i="23"/>
  <c r="U327" i="23"/>
  <c r="G321" i="23"/>
  <c r="U311" i="23"/>
  <c r="G305" i="23"/>
  <c r="U295" i="23"/>
  <c r="G289" i="23"/>
  <c r="U279" i="23"/>
  <c r="G273" i="23"/>
  <c r="U263" i="23"/>
  <c r="G257" i="23"/>
  <c r="U756" i="23"/>
  <c r="G732" i="23"/>
  <c r="U701" i="23"/>
  <c r="G572" i="23"/>
  <c r="U563" i="23"/>
  <c r="G545" i="23"/>
  <c r="U535" i="23"/>
  <c r="U525" i="23"/>
  <c r="U515" i="23"/>
  <c r="G514" i="23"/>
  <c r="U505" i="23"/>
  <c r="G504" i="23"/>
  <c r="U473" i="23"/>
  <c r="G445" i="23"/>
  <c r="G398" i="23"/>
  <c r="G387" i="23"/>
  <c r="U377" i="23"/>
  <c r="G376" i="23"/>
  <c r="U366" i="23"/>
  <c r="G352" i="23"/>
  <c r="G328" i="23"/>
  <c r="G326" i="23"/>
  <c r="U318" i="23"/>
  <c r="U316" i="23"/>
  <c r="G286" i="23"/>
  <c r="G284" i="23"/>
  <c r="G282" i="23"/>
  <c r="U276" i="23"/>
  <c r="U274" i="23"/>
  <c r="U272" i="23"/>
  <c r="G241" i="23"/>
  <c r="U231" i="23"/>
  <c r="G225" i="23"/>
  <c r="U215" i="23"/>
  <c r="G209" i="23"/>
  <c r="U199" i="23"/>
  <c r="G193" i="23"/>
  <c r="U183" i="23"/>
  <c r="G177" i="23"/>
  <c r="U723" i="23"/>
  <c r="G612" i="23"/>
  <c r="G574" i="23"/>
  <c r="U569" i="23"/>
  <c r="G522" i="23"/>
  <c r="G472" i="23"/>
  <c r="G455" i="23"/>
  <c r="U403" i="23"/>
  <c r="U402" i="23"/>
  <c r="U393" i="23"/>
  <c r="G392" i="23"/>
  <c r="U382" i="23"/>
  <c r="G368" i="23"/>
  <c r="U358" i="23"/>
  <c r="G357" i="23"/>
  <c r="U341" i="23"/>
  <c r="U339" i="23"/>
  <c r="G309" i="23"/>
  <c r="G307" i="23"/>
  <c r="U299" i="23"/>
  <c r="U297" i="23"/>
  <c r="G267" i="23"/>
  <c r="G265" i="23"/>
  <c r="G263" i="23"/>
  <c r="U713" i="23"/>
  <c r="G656" i="23"/>
  <c r="U652" i="23"/>
  <c r="U645" i="23"/>
  <c r="G635" i="23"/>
  <c r="G624" i="23"/>
  <c r="U490" i="23"/>
  <c r="G480" i="23"/>
  <c r="G446" i="23"/>
  <c r="G439" i="23"/>
  <c r="G437" i="23"/>
  <c r="G384" i="23"/>
  <c r="U374" i="23"/>
  <c r="G373" i="23"/>
  <c r="U363" i="23"/>
  <c r="G334" i="23"/>
  <c r="G332" i="23"/>
  <c r="G330" i="23"/>
  <c r="U324" i="23"/>
  <c r="U322" i="23"/>
  <c r="U320" i="23"/>
  <c r="G290" i="23"/>
  <c r="G288" i="23"/>
  <c r="U730" i="23"/>
  <c r="U536" i="23"/>
  <c r="U526" i="23"/>
  <c r="G489" i="23"/>
  <c r="U461" i="23"/>
  <c r="G451" i="23"/>
  <c r="G430" i="23"/>
  <c r="G426" i="23"/>
  <c r="G395" i="23"/>
  <c r="U390" i="23"/>
  <c r="G389" i="23"/>
  <c r="U379" i="23"/>
  <c r="G354" i="23"/>
  <c r="U347" i="23"/>
  <c r="U345" i="23"/>
  <c r="G315" i="23"/>
  <c r="G313" i="23"/>
  <c r="G311" i="23"/>
  <c r="U305" i="23"/>
  <c r="U303" i="23"/>
  <c r="U301" i="23"/>
  <c r="U729" i="23"/>
  <c r="G706" i="23"/>
  <c r="G670" i="23"/>
  <c r="G623" i="23"/>
  <c r="G601" i="23"/>
  <c r="G561" i="23"/>
  <c r="G559" i="23"/>
  <c r="U551" i="23"/>
  <c r="G538" i="23"/>
  <c r="U494" i="23"/>
  <c r="G481" i="23"/>
  <c r="G460" i="23"/>
  <c r="G447" i="23"/>
  <c r="U442" i="23"/>
  <c r="U435" i="23"/>
  <c r="G431" i="23"/>
  <c r="G428" i="23"/>
  <c r="G424" i="23"/>
  <c r="G422" i="23"/>
  <c r="G420" i="23"/>
  <c r="G416" i="23"/>
  <c r="U400" i="23"/>
  <c r="G396" i="23"/>
  <c r="G370" i="23"/>
  <c r="G362" i="23"/>
  <c r="U360" i="23"/>
  <c r="U352" i="23"/>
  <c r="G338" i="23"/>
  <c r="G336" i="23"/>
  <c r="U328" i="23"/>
  <c r="U326" i="23"/>
  <c r="G296" i="23"/>
  <c r="G294" i="23"/>
  <c r="U286" i="23"/>
  <c r="U284" i="23"/>
  <c r="G254" i="23"/>
  <c r="G252" i="23"/>
  <c r="U247" i="23"/>
  <c r="G245" i="23"/>
  <c r="U235" i="23"/>
  <c r="G229" i="23"/>
  <c r="U219" i="23"/>
  <c r="G213" i="23"/>
  <c r="U203" i="23"/>
  <c r="G197" i="23"/>
  <c r="U187" i="23"/>
  <c r="G181" i="23"/>
  <c r="U772" i="23"/>
  <c r="G658" i="23"/>
  <c r="G608" i="23"/>
  <c r="U581" i="23"/>
  <c r="U577" i="23"/>
  <c r="G537" i="23"/>
  <c r="G515" i="23"/>
  <c r="U492" i="23"/>
  <c r="U463" i="23"/>
  <c r="G414" i="23"/>
  <c r="G407" i="23"/>
  <c r="G386" i="23"/>
  <c r="G351" i="23"/>
  <c r="G350" i="23"/>
  <c r="G346" i="23"/>
  <c r="G342" i="23"/>
  <c r="U307" i="23"/>
  <c r="U277" i="23"/>
  <c r="G255" i="23"/>
  <c r="G249" i="23"/>
  <c r="G244" i="23"/>
  <c r="U236" i="23"/>
  <c r="U234" i="23"/>
  <c r="G204" i="23"/>
  <c r="G202" i="23"/>
  <c r="U194" i="23"/>
  <c r="U192" i="23"/>
  <c r="G171" i="23"/>
  <c r="U161" i="23"/>
  <c r="G155" i="23"/>
  <c r="U145" i="23"/>
  <c r="G139" i="23"/>
  <c r="U129" i="23"/>
  <c r="G123" i="23"/>
  <c r="U113" i="23"/>
  <c r="G107" i="23"/>
  <c r="U97" i="23"/>
  <c r="G91" i="23"/>
  <c r="U81" i="23"/>
  <c r="G75" i="23"/>
  <c r="U65" i="23"/>
  <c r="G59" i="23"/>
  <c r="U49" i="23"/>
  <c r="G43" i="23"/>
  <c r="U33" i="23"/>
  <c r="G27" i="23"/>
  <c r="U110" i="23"/>
  <c r="U94" i="23"/>
  <c r="G88" i="23"/>
  <c r="U646" i="23"/>
  <c r="G596" i="23"/>
  <c r="G565" i="23"/>
  <c r="G554" i="23"/>
  <c r="G532" i="23"/>
  <c r="G513" i="23"/>
  <c r="U498" i="23"/>
  <c r="G458" i="23"/>
  <c r="U408" i="23"/>
  <c r="G400" i="23"/>
  <c r="G347" i="23"/>
  <c r="U312" i="23"/>
  <c r="U308" i="23"/>
  <c r="G258" i="23"/>
  <c r="U256" i="23"/>
  <c r="U238" i="23"/>
  <c r="G227" i="23"/>
  <c r="U217" i="23"/>
  <c r="G206" i="23"/>
  <c r="U196" i="23"/>
  <c r="G185" i="23"/>
  <c r="G183" i="23"/>
  <c r="U175" i="23"/>
  <c r="U173" i="23"/>
  <c r="G168" i="23"/>
  <c r="U158" i="23"/>
  <c r="G152" i="23"/>
  <c r="U142" i="23"/>
  <c r="G136" i="23"/>
  <c r="U126" i="23"/>
  <c r="G120" i="23"/>
  <c r="G104" i="23"/>
  <c r="U766" i="23"/>
  <c r="U673" i="23"/>
  <c r="G527" i="23"/>
  <c r="G471" i="23"/>
  <c r="G443" i="23"/>
  <c r="U418" i="23"/>
  <c r="G345" i="23"/>
  <c r="G341" i="23"/>
  <c r="U310" i="23"/>
  <c r="U306" i="23"/>
  <c r="U302" i="23"/>
  <c r="G281" i="23"/>
  <c r="U269" i="23"/>
  <c r="U264" i="23"/>
  <c r="G262" i="23"/>
  <c r="G246" i="23"/>
  <c r="U242" i="23"/>
  <c r="U240" i="23"/>
  <c r="G210" i="23"/>
  <c r="G208" i="23"/>
  <c r="U200" i="23"/>
  <c r="U198" i="23"/>
  <c r="G187" i="23"/>
  <c r="U177" i="23"/>
  <c r="U171" i="23"/>
  <c r="G165" i="23"/>
  <c r="U155" i="23"/>
  <c r="G149" i="23"/>
  <c r="U139" i="23"/>
  <c r="G529" i="23"/>
  <c r="U446" i="23"/>
  <c r="G433" i="23"/>
  <c r="G408" i="23"/>
  <c r="U398" i="23"/>
  <c r="G343" i="23"/>
  <c r="G339" i="23"/>
  <c r="G335" i="23"/>
  <c r="G331" i="23"/>
  <c r="U304" i="23"/>
  <c r="U300" i="23"/>
  <c r="U296" i="23"/>
  <c r="U292" i="23"/>
  <c r="G272" i="23"/>
  <c r="U259" i="23"/>
  <c r="U252" i="23"/>
  <c r="G251" i="23"/>
  <c r="U244" i="23"/>
  <c r="G233" i="23"/>
  <c r="G231" i="23"/>
  <c r="U223" i="23"/>
  <c r="U221" i="23"/>
  <c r="G191" i="23"/>
  <c r="G189" i="23"/>
  <c r="U181" i="23"/>
  <c r="U179" i="23"/>
  <c r="U168" i="23"/>
  <c r="G162" i="23"/>
  <c r="U152" i="23"/>
  <c r="G146" i="23"/>
  <c r="U136" i="23"/>
  <c r="G130" i="23"/>
  <c r="U120" i="23"/>
  <c r="G114" i="23"/>
  <c r="U104" i="23"/>
  <c r="G98" i="23"/>
  <c r="G685" i="23"/>
  <c r="G651" i="23"/>
  <c r="G641" i="23"/>
  <c r="G632" i="23"/>
  <c r="U587" i="23"/>
  <c r="G548" i="23"/>
  <c r="U521" i="23"/>
  <c r="G505" i="23"/>
  <c r="U429" i="23"/>
  <c r="U422" i="23"/>
  <c r="G418" i="23"/>
  <c r="U412" i="23"/>
  <c r="G411" i="23"/>
  <c r="G333" i="23"/>
  <c r="G329" i="23"/>
  <c r="G325" i="23"/>
  <c r="U294" i="23"/>
  <c r="U290" i="23"/>
  <c r="U275" i="23"/>
  <c r="U249" i="23"/>
  <c r="G235" i="23"/>
  <c r="U225" i="23"/>
  <c r="G214" i="23"/>
  <c r="G212" i="23"/>
  <c r="U204" i="23"/>
  <c r="U202" i="23"/>
  <c r="U165" i="23"/>
  <c r="G159" i="23"/>
  <c r="U149" i="23"/>
  <c r="G143" i="23"/>
  <c r="U133" i="23"/>
  <c r="G127" i="23"/>
  <c r="U117" i="23"/>
  <c r="G111" i="23"/>
  <c r="U101" i="23"/>
  <c r="G95" i="23"/>
  <c r="U85" i="23"/>
  <c r="G79" i="23"/>
  <c r="U69" i="23"/>
  <c r="G63" i="23"/>
  <c r="U53" i="23"/>
  <c r="G47" i="23"/>
  <c r="U37" i="23"/>
  <c r="G31" i="23"/>
  <c r="G644" i="23"/>
  <c r="G625" i="23"/>
  <c r="U565" i="23"/>
  <c r="G521" i="23"/>
  <c r="G497" i="23"/>
  <c r="U485" i="23"/>
  <c r="G364" i="23"/>
  <c r="U348" i="23"/>
  <c r="G287" i="23"/>
  <c r="U285" i="23"/>
  <c r="G266" i="23"/>
  <c r="G259" i="23"/>
  <c r="G228" i="23"/>
  <c r="G224" i="23"/>
  <c r="G222" i="23"/>
  <c r="G220" i="23"/>
  <c r="U189" i="23"/>
  <c r="U185" i="23"/>
  <c r="U131" i="23"/>
  <c r="U127" i="23"/>
  <c r="G92" i="23"/>
  <c r="U90" i="23"/>
  <c r="G81" i="23"/>
  <c r="G72" i="23"/>
  <c r="U62" i="23"/>
  <c r="G51" i="23"/>
  <c r="G49" i="23"/>
  <c r="U41" i="23"/>
  <c r="U39" i="23"/>
  <c r="O27" i="23"/>
  <c r="O28" i="23" s="1"/>
  <c r="O29" i="23" s="1"/>
  <c r="O30" i="23" s="1"/>
  <c r="O31" i="23" s="1"/>
  <c r="O32" i="23" s="1"/>
  <c r="O33" i="23" s="1"/>
  <c r="O34" i="23" s="1"/>
  <c r="O35" i="23" s="1"/>
  <c r="O36" i="23" s="1"/>
  <c r="O37" i="23" s="1"/>
  <c r="O38" i="23" s="1"/>
  <c r="O39" i="23" s="1"/>
  <c r="O40" i="23" s="1"/>
  <c r="O41" i="23" s="1"/>
  <c r="O42" i="23" s="1"/>
  <c r="O43" i="23" s="1"/>
  <c r="O44" i="23" s="1"/>
  <c r="O45" i="23" s="1"/>
  <c r="O46" i="23" s="1"/>
  <c r="O47" i="23" s="1"/>
  <c r="O48" i="23" s="1"/>
  <c r="O49" i="23" s="1"/>
  <c r="O50" i="23" s="1"/>
  <c r="O51" i="23" s="1"/>
  <c r="O52" i="23" s="1"/>
  <c r="O53" i="23" s="1"/>
  <c r="O54" i="23" s="1"/>
  <c r="O55" i="23" s="1"/>
  <c r="O56" i="23" s="1"/>
  <c r="O57" i="23" s="1"/>
  <c r="O58" i="23" s="1"/>
  <c r="O59" i="23" s="1"/>
  <c r="O60" i="23" s="1"/>
  <c r="O61" i="23" s="1"/>
  <c r="O62" i="23" s="1"/>
  <c r="O63" i="23" s="1"/>
  <c r="O64" i="23" s="1"/>
  <c r="O65" i="23" s="1"/>
  <c r="O66" i="23" s="1"/>
  <c r="O67" i="23" s="1"/>
  <c r="O68" i="23" s="1"/>
  <c r="O69" i="23" s="1"/>
  <c r="O70" i="23" s="1"/>
  <c r="O71" i="23" s="1"/>
  <c r="O72" i="23" s="1"/>
  <c r="O73" i="23" s="1"/>
  <c r="O74" i="23" s="1"/>
  <c r="O75" i="23" s="1"/>
  <c r="O76" i="23" s="1"/>
  <c r="O77" i="23" s="1"/>
  <c r="O78" i="23" s="1"/>
  <c r="O79" i="23" s="1"/>
  <c r="O80" i="23" s="1"/>
  <c r="O81" i="23" s="1"/>
  <c r="O82" i="23" s="1"/>
  <c r="O83" i="23" s="1"/>
  <c r="O84" i="23" s="1"/>
  <c r="O85" i="23" s="1"/>
  <c r="O86" i="23" s="1"/>
  <c r="O87" i="23" s="1"/>
  <c r="O88" i="23" s="1"/>
  <c r="O89" i="23" s="1"/>
  <c r="O90" i="23" s="1"/>
  <c r="O91" i="23" s="1"/>
  <c r="O92" i="23" s="1"/>
  <c r="O93" i="23" s="1"/>
  <c r="O94" i="23" s="1"/>
  <c r="O95" i="23" s="1"/>
  <c r="O96" i="23" s="1"/>
  <c r="O97" i="23" s="1"/>
  <c r="O98" i="23" s="1"/>
  <c r="O99" i="23" s="1"/>
  <c r="O100" i="23" s="1"/>
  <c r="O101" i="23" s="1"/>
  <c r="O102" i="23" s="1"/>
  <c r="O103" i="23" s="1"/>
  <c r="O104" i="23" s="1"/>
  <c r="O105" i="23" s="1"/>
  <c r="O106" i="23" s="1"/>
  <c r="O107" i="23" s="1"/>
  <c r="O108" i="23" s="1"/>
  <c r="O109" i="23" s="1"/>
  <c r="O110" i="23" s="1"/>
  <c r="O111" i="23" s="1"/>
  <c r="O112" i="23" s="1"/>
  <c r="O113" i="23" s="1"/>
  <c r="O114" i="23" s="1"/>
  <c r="O115" i="23" s="1"/>
  <c r="O116" i="23" s="1"/>
  <c r="O117" i="23" s="1"/>
  <c r="O118" i="23" s="1"/>
  <c r="O119" i="23" s="1"/>
  <c r="O120" i="23" s="1"/>
  <c r="O121" i="23" s="1"/>
  <c r="O122" i="23" s="1"/>
  <c r="O123" i="23" s="1"/>
  <c r="O124" i="23" s="1"/>
  <c r="O125" i="23" s="1"/>
  <c r="O126" i="23" s="1"/>
  <c r="O127" i="23" s="1"/>
  <c r="O128" i="23" s="1"/>
  <c r="O129" i="23" s="1"/>
  <c r="O130" i="23" s="1"/>
  <c r="O131" i="23" s="1"/>
  <c r="O132" i="23" s="1"/>
  <c r="O133" i="23" s="1"/>
  <c r="O134" i="23" s="1"/>
  <c r="O135" i="23" s="1"/>
  <c r="O136" i="23" s="1"/>
  <c r="O137" i="23" s="1"/>
  <c r="O138" i="23" s="1"/>
  <c r="O139" i="23" s="1"/>
  <c r="O140" i="23" s="1"/>
  <c r="O141" i="23" s="1"/>
  <c r="O142" i="23" s="1"/>
  <c r="O143" i="23" s="1"/>
  <c r="O144" i="23" s="1"/>
  <c r="O145" i="23" s="1"/>
  <c r="O146" i="23" s="1"/>
  <c r="O147" i="23" s="1"/>
  <c r="O148" i="23" s="1"/>
  <c r="O149" i="23" s="1"/>
  <c r="O150" i="23" s="1"/>
  <c r="O151" i="23" s="1"/>
  <c r="O152" i="23" s="1"/>
  <c r="O153" i="23" s="1"/>
  <c r="O154" i="23" s="1"/>
  <c r="O155" i="23" s="1"/>
  <c r="O156" i="23" s="1"/>
  <c r="O157" i="23" s="1"/>
  <c r="O158" i="23" s="1"/>
  <c r="O159" i="23" s="1"/>
  <c r="O160" i="23" s="1"/>
  <c r="O161" i="23" s="1"/>
  <c r="O162" i="23" s="1"/>
  <c r="O163" i="23" s="1"/>
  <c r="O164" i="23" s="1"/>
  <c r="O165" i="23" s="1"/>
  <c r="O166" i="23" s="1"/>
  <c r="O167" i="23" s="1"/>
  <c r="O168" i="23" s="1"/>
  <c r="O169" i="23" s="1"/>
  <c r="O170" i="23" s="1"/>
  <c r="O171" i="23" s="1"/>
  <c r="O172" i="23" s="1"/>
  <c r="O173" i="23" s="1"/>
  <c r="O174" i="23" s="1"/>
  <c r="O175" i="23" s="1"/>
  <c r="O176" i="23" s="1"/>
  <c r="O177" i="23" s="1"/>
  <c r="O178" i="23" s="1"/>
  <c r="O179" i="23" s="1"/>
  <c r="O180" i="23" s="1"/>
  <c r="O181" i="23" s="1"/>
  <c r="O182" i="23" s="1"/>
  <c r="O183" i="23" s="1"/>
  <c r="O184" i="23" s="1"/>
  <c r="O185" i="23" s="1"/>
  <c r="O186" i="23" s="1"/>
  <c r="O187" i="23" s="1"/>
  <c r="O188" i="23" s="1"/>
  <c r="O189" i="23" s="1"/>
  <c r="O190" i="23" s="1"/>
  <c r="O191" i="23" s="1"/>
  <c r="O192" i="23" s="1"/>
  <c r="O193" i="23" s="1"/>
  <c r="O194" i="23" s="1"/>
  <c r="O195" i="23" s="1"/>
  <c r="O196" i="23" s="1"/>
  <c r="O197" i="23" s="1"/>
  <c r="O198" i="23" s="1"/>
  <c r="O199" i="23" s="1"/>
  <c r="O200" i="23" s="1"/>
  <c r="O201" i="23" s="1"/>
  <c r="O202" i="23" s="1"/>
  <c r="O203" i="23" s="1"/>
  <c r="O204" i="23" s="1"/>
  <c r="O205" i="23" s="1"/>
  <c r="O206" i="23" s="1"/>
  <c r="O207" i="23" s="1"/>
  <c r="O208" i="23" s="1"/>
  <c r="O209" i="23" s="1"/>
  <c r="O210" i="23" s="1"/>
  <c r="O211" i="23" s="1"/>
  <c r="O212" i="23" s="1"/>
  <c r="O213" i="23" s="1"/>
  <c r="O214" i="23" s="1"/>
  <c r="O215" i="23" s="1"/>
  <c r="O216" i="23" s="1"/>
  <c r="O217" i="23" s="1"/>
  <c r="O218" i="23" s="1"/>
  <c r="O219" i="23" s="1"/>
  <c r="O220" i="23" s="1"/>
  <c r="O221" i="23" s="1"/>
  <c r="O222" i="23" s="1"/>
  <c r="O223" i="23" s="1"/>
  <c r="O224" i="23" s="1"/>
  <c r="O225" i="23" s="1"/>
  <c r="O226" i="23" s="1"/>
  <c r="O227" i="23" s="1"/>
  <c r="O228" i="23" s="1"/>
  <c r="O229" i="23" s="1"/>
  <c r="O230" i="23" s="1"/>
  <c r="O231" i="23" s="1"/>
  <c r="O232" i="23" s="1"/>
  <c r="O233" i="23" s="1"/>
  <c r="O234" i="23" s="1"/>
  <c r="O235" i="23" s="1"/>
  <c r="O236" i="23" s="1"/>
  <c r="O237" i="23" s="1"/>
  <c r="O238" i="23" s="1"/>
  <c r="O239" i="23" s="1"/>
  <c r="O240" i="23" s="1"/>
  <c r="O241" i="23" s="1"/>
  <c r="O242" i="23" s="1"/>
  <c r="O243" i="23" s="1"/>
  <c r="O244" i="23" s="1"/>
  <c r="O245" i="23" s="1"/>
  <c r="O246" i="23" s="1"/>
  <c r="O247" i="23" s="1"/>
  <c r="O248" i="23" s="1"/>
  <c r="O249" i="23" s="1"/>
  <c r="O250" i="23" s="1"/>
  <c r="O251" i="23" s="1"/>
  <c r="O252" i="23" s="1"/>
  <c r="O253" i="23" s="1"/>
  <c r="O254" i="23" s="1"/>
  <c r="O255" i="23" s="1"/>
  <c r="O256" i="23" s="1"/>
  <c r="O257" i="23" s="1"/>
  <c r="O258" i="23" s="1"/>
  <c r="O259" i="23" s="1"/>
  <c r="O260" i="23" s="1"/>
  <c r="O261" i="23" s="1"/>
  <c r="O262" i="23" s="1"/>
  <c r="O263" i="23" s="1"/>
  <c r="O264" i="23" s="1"/>
  <c r="O265" i="23" s="1"/>
  <c r="O266" i="23" s="1"/>
  <c r="O267" i="23" s="1"/>
  <c r="O268" i="23" s="1"/>
  <c r="O269" i="23" s="1"/>
  <c r="O270" i="23" s="1"/>
  <c r="O271" i="23" s="1"/>
  <c r="O272" i="23" s="1"/>
  <c r="O273" i="23" s="1"/>
  <c r="O274" i="23" s="1"/>
  <c r="O275" i="23" s="1"/>
  <c r="O276" i="23" s="1"/>
  <c r="O277" i="23" s="1"/>
  <c r="O278" i="23" s="1"/>
  <c r="O279" i="23" s="1"/>
  <c r="O280" i="23" s="1"/>
  <c r="O281" i="23" s="1"/>
  <c r="O282" i="23" s="1"/>
  <c r="O283" i="23" s="1"/>
  <c r="O284" i="23" s="1"/>
  <c r="O285" i="23" s="1"/>
  <c r="O286" i="23" s="1"/>
  <c r="O287" i="23" s="1"/>
  <c r="O288" i="23" s="1"/>
  <c r="O289" i="23" s="1"/>
  <c r="O290" i="23" s="1"/>
  <c r="O291" i="23" s="1"/>
  <c r="O292" i="23" s="1"/>
  <c r="O293" i="23" s="1"/>
  <c r="O294" i="23" s="1"/>
  <c r="O295" i="23" s="1"/>
  <c r="O296" i="23" s="1"/>
  <c r="O297" i="23" s="1"/>
  <c r="O298" i="23" s="1"/>
  <c r="O299" i="23" s="1"/>
  <c r="O300" i="23" s="1"/>
  <c r="O301" i="23" s="1"/>
  <c r="O302" i="23" s="1"/>
  <c r="O303" i="23" s="1"/>
  <c r="O304" i="23" s="1"/>
  <c r="O305" i="23" s="1"/>
  <c r="O306" i="23" s="1"/>
  <c r="O307" i="23" s="1"/>
  <c r="O308" i="23" s="1"/>
  <c r="O309" i="23" s="1"/>
  <c r="O310" i="23" s="1"/>
  <c r="O311" i="23" s="1"/>
  <c r="O312" i="23" s="1"/>
  <c r="O313" i="23" s="1"/>
  <c r="O314" i="23" s="1"/>
  <c r="O315" i="23" s="1"/>
  <c r="O316" i="23" s="1"/>
  <c r="O317" i="23" s="1"/>
  <c r="O318" i="23" s="1"/>
  <c r="O319" i="23" s="1"/>
  <c r="O320" i="23" s="1"/>
  <c r="O321" i="23" s="1"/>
  <c r="O322" i="23" s="1"/>
  <c r="O323" i="23" s="1"/>
  <c r="O324" i="23" s="1"/>
  <c r="O325" i="23" s="1"/>
  <c r="O326" i="23" s="1"/>
  <c r="O327" i="23" s="1"/>
  <c r="O328" i="23" s="1"/>
  <c r="O329" i="23" s="1"/>
  <c r="O330" i="23" s="1"/>
  <c r="O331" i="23" s="1"/>
  <c r="O332" i="23" s="1"/>
  <c r="O333" i="23" s="1"/>
  <c r="O334" i="23" s="1"/>
  <c r="O335" i="23" s="1"/>
  <c r="O336" i="23" s="1"/>
  <c r="O337" i="23" s="1"/>
  <c r="O338" i="23" s="1"/>
  <c r="O339" i="23" s="1"/>
  <c r="O340" i="23" s="1"/>
  <c r="O341" i="23" s="1"/>
  <c r="O342" i="23" s="1"/>
  <c r="O343" i="23" s="1"/>
  <c r="O344" i="23" s="1"/>
  <c r="O345" i="23" s="1"/>
  <c r="O346" i="23" s="1"/>
  <c r="O347" i="23" s="1"/>
  <c r="O348" i="23" s="1"/>
  <c r="O349" i="23" s="1"/>
  <c r="O350" i="23" s="1"/>
  <c r="O351" i="23" s="1"/>
  <c r="O352" i="23" s="1"/>
  <c r="O353" i="23" s="1"/>
  <c r="O354" i="23" s="1"/>
  <c r="O355" i="23" s="1"/>
  <c r="O356" i="23" s="1"/>
  <c r="O357" i="23" s="1"/>
  <c r="O358" i="23" s="1"/>
  <c r="O359" i="23" s="1"/>
  <c r="O360" i="23" s="1"/>
  <c r="O361" i="23" s="1"/>
  <c r="O362" i="23" s="1"/>
  <c r="O363" i="23" s="1"/>
  <c r="O364" i="23" s="1"/>
  <c r="O365" i="23" s="1"/>
  <c r="O366" i="23" s="1"/>
  <c r="O367" i="23" s="1"/>
  <c r="O368" i="23" s="1"/>
  <c r="O369" i="23" s="1"/>
  <c r="O370" i="23" s="1"/>
  <c r="O371" i="23" s="1"/>
  <c r="O372" i="23" s="1"/>
  <c r="O373" i="23" s="1"/>
  <c r="O374" i="23" s="1"/>
  <c r="O375" i="23" s="1"/>
  <c r="O376" i="23" s="1"/>
  <c r="O377" i="23" s="1"/>
  <c r="O378" i="23" s="1"/>
  <c r="O379" i="23" s="1"/>
  <c r="O380" i="23" s="1"/>
  <c r="O381" i="23" s="1"/>
  <c r="O382" i="23" s="1"/>
  <c r="O383" i="23" s="1"/>
  <c r="O384" i="23" s="1"/>
  <c r="O385" i="23" s="1"/>
  <c r="O386" i="23" s="1"/>
  <c r="O387" i="23" s="1"/>
  <c r="O388" i="23" s="1"/>
  <c r="O389" i="23" s="1"/>
  <c r="O390" i="23" s="1"/>
  <c r="O391" i="23" s="1"/>
  <c r="O392" i="23" s="1"/>
  <c r="O393" i="23" s="1"/>
  <c r="O394" i="23" s="1"/>
  <c r="O395" i="23" s="1"/>
  <c r="O396" i="23" s="1"/>
  <c r="O397" i="23" s="1"/>
  <c r="O398" i="23" s="1"/>
  <c r="O399" i="23" s="1"/>
  <c r="O400" i="23" s="1"/>
  <c r="O401" i="23" s="1"/>
  <c r="O402" i="23" s="1"/>
  <c r="O403" i="23" s="1"/>
  <c r="O404" i="23" s="1"/>
  <c r="O405" i="23" s="1"/>
  <c r="O406" i="23" s="1"/>
  <c r="O407" i="23" s="1"/>
  <c r="O408" i="23" s="1"/>
  <c r="O409" i="23" s="1"/>
  <c r="O410" i="23" s="1"/>
  <c r="O411" i="23" s="1"/>
  <c r="O412" i="23" s="1"/>
  <c r="O413" i="23" s="1"/>
  <c r="O414" i="23" s="1"/>
  <c r="O415" i="23" s="1"/>
  <c r="O416" i="23" s="1"/>
  <c r="O417" i="23" s="1"/>
  <c r="O418" i="23" s="1"/>
  <c r="O419" i="23" s="1"/>
  <c r="O420" i="23" s="1"/>
  <c r="O421" i="23" s="1"/>
  <c r="O422" i="23" s="1"/>
  <c r="O423" i="23" s="1"/>
  <c r="O424" i="23" s="1"/>
  <c r="O425" i="23" s="1"/>
  <c r="O426" i="23" s="1"/>
  <c r="O427" i="23" s="1"/>
  <c r="O428" i="23" s="1"/>
  <c r="O429" i="23" s="1"/>
  <c r="O430" i="23" s="1"/>
  <c r="O431" i="23" s="1"/>
  <c r="O432" i="23" s="1"/>
  <c r="O433" i="23" s="1"/>
  <c r="O434" i="23" s="1"/>
  <c r="O435" i="23" s="1"/>
  <c r="O436" i="23" s="1"/>
  <c r="O437" i="23" s="1"/>
  <c r="O438" i="23" s="1"/>
  <c r="O439" i="23" s="1"/>
  <c r="O440" i="23" s="1"/>
  <c r="O441" i="23" s="1"/>
  <c r="O442" i="23" s="1"/>
  <c r="O443" i="23" s="1"/>
  <c r="O444" i="23" s="1"/>
  <c r="O445" i="23" s="1"/>
  <c r="O446" i="23" s="1"/>
  <c r="O447" i="23" s="1"/>
  <c r="O448" i="23" s="1"/>
  <c r="O449" i="23" s="1"/>
  <c r="O450" i="23" s="1"/>
  <c r="O451" i="23" s="1"/>
  <c r="O452" i="23" s="1"/>
  <c r="O453" i="23" s="1"/>
  <c r="O454" i="23" s="1"/>
  <c r="O455" i="23" s="1"/>
  <c r="O456" i="23" s="1"/>
  <c r="O457" i="23" s="1"/>
  <c r="O458" i="23" s="1"/>
  <c r="O459" i="23" s="1"/>
  <c r="O460" i="23" s="1"/>
  <c r="O461" i="23" s="1"/>
  <c r="O462" i="23" s="1"/>
  <c r="O463" i="23" s="1"/>
  <c r="O464" i="23" s="1"/>
  <c r="O465" i="23" s="1"/>
  <c r="O466" i="23" s="1"/>
  <c r="O467" i="23" s="1"/>
  <c r="O468" i="23" s="1"/>
  <c r="O469" i="23" s="1"/>
  <c r="O470" i="23" s="1"/>
  <c r="O471" i="23" s="1"/>
  <c r="O472" i="23" s="1"/>
  <c r="O473" i="23" s="1"/>
  <c r="O474" i="23" s="1"/>
  <c r="O475" i="23" s="1"/>
  <c r="O476" i="23" s="1"/>
  <c r="O477" i="23" s="1"/>
  <c r="O478" i="23" s="1"/>
  <c r="O479" i="23" s="1"/>
  <c r="O480" i="23" s="1"/>
  <c r="O481" i="23" s="1"/>
  <c r="O482" i="23" s="1"/>
  <c r="O483" i="23" s="1"/>
  <c r="O484" i="23" s="1"/>
  <c r="O485" i="23" s="1"/>
  <c r="O486" i="23" s="1"/>
  <c r="O487" i="23" s="1"/>
  <c r="O488" i="23" s="1"/>
  <c r="O489" i="23" s="1"/>
  <c r="O490" i="23" s="1"/>
  <c r="O491" i="23" s="1"/>
  <c r="O492" i="23" s="1"/>
  <c r="O493" i="23" s="1"/>
  <c r="O494" i="23" s="1"/>
  <c r="O495" i="23" s="1"/>
  <c r="O496" i="23" s="1"/>
  <c r="O497" i="23" s="1"/>
  <c r="O498" i="23" s="1"/>
  <c r="O499" i="23" s="1"/>
  <c r="O500" i="23" s="1"/>
  <c r="O501" i="23" s="1"/>
  <c r="O502" i="23" s="1"/>
  <c r="O503" i="23" s="1"/>
  <c r="O504" i="23" s="1"/>
  <c r="O505" i="23" s="1"/>
  <c r="O506" i="23" s="1"/>
  <c r="O507" i="23" s="1"/>
  <c r="O508" i="23" s="1"/>
  <c r="O509" i="23" s="1"/>
  <c r="O510" i="23" s="1"/>
  <c r="O511" i="23" s="1"/>
  <c r="O512" i="23" s="1"/>
  <c r="O513" i="23" s="1"/>
  <c r="O514" i="23" s="1"/>
  <c r="O515" i="23" s="1"/>
  <c r="O516" i="23" s="1"/>
  <c r="O517" i="23" s="1"/>
  <c r="O518" i="23" s="1"/>
  <c r="O519" i="23" s="1"/>
  <c r="O520" i="23" s="1"/>
  <c r="O521" i="23" s="1"/>
  <c r="O522" i="23" s="1"/>
  <c r="O523" i="23" s="1"/>
  <c r="O524" i="23" s="1"/>
  <c r="O525" i="23" s="1"/>
  <c r="O526" i="23" s="1"/>
  <c r="O527" i="23" s="1"/>
  <c r="O528" i="23" s="1"/>
  <c r="O529" i="23" s="1"/>
  <c r="O530" i="23" s="1"/>
  <c r="O531" i="23" s="1"/>
  <c r="O532" i="23" s="1"/>
  <c r="O533" i="23" s="1"/>
  <c r="O534" i="23" s="1"/>
  <c r="O535" i="23" s="1"/>
  <c r="O536" i="23" s="1"/>
  <c r="O537" i="23" s="1"/>
  <c r="O538" i="23" s="1"/>
  <c r="O539" i="23" s="1"/>
  <c r="O540" i="23" s="1"/>
  <c r="O541" i="23" s="1"/>
  <c r="O542" i="23" s="1"/>
  <c r="O543" i="23" s="1"/>
  <c r="O544" i="23" s="1"/>
  <c r="O545" i="23" s="1"/>
  <c r="O546" i="23" s="1"/>
  <c r="O547" i="23" s="1"/>
  <c r="O548" i="23" s="1"/>
  <c r="O549" i="23" s="1"/>
  <c r="O550" i="23" s="1"/>
  <c r="O551" i="23" s="1"/>
  <c r="O552" i="23" s="1"/>
  <c r="O553" i="23" s="1"/>
  <c r="O554" i="23" s="1"/>
  <c r="O555" i="23" s="1"/>
  <c r="O556" i="23" s="1"/>
  <c r="O557" i="23" s="1"/>
  <c r="O558" i="23" s="1"/>
  <c r="O559" i="23" s="1"/>
  <c r="O560" i="23" s="1"/>
  <c r="O561" i="23" s="1"/>
  <c r="O562" i="23" s="1"/>
  <c r="O563" i="23" s="1"/>
  <c r="O564" i="23" s="1"/>
  <c r="O565" i="23" s="1"/>
  <c r="O566" i="23" s="1"/>
  <c r="O567" i="23" s="1"/>
  <c r="O568" i="23" s="1"/>
  <c r="O569" i="23" s="1"/>
  <c r="O570" i="23" s="1"/>
  <c r="O571" i="23" s="1"/>
  <c r="O572" i="23" s="1"/>
  <c r="O573" i="23" s="1"/>
  <c r="O574" i="23" s="1"/>
  <c r="O575" i="23" s="1"/>
  <c r="O576" i="23" s="1"/>
  <c r="O577" i="23" s="1"/>
  <c r="O578" i="23" s="1"/>
  <c r="O579" i="23" s="1"/>
  <c r="O580" i="23" s="1"/>
  <c r="O581" i="23" s="1"/>
  <c r="O582" i="23" s="1"/>
  <c r="O583" i="23" s="1"/>
  <c r="O584" i="23" s="1"/>
  <c r="O585" i="23" s="1"/>
  <c r="O586" i="23" s="1"/>
  <c r="O587" i="23" s="1"/>
  <c r="O588" i="23" s="1"/>
  <c r="O589" i="23" s="1"/>
  <c r="O590" i="23" s="1"/>
  <c r="O591" i="23" s="1"/>
  <c r="O592" i="23" s="1"/>
  <c r="O593" i="23" s="1"/>
  <c r="O594" i="23" s="1"/>
  <c r="O595" i="23" s="1"/>
  <c r="O596" i="23" s="1"/>
  <c r="O597" i="23" s="1"/>
  <c r="O598" i="23" s="1"/>
  <c r="O599" i="23" s="1"/>
  <c r="O600" i="23" s="1"/>
  <c r="O601" i="23" s="1"/>
  <c r="O602" i="23" s="1"/>
  <c r="O603" i="23" s="1"/>
  <c r="O604" i="23" s="1"/>
  <c r="O605" i="23" s="1"/>
  <c r="O606" i="23" s="1"/>
  <c r="O607" i="23" s="1"/>
  <c r="O608" i="23" s="1"/>
  <c r="O609" i="23" s="1"/>
  <c r="O610" i="23" s="1"/>
  <c r="O611" i="23" s="1"/>
  <c r="O612" i="23" s="1"/>
  <c r="O613" i="23" s="1"/>
  <c r="O614" i="23" s="1"/>
  <c r="O615" i="23" s="1"/>
  <c r="O616" i="23" s="1"/>
  <c r="O617" i="23" s="1"/>
  <c r="O618" i="23" s="1"/>
  <c r="O619" i="23" s="1"/>
  <c r="O620" i="23" s="1"/>
  <c r="O621" i="23" s="1"/>
  <c r="O622" i="23" s="1"/>
  <c r="O623" i="23" s="1"/>
  <c r="O624" i="23" s="1"/>
  <c r="O625" i="23" s="1"/>
  <c r="O626" i="23" s="1"/>
  <c r="O627" i="23" s="1"/>
  <c r="O628" i="23" s="1"/>
  <c r="O629" i="23" s="1"/>
  <c r="O630" i="23" s="1"/>
  <c r="O631" i="23" s="1"/>
  <c r="O632" i="23" s="1"/>
  <c r="O633" i="23" s="1"/>
  <c r="O634" i="23" s="1"/>
  <c r="O635" i="23" s="1"/>
  <c r="O636" i="23" s="1"/>
  <c r="O637" i="23" s="1"/>
  <c r="O638" i="23" s="1"/>
  <c r="O639" i="23" s="1"/>
  <c r="O640" i="23" s="1"/>
  <c r="O641" i="23" s="1"/>
  <c r="O642" i="23" s="1"/>
  <c r="O643" i="23" s="1"/>
  <c r="O644" i="23" s="1"/>
  <c r="O645" i="23" s="1"/>
  <c r="O646" i="23" s="1"/>
  <c r="O647" i="23" s="1"/>
  <c r="O648" i="23" s="1"/>
  <c r="O649" i="23" s="1"/>
  <c r="O650" i="23" s="1"/>
  <c r="O651" i="23" s="1"/>
  <c r="O652" i="23" s="1"/>
  <c r="O653" i="23" s="1"/>
  <c r="O654" i="23" s="1"/>
  <c r="O655" i="23" s="1"/>
  <c r="O656" i="23" s="1"/>
  <c r="O657" i="23" s="1"/>
  <c r="O658" i="23" s="1"/>
  <c r="O659" i="23" s="1"/>
  <c r="O660" i="23" s="1"/>
  <c r="O661" i="23" s="1"/>
  <c r="O662" i="23" s="1"/>
  <c r="O663" i="23" s="1"/>
  <c r="O664" i="23" s="1"/>
  <c r="O665" i="23" s="1"/>
  <c r="O666" i="23" s="1"/>
  <c r="O667" i="23" s="1"/>
  <c r="O668" i="23" s="1"/>
  <c r="O669" i="23" s="1"/>
  <c r="O670" i="23" s="1"/>
  <c r="O671" i="23" s="1"/>
  <c r="O672" i="23" s="1"/>
  <c r="O673" i="23" s="1"/>
  <c r="O674" i="23" s="1"/>
  <c r="O675" i="23" s="1"/>
  <c r="O676" i="23" s="1"/>
  <c r="O677" i="23" s="1"/>
  <c r="O678" i="23" s="1"/>
  <c r="O679" i="23" s="1"/>
  <c r="O680" i="23" s="1"/>
  <c r="O681" i="23" s="1"/>
  <c r="O682" i="23" s="1"/>
  <c r="O683" i="23" s="1"/>
  <c r="O684" i="23" s="1"/>
  <c r="O685" i="23" s="1"/>
  <c r="O686" i="23" s="1"/>
  <c r="O687" i="23" s="1"/>
  <c r="O688" i="23" s="1"/>
  <c r="O689" i="23" s="1"/>
  <c r="O690" i="23" s="1"/>
  <c r="O691" i="23" s="1"/>
  <c r="O692" i="23" s="1"/>
  <c r="O693" i="23" s="1"/>
  <c r="O694" i="23" s="1"/>
  <c r="O695" i="23" s="1"/>
  <c r="O696" i="23" s="1"/>
  <c r="O697" i="23" s="1"/>
  <c r="O698" i="23" s="1"/>
  <c r="O699" i="23" s="1"/>
  <c r="O700" i="23" s="1"/>
  <c r="O701" i="23" s="1"/>
  <c r="O702" i="23" s="1"/>
  <c r="O703" i="23" s="1"/>
  <c r="O704" i="23" s="1"/>
  <c r="O705" i="23" s="1"/>
  <c r="O706" i="23" s="1"/>
  <c r="O707" i="23" s="1"/>
  <c r="O708" i="23" s="1"/>
  <c r="O709" i="23" s="1"/>
  <c r="O710" i="23" s="1"/>
  <c r="O711" i="23" s="1"/>
  <c r="O712" i="23" s="1"/>
  <c r="O713" i="23" s="1"/>
  <c r="O714" i="23" s="1"/>
  <c r="O715" i="23" s="1"/>
  <c r="O716" i="23" s="1"/>
  <c r="O717" i="23" s="1"/>
  <c r="O718" i="23" s="1"/>
  <c r="O719" i="23" s="1"/>
  <c r="O720" i="23" s="1"/>
  <c r="O721" i="23" s="1"/>
  <c r="O722" i="23" s="1"/>
  <c r="O723" i="23" s="1"/>
  <c r="O724" i="23" s="1"/>
  <c r="O725" i="23" s="1"/>
  <c r="O726" i="23" s="1"/>
  <c r="O727" i="23" s="1"/>
  <c r="O728" i="23" s="1"/>
  <c r="O729" i="23" s="1"/>
  <c r="O730" i="23" s="1"/>
  <c r="O731" i="23" s="1"/>
  <c r="O732" i="23" s="1"/>
  <c r="O733" i="23" s="1"/>
  <c r="O734" i="23" s="1"/>
  <c r="O735" i="23" s="1"/>
  <c r="O736" i="23" s="1"/>
  <c r="O737" i="23" s="1"/>
  <c r="O738" i="23" s="1"/>
  <c r="O739" i="23" s="1"/>
  <c r="O740" i="23" s="1"/>
  <c r="O741" i="23" s="1"/>
  <c r="O742" i="23" s="1"/>
  <c r="O743" i="23" s="1"/>
  <c r="O744" i="23" s="1"/>
  <c r="O745" i="23" s="1"/>
  <c r="O746" i="23" s="1"/>
  <c r="O747" i="23" s="1"/>
  <c r="O748" i="23" s="1"/>
  <c r="O749" i="23" s="1"/>
  <c r="O750" i="23" s="1"/>
  <c r="O751" i="23" s="1"/>
  <c r="O752" i="23" s="1"/>
  <c r="O753" i="23" s="1"/>
  <c r="O754" i="23" s="1"/>
  <c r="O755" i="23" s="1"/>
  <c r="O756" i="23" s="1"/>
  <c r="O757" i="23" s="1"/>
  <c r="O758" i="23" s="1"/>
  <c r="O759" i="23" s="1"/>
  <c r="O760" i="23" s="1"/>
  <c r="O761" i="23" s="1"/>
  <c r="O762" i="23" s="1"/>
  <c r="O763" i="23" s="1"/>
  <c r="O764" i="23" s="1"/>
  <c r="O765" i="23" s="1"/>
  <c r="O766" i="23" s="1"/>
  <c r="O767" i="23" s="1"/>
  <c r="O768" i="23" s="1"/>
  <c r="O769" i="23" s="1"/>
  <c r="O770" i="23" s="1"/>
  <c r="O771" i="23" s="1"/>
  <c r="O772" i="23" s="1"/>
  <c r="O773" i="23" s="1"/>
  <c r="O774" i="23" s="1"/>
  <c r="O775" i="23" s="1"/>
  <c r="O776" i="23" s="1"/>
  <c r="O777" i="23" s="1"/>
  <c r="O778" i="23" s="1"/>
  <c r="O779" i="23" s="1"/>
  <c r="O780" i="23" s="1"/>
  <c r="O781" i="23" s="1"/>
  <c r="O782" i="23" s="1"/>
  <c r="O783" i="23" s="1"/>
  <c r="O784" i="23" s="1"/>
  <c r="O785" i="23" s="1"/>
  <c r="G605" i="23"/>
  <c r="U552" i="23"/>
  <c r="G452" i="23"/>
  <c r="U421" i="23"/>
  <c r="U385" i="23"/>
  <c r="G367" i="23"/>
  <c r="U351" i="23"/>
  <c r="U315" i="23"/>
  <c r="G304" i="23"/>
  <c r="G297" i="23"/>
  <c r="G218" i="23"/>
  <c r="G216" i="23"/>
  <c r="G126" i="23"/>
  <c r="G122" i="23"/>
  <c r="G118" i="23"/>
  <c r="U116" i="23"/>
  <c r="U112" i="23"/>
  <c r="U108" i="23"/>
  <c r="U87" i="23"/>
  <c r="G86" i="23"/>
  <c r="G76" i="23"/>
  <c r="G74" i="23"/>
  <c r="U66" i="23"/>
  <c r="U64" i="23"/>
  <c r="G53" i="23"/>
  <c r="U43" i="23"/>
  <c r="G32" i="23"/>
  <c r="G30" i="23"/>
  <c r="U26" i="23"/>
  <c r="G665" i="23"/>
  <c r="U622" i="23"/>
  <c r="G549" i="23"/>
  <c r="G531" i="23"/>
  <c r="U506" i="23"/>
  <c r="U487" i="23"/>
  <c r="G482" i="23"/>
  <c r="G477" i="23"/>
  <c r="U427" i="23"/>
  <c r="G413" i="23"/>
  <c r="U406" i="23"/>
  <c r="G390" i="23"/>
  <c r="U388" i="23"/>
  <c r="G359" i="23"/>
  <c r="U354" i="23"/>
  <c r="U332" i="23"/>
  <c r="U325" i="23"/>
  <c r="G314" i="23"/>
  <c r="U289" i="23"/>
  <c r="G261" i="23"/>
  <c r="G223" i="23"/>
  <c r="U190" i="23"/>
  <c r="U188" i="23"/>
  <c r="U184" i="23"/>
  <c r="U167" i="23"/>
  <c r="G133" i="23"/>
  <c r="U123" i="23"/>
  <c r="G103" i="23"/>
  <c r="G99" i="23"/>
  <c r="G57" i="23"/>
  <c r="G55" i="23"/>
  <c r="U47" i="23"/>
  <c r="U45" i="23"/>
  <c r="G34" i="23"/>
  <c r="G630" i="23"/>
  <c r="U555" i="23"/>
  <c r="G485" i="23"/>
  <c r="U471" i="23"/>
  <c r="U454" i="23"/>
  <c r="G393" i="23"/>
  <c r="U357" i="23"/>
  <c r="G344" i="23"/>
  <c r="U342" i="23"/>
  <c r="U335" i="23"/>
  <c r="G277" i="23"/>
  <c r="U257" i="23"/>
  <c r="G221" i="23"/>
  <c r="G219" i="23"/>
  <c r="G217" i="23"/>
  <c r="U186" i="23"/>
  <c r="U182" i="23"/>
  <c r="U180" i="23"/>
  <c r="U178" i="23"/>
  <c r="G170" i="23"/>
  <c r="U166" i="23"/>
  <c r="G164" i="23"/>
  <c r="U160" i="23"/>
  <c r="G158" i="23"/>
  <c r="U154" i="23"/>
  <c r="U148" i="23"/>
  <c r="U130" i="23"/>
  <c r="U93" i="23"/>
  <c r="U84" i="23"/>
  <c r="G83" i="23"/>
  <c r="G78" i="23"/>
  <c r="U70" i="23"/>
  <c r="U68" i="23"/>
  <c r="G38" i="23"/>
  <c r="G36" i="23"/>
  <c r="U28" i="23"/>
  <c r="U523" i="23"/>
  <c r="G503" i="23"/>
  <c r="U462" i="23"/>
  <c r="U436" i="23"/>
  <c r="U404" i="23"/>
  <c r="U380" i="23"/>
  <c r="U349" i="23"/>
  <c r="G318" i="23"/>
  <c r="U309" i="23"/>
  <c r="G298" i="23"/>
  <c r="G291" i="23"/>
  <c r="U278" i="23"/>
  <c r="U258" i="23"/>
  <c r="G253" i="23"/>
  <c r="U246" i="23"/>
  <c r="U245" i="23"/>
  <c r="U243" i="23"/>
  <c r="U241" i="23"/>
  <c r="U239" i="23"/>
  <c r="G215" i="23"/>
  <c r="G211" i="23"/>
  <c r="G207" i="23"/>
  <c r="U176" i="23"/>
  <c r="U174" i="23"/>
  <c r="U172" i="23"/>
  <c r="G169" i="23"/>
  <c r="G163" i="23"/>
  <c r="U159" i="23"/>
  <c r="G157" i="23"/>
  <c r="U153" i="23"/>
  <c r="G151" i="23"/>
  <c r="U147" i="23"/>
  <c r="G145" i="23"/>
  <c r="U141" i="23"/>
  <c r="U135" i="23"/>
  <c r="G129" i="23"/>
  <c r="G125" i="23"/>
  <c r="G121" i="23"/>
  <c r="U119" i="23"/>
  <c r="U115" i="23"/>
  <c r="U111" i="23"/>
  <c r="U89" i="23"/>
  <c r="U72" i="23"/>
  <c r="G61" i="23"/>
  <c r="U51" i="23"/>
  <c r="G40" i="23"/>
  <c r="U30" i="23"/>
  <c r="U671" i="23"/>
  <c r="G649" i="23"/>
  <c r="U572" i="23"/>
  <c r="G552" i="23"/>
  <c r="U537" i="23"/>
  <c r="U509" i="23"/>
  <c r="G468" i="23"/>
  <c r="G449" i="23"/>
  <c r="G434" i="23"/>
  <c r="U410" i="23"/>
  <c r="G402" i="23"/>
  <c r="U383" i="23"/>
  <c r="G379" i="23"/>
  <c r="U319" i="23"/>
  <c r="G301" i="23"/>
  <c r="U283" i="23"/>
  <c r="U237" i="23"/>
  <c r="U233" i="23"/>
  <c r="U229" i="23"/>
  <c r="G205" i="23"/>
  <c r="G203" i="23"/>
  <c r="G597" i="23"/>
  <c r="U533" i="23"/>
  <c r="G487" i="23"/>
  <c r="U414" i="23"/>
  <c r="G380" i="23"/>
  <c r="G375" i="23"/>
  <c r="U372" i="23"/>
  <c r="G358" i="23"/>
  <c r="U350" i="23"/>
  <c r="U329" i="23"/>
  <c r="U313" i="23"/>
  <c r="U261" i="23"/>
  <c r="U226" i="23"/>
  <c r="U212" i="23"/>
  <c r="G196" i="23"/>
  <c r="U92" i="23"/>
  <c r="U91" i="23"/>
  <c r="G62" i="23"/>
  <c r="G58" i="23"/>
  <c r="G56" i="23"/>
  <c r="G54" i="23"/>
  <c r="G201" i="23"/>
  <c r="U71" i="23"/>
  <c r="U63" i="23"/>
  <c r="G664" i="23"/>
  <c r="G283" i="23"/>
  <c r="U163" i="23"/>
  <c r="G137" i="23"/>
  <c r="U96" i="23"/>
  <c r="G28" i="23"/>
  <c r="U54" i="23"/>
  <c r="U50" i="23"/>
  <c r="U337" i="23"/>
  <c r="U321" i="23"/>
  <c r="G268" i="23"/>
  <c r="U464" i="23"/>
  <c r="U389" i="23"/>
  <c r="U384" i="23"/>
  <c r="U367" i="23"/>
  <c r="G293" i="23"/>
  <c r="G271" i="23"/>
  <c r="G239" i="23"/>
  <c r="U156" i="23"/>
  <c r="G134" i="23"/>
  <c r="U100" i="23"/>
  <c r="G84" i="23"/>
  <c r="U78" i="23"/>
  <c r="U76" i="23"/>
  <c r="G52" i="23"/>
  <c r="G50" i="23"/>
  <c r="G48" i="23"/>
  <c r="G44" i="23"/>
  <c r="G135" i="23"/>
  <c r="G39" i="23"/>
  <c r="U475" i="23"/>
  <c r="G374" i="23"/>
  <c r="U333" i="23"/>
  <c r="U125" i="23"/>
  <c r="U82" i="23"/>
  <c r="U433" i="23"/>
  <c r="G250" i="23"/>
  <c r="G689" i="23"/>
  <c r="G453" i="23"/>
  <c r="U280" i="23"/>
  <c r="U260" i="23"/>
  <c r="U253" i="23"/>
  <c r="G248" i="23"/>
  <c r="U230" i="23"/>
  <c r="U103" i="23"/>
  <c r="G627" i="23"/>
  <c r="G124" i="23"/>
  <c r="G108" i="23"/>
  <c r="U56" i="23"/>
  <c r="U557" i="23"/>
  <c r="U550" i="23"/>
  <c r="U522" i="23"/>
  <c r="G501" i="23"/>
  <c r="U424" i="23"/>
  <c r="G382" i="23"/>
  <c r="G360" i="23"/>
  <c r="U340" i="23"/>
  <c r="G295" i="23"/>
  <c r="U281" i="23"/>
  <c r="G269" i="23"/>
  <c r="U248" i="23"/>
  <c r="G236" i="23"/>
  <c r="U218" i="23"/>
  <c r="U209" i="23"/>
  <c r="U191" i="23"/>
  <c r="G190" i="23"/>
  <c r="G180" i="23"/>
  <c r="G173" i="23"/>
  <c r="G154" i="23"/>
  <c r="U151" i="23"/>
  <c r="G150" i="23"/>
  <c r="G128" i="23"/>
  <c r="G119" i="23"/>
  <c r="G112" i="23"/>
  <c r="G105" i="23"/>
  <c r="G96" i="23"/>
  <c r="U74" i="23"/>
  <c r="G46" i="23"/>
  <c r="G42" i="23"/>
  <c r="G156" i="23"/>
  <c r="G90" i="23"/>
  <c r="U426" i="23"/>
  <c r="U317" i="23"/>
  <c r="G26" i="23"/>
  <c r="G285" i="23"/>
  <c r="U60" i="23"/>
  <c r="G412" i="23"/>
  <c r="U262" i="23"/>
  <c r="U608" i="23"/>
  <c r="U559" i="23"/>
  <c r="U356" i="23"/>
  <c r="G310" i="23"/>
  <c r="U293" i="23"/>
  <c r="G544" i="23"/>
  <c r="G500" i="23"/>
  <c r="U477" i="23"/>
  <c r="U467" i="23"/>
  <c r="U420" i="23"/>
  <c r="G410" i="23"/>
  <c r="G401" i="23"/>
  <c r="U397" i="23"/>
  <c r="G377" i="23"/>
  <c r="U369" i="23"/>
  <c r="G355" i="23"/>
  <c r="U338" i="23"/>
  <c r="G327" i="23"/>
  <c r="G279" i="23"/>
  <c r="G275" i="23"/>
  <c r="U232" i="23"/>
  <c r="U201" i="23"/>
  <c r="G200" i="23"/>
  <c r="G87" i="23"/>
  <c r="G184" i="23"/>
  <c r="G35" i="23"/>
  <c r="G710" i="23"/>
  <c r="U575" i="23"/>
  <c r="U504" i="23"/>
  <c r="G391" i="23"/>
  <c r="G299" i="23"/>
  <c r="U251" i="23"/>
  <c r="G237" i="23"/>
  <c r="U207" i="23"/>
  <c r="U195" i="23"/>
  <c r="U132" i="23"/>
  <c r="U118" i="23"/>
  <c r="U109" i="23"/>
  <c r="U102" i="23"/>
  <c r="U83" i="23"/>
  <c r="U61" i="23"/>
  <c r="U59" i="23"/>
  <c r="U57" i="23"/>
  <c r="G33" i="23"/>
  <c r="G29" i="23"/>
  <c r="G319" i="23"/>
  <c r="U268" i="23"/>
  <c r="G582" i="23"/>
  <c r="U542" i="23"/>
  <c r="G520" i="23"/>
  <c r="U376" i="23"/>
  <c r="U344" i="23"/>
  <c r="G317" i="23"/>
  <c r="U213" i="23"/>
  <c r="G195" i="23"/>
  <c r="G166" i="23"/>
  <c r="G141" i="23"/>
  <c r="U134" i="23"/>
  <c r="U86" i="23"/>
  <c r="G270" i="23"/>
  <c r="U58" i="23"/>
  <c r="U585" i="23"/>
  <c r="U549" i="23"/>
  <c r="U472" i="23"/>
  <c r="U458" i="23"/>
  <c r="U416" i="23"/>
  <c r="U386" i="23"/>
  <c r="U381" i="23"/>
  <c r="U364" i="23"/>
  <c r="G322" i="23"/>
  <c r="G306" i="23"/>
  <c r="U255" i="23"/>
  <c r="G247" i="23"/>
  <c r="U227" i="23"/>
  <c r="U210" i="23"/>
  <c r="G174" i="23"/>
  <c r="U162" i="23"/>
  <c r="G140" i="23"/>
  <c r="U137" i="23"/>
  <c r="U124" i="23"/>
  <c r="G113" i="23"/>
  <c r="G106" i="23"/>
  <c r="G97" i="23"/>
  <c r="U80" i="23"/>
  <c r="U79" i="23"/>
  <c r="U77" i="23"/>
  <c r="U75" i="23"/>
  <c r="U73" i="23"/>
  <c r="G45" i="23"/>
  <c r="G41" i="23"/>
  <c r="U592" i="23"/>
  <c r="G442" i="23"/>
  <c r="U437" i="23"/>
  <c r="U423" i="23"/>
  <c r="U331" i="23"/>
  <c r="G320" i="23"/>
  <c r="U287" i="23"/>
  <c r="U270" i="23"/>
  <c r="G242" i="23"/>
  <c r="U224" i="23"/>
  <c r="U216" i="23"/>
  <c r="G194" i="23"/>
  <c r="G160" i="23"/>
  <c r="U157" i="23"/>
  <c r="G89" i="23"/>
  <c r="U67" i="23"/>
  <c r="G37" i="23"/>
  <c r="G610" i="23"/>
  <c r="G567" i="23"/>
  <c r="U466" i="23"/>
  <c r="U361" i="23"/>
  <c r="G234" i="23"/>
  <c r="G226" i="23"/>
  <c r="G178" i="23"/>
  <c r="U143" i="23"/>
  <c r="U95" i="23"/>
  <c r="U55" i="23"/>
  <c r="G188" i="23"/>
  <c r="U138" i="23"/>
  <c r="U448" i="23"/>
  <c r="G371" i="23"/>
  <c r="G312" i="23"/>
  <c r="G243" i="23"/>
  <c r="U222" i="23"/>
  <c r="G198" i="23"/>
  <c r="G161" i="23"/>
  <c r="G131" i="23"/>
  <c r="G115" i="23"/>
  <c r="G688" i="23"/>
  <c r="G240" i="23"/>
  <c r="U456" i="23"/>
  <c r="G300" i="23"/>
  <c r="U291" i="23"/>
  <c r="U265" i="23"/>
  <c r="G238" i="23"/>
  <c r="U211" i="23"/>
  <c r="G172" i="23"/>
  <c r="G132" i="23"/>
  <c r="U98" i="23"/>
  <c r="G68" i="23"/>
  <c r="G65" i="23"/>
  <c r="G60" i="23"/>
  <c r="U38" i="23"/>
  <c r="G302" i="23"/>
  <c r="U273" i="23"/>
  <c r="G256" i="23"/>
  <c r="G85" i="23"/>
  <c r="G323" i="23"/>
  <c r="U114" i="23"/>
  <c r="U105" i="23"/>
  <c r="U271" i="23"/>
  <c r="U483" i="23"/>
  <c r="G470" i="23"/>
  <c r="U373" i="23"/>
  <c r="G366" i="23"/>
  <c r="G176" i="23"/>
  <c r="G142" i="23"/>
  <c r="U107" i="23"/>
  <c r="G101" i="23"/>
  <c r="G179" i="23"/>
  <c r="G348" i="23"/>
  <c r="U614" i="23"/>
  <c r="G82" i="23"/>
  <c r="U29" i="23"/>
  <c r="G280" i="23"/>
  <c r="G230" i="23"/>
  <c r="U146" i="23"/>
  <c r="G71" i="23"/>
  <c r="U52" i="23"/>
  <c r="U44" i="23"/>
  <c r="G361" i="23"/>
  <c r="U220" i="23"/>
  <c r="U99" i="23"/>
  <c r="G316" i="23"/>
  <c r="U254" i="23"/>
  <c r="U336" i="23"/>
  <c r="G199" i="23"/>
  <c r="U597" i="23"/>
  <c r="G518" i="23"/>
  <c r="G264" i="23"/>
  <c r="G232" i="23"/>
  <c r="U214" i="23"/>
  <c r="G148" i="23"/>
  <c r="U27" i="23"/>
  <c r="G69" i="23"/>
  <c r="U197" i="23"/>
  <c r="U34" i="23"/>
  <c r="U370" i="23"/>
  <c r="U267" i="23"/>
  <c r="G167" i="23"/>
  <c r="U150" i="23"/>
  <c r="U491" i="23"/>
  <c r="U507" i="23"/>
  <c r="G66" i="23"/>
  <c r="U31" i="23"/>
  <c r="G117" i="23"/>
  <c r="G73" i="23"/>
  <c r="U440" i="23"/>
  <c r="U365" i="23"/>
  <c r="U334" i="23"/>
  <c r="U206" i="23"/>
  <c r="G138" i="23"/>
  <c r="G80" i="23"/>
  <c r="G70" i="23"/>
  <c r="G67" i="23"/>
  <c r="U48" i="23"/>
  <c r="U32" i="23"/>
  <c r="U439" i="23"/>
  <c r="U193" i="23"/>
  <c r="G144" i="23"/>
  <c r="G109" i="23"/>
  <c r="G64" i="23"/>
  <c r="A27" i="23"/>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78" i="23" s="1"/>
  <c r="A79" i="23" s="1"/>
  <c r="A80" i="23" s="1"/>
  <c r="A81" i="23" s="1"/>
  <c r="A82" i="23" s="1"/>
  <c r="A83" i="23" s="1"/>
  <c r="A84" i="23" s="1"/>
  <c r="A85" i="23" s="1"/>
  <c r="A86" i="23" s="1"/>
  <c r="A87" i="23" s="1"/>
  <c r="A88" i="23" s="1"/>
  <c r="A89" i="23" s="1"/>
  <c r="A90" i="23" s="1"/>
  <c r="A91" i="23" s="1"/>
  <c r="A92" i="23" s="1"/>
  <c r="A93" i="23" s="1"/>
  <c r="A94" i="23" s="1"/>
  <c r="A95" i="23" s="1"/>
  <c r="A96" i="23" s="1"/>
  <c r="A97" i="23" s="1"/>
  <c r="A98" i="23" s="1"/>
  <c r="A99" i="23" s="1"/>
  <c r="A100" i="23" s="1"/>
  <c r="A101" i="23" s="1"/>
  <c r="A102" i="23" s="1"/>
  <c r="A103" i="23" s="1"/>
  <c r="A104" i="23" s="1"/>
  <c r="A105" i="23" s="1"/>
  <c r="A106" i="23" s="1"/>
  <c r="A107" i="23" s="1"/>
  <c r="A108" i="23" s="1"/>
  <c r="A109" i="23" s="1"/>
  <c r="A110" i="23" s="1"/>
  <c r="A111" i="23" s="1"/>
  <c r="A112" i="23" s="1"/>
  <c r="A113" i="23" s="1"/>
  <c r="A114" i="23" s="1"/>
  <c r="A115" i="23" s="1"/>
  <c r="A116" i="23" s="1"/>
  <c r="A117" i="23" s="1"/>
  <c r="A118" i="23" s="1"/>
  <c r="A119" i="23" s="1"/>
  <c r="A120" i="23" s="1"/>
  <c r="A121" i="23" s="1"/>
  <c r="A122" i="23" s="1"/>
  <c r="A123" i="23" s="1"/>
  <c r="A124" i="23" s="1"/>
  <c r="A125" i="23" s="1"/>
  <c r="A126" i="23" s="1"/>
  <c r="A127" i="23" s="1"/>
  <c r="A128" i="23" s="1"/>
  <c r="A129" i="23" s="1"/>
  <c r="A130" i="23" s="1"/>
  <c r="A131" i="23" s="1"/>
  <c r="A132" i="23" s="1"/>
  <c r="A133" i="23" s="1"/>
  <c r="A134" i="23" s="1"/>
  <c r="A135" i="23" s="1"/>
  <c r="A136" i="23" s="1"/>
  <c r="A137" i="23" s="1"/>
  <c r="A138" i="23" s="1"/>
  <c r="A139" i="23" s="1"/>
  <c r="A140" i="23" s="1"/>
  <c r="A141" i="23" s="1"/>
  <c r="A142" i="23" s="1"/>
  <c r="A143" i="23" s="1"/>
  <c r="A144" i="23" s="1"/>
  <c r="A145" i="23" s="1"/>
  <c r="A146" i="23" s="1"/>
  <c r="A147" i="23" s="1"/>
  <c r="A148" i="23" s="1"/>
  <c r="A149" i="23" s="1"/>
  <c r="A150" i="23" s="1"/>
  <c r="A151" i="23" s="1"/>
  <c r="A152" i="23" s="1"/>
  <c r="A153" i="23" s="1"/>
  <c r="A154" i="23" s="1"/>
  <c r="A155" i="23" s="1"/>
  <c r="A156" i="23" s="1"/>
  <c r="A157" i="23" s="1"/>
  <c r="A158" i="23" s="1"/>
  <c r="A159" i="23" s="1"/>
  <c r="A160" i="23" s="1"/>
  <c r="A161" i="23" s="1"/>
  <c r="A162" i="23" s="1"/>
  <c r="A163" i="23" s="1"/>
  <c r="A164" i="23" s="1"/>
  <c r="A165" i="23" s="1"/>
  <c r="A166" i="23" s="1"/>
  <c r="A167" i="23" s="1"/>
  <c r="A168" i="23" s="1"/>
  <c r="A169" i="23" s="1"/>
  <c r="A170" i="23" s="1"/>
  <c r="A171" i="23" s="1"/>
  <c r="A172" i="23" s="1"/>
  <c r="A173" i="23" s="1"/>
  <c r="A174" i="23" s="1"/>
  <c r="A175" i="23" s="1"/>
  <c r="A176" i="23" s="1"/>
  <c r="A177" i="23" s="1"/>
  <c r="A178" i="23" s="1"/>
  <c r="A179" i="23" s="1"/>
  <c r="A180" i="23" s="1"/>
  <c r="A181" i="23" s="1"/>
  <c r="A182" i="23" s="1"/>
  <c r="A183" i="23" s="1"/>
  <c r="A184" i="23" s="1"/>
  <c r="A185" i="23" s="1"/>
  <c r="A186" i="23" s="1"/>
  <c r="A187" i="23" s="1"/>
  <c r="A188" i="23" s="1"/>
  <c r="A189" i="23" s="1"/>
  <c r="A190" i="23" s="1"/>
  <c r="A191" i="23" s="1"/>
  <c r="A192" i="23" s="1"/>
  <c r="A193" i="23" s="1"/>
  <c r="A194" i="23" s="1"/>
  <c r="A195" i="23" s="1"/>
  <c r="A196" i="23" s="1"/>
  <c r="A197" i="23" s="1"/>
  <c r="A198" i="23" s="1"/>
  <c r="A199" i="23" s="1"/>
  <c r="A200" i="23" s="1"/>
  <c r="A201" i="23" s="1"/>
  <c r="A202" i="23" s="1"/>
  <c r="A203" i="23" s="1"/>
  <c r="A204" i="23" s="1"/>
  <c r="A205" i="23" s="1"/>
  <c r="A206" i="23" s="1"/>
  <c r="A207" i="23" s="1"/>
  <c r="A208" i="23" s="1"/>
  <c r="A209" i="23" s="1"/>
  <c r="A210" i="23" s="1"/>
  <c r="A211" i="23" s="1"/>
  <c r="A212" i="23" s="1"/>
  <c r="A213" i="23" s="1"/>
  <c r="A214" i="23" s="1"/>
  <c r="A215" i="23" s="1"/>
  <c r="A216" i="23" s="1"/>
  <c r="A217" i="23" s="1"/>
  <c r="A218" i="23" s="1"/>
  <c r="A219" i="23" s="1"/>
  <c r="A220" i="23" s="1"/>
  <c r="A221" i="23" s="1"/>
  <c r="A222" i="23" s="1"/>
  <c r="A223" i="23" s="1"/>
  <c r="A224" i="23" s="1"/>
  <c r="A225" i="23" s="1"/>
  <c r="A226" i="23" s="1"/>
  <c r="A227" i="23" s="1"/>
  <c r="A228" i="23" s="1"/>
  <c r="A229" i="23" s="1"/>
  <c r="A230" i="23" s="1"/>
  <c r="A231" i="23" s="1"/>
  <c r="A232" i="23" s="1"/>
  <c r="A233" i="23" s="1"/>
  <c r="A234" i="23" s="1"/>
  <c r="A235" i="23" s="1"/>
  <c r="A236" i="23" s="1"/>
  <c r="A237" i="23" s="1"/>
  <c r="A238" i="23" s="1"/>
  <c r="A239" i="23" s="1"/>
  <c r="A240" i="23" s="1"/>
  <c r="A241" i="23" s="1"/>
  <c r="A242" i="23" s="1"/>
  <c r="A243" i="23" s="1"/>
  <c r="A244" i="23" s="1"/>
  <c r="A245" i="23" s="1"/>
  <c r="A246" i="23" s="1"/>
  <c r="A247" i="23" s="1"/>
  <c r="A248" i="23" s="1"/>
  <c r="A249" i="23" s="1"/>
  <c r="A250" i="23" s="1"/>
  <c r="A251" i="23" s="1"/>
  <c r="A252" i="23" s="1"/>
  <c r="A253" i="23" s="1"/>
  <c r="A254" i="23" s="1"/>
  <c r="A255" i="23" s="1"/>
  <c r="A256" i="23" s="1"/>
  <c r="A257" i="23" s="1"/>
  <c r="A258" i="23" s="1"/>
  <c r="A259" i="23" s="1"/>
  <c r="A260" i="23" s="1"/>
  <c r="A261" i="23" s="1"/>
  <c r="A262" i="23" s="1"/>
  <c r="A263" i="23" s="1"/>
  <c r="A264" i="23" s="1"/>
  <c r="A265" i="23" s="1"/>
  <c r="A266" i="23" s="1"/>
  <c r="A267" i="23" s="1"/>
  <c r="A268" i="23" s="1"/>
  <c r="A269" i="23" s="1"/>
  <c r="A270" i="23" s="1"/>
  <c r="A271" i="23" s="1"/>
  <c r="A272" i="23" s="1"/>
  <c r="A273" i="23" s="1"/>
  <c r="A274" i="23" s="1"/>
  <c r="A275" i="23" s="1"/>
  <c r="A276" i="23" s="1"/>
  <c r="A277" i="23" s="1"/>
  <c r="A278" i="23" s="1"/>
  <c r="A279" i="23" s="1"/>
  <c r="A280" i="23" s="1"/>
  <c r="A281" i="23" s="1"/>
  <c r="A282" i="23" s="1"/>
  <c r="A283" i="23" s="1"/>
  <c r="A284" i="23" s="1"/>
  <c r="A285" i="23" s="1"/>
  <c r="A286" i="23" s="1"/>
  <c r="A287" i="23" s="1"/>
  <c r="A288" i="23" s="1"/>
  <c r="A289" i="23" s="1"/>
  <c r="A290" i="23" s="1"/>
  <c r="A291" i="23" s="1"/>
  <c r="A292" i="23" s="1"/>
  <c r="A293" i="23" s="1"/>
  <c r="A294" i="23" s="1"/>
  <c r="A295" i="23" s="1"/>
  <c r="A296" i="23" s="1"/>
  <c r="A297" i="23" s="1"/>
  <c r="A298" i="23" s="1"/>
  <c r="A299" i="23" s="1"/>
  <c r="A300" i="23" s="1"/>
  <c r="A301" i="23" s="1"/>
  <c r="A302" i="23" s="1"/>
  <c r="A303" i="23" s="1"/>
  <c r="A304" i="23" s="1"/>
  <c r="A305" i="23" s="1"/>
  <c r="A306" i="23" s="1"/>
  <c r="A307" i="23" s="1"/>
  <c r="A308" i="23" s="1"/>
  <c r="A309" i="23" s="1"/>
  <c r="A310" i="23" s="1"/>
  <c r="A311" i="23" s="1"/>
  <c r="A312" i="23" s="1"/>
  <c r="A313" i="23" s="1"/>
  <c r="A314" i="23" s="1"/>
  <c r="A315" i="23" s="1"/>
  <c r="A316" i="23" s="1"/>
  <c r="A317" i="23" s="1"/>
  <c r="A318" i="23" s="1"/>
  <c r="A319" i="23" s="1"/>
  <c r="A320" i="23" s="1"/>
  <c r="A321" i="23" s="1"/>
  <c r="A322" i="23" s="1"/>
  <c r="A323" i="23" s="1"/>
  <c r="A324" i="23" s="1"/>
  <c r="A325" i="23" s="1"/>
  <c r="A326" i="23" s="1"/>
  <c r="A327" i="23" s="1"/>
  <c r="A328" i="23" s="1"/>
  <c r="A329" i="23" s="1"/>
  <c r="A330" i="23" s="1"/>
  <c r="A331" i="23" s="1"/>
  <c r="A332" i="23" s="1"/>
  <c r="A333" i="23" s="1"/>
  <c r="A334" i="23" s="1"/>
  <c r="A335" i="23" s="1"/>
  <c r="A336" i="23" s="1"/>
  <c r="A337" i="23" s="1"/>
  <c r="A338" i="23" s="1"/>
  <c r="A339" i="23" s="1"/>
  <c r="A340" i="23" s="1"/>
  <c r="A341" i="23" s="1"/>
  <c r="A342" i="23" s="1"/>
  <c r="A343" i="23" s="1"/>
  <c r="A344" i="23" s="1"/>
  <c r="A345" i="23" s="1"/>
  <c r="A346" i="23" s="1"/>
  <c r="A347" i="23" s="1"/>
  <c r="A348" i="23" s="1"/>
  <c r="A349" i="23" s="1"/>
  <c r="A350" i="23" s="1"/>
  <c r="A351" i="23" s="1"/>
  <c r="A352" i="23" s="1"/>
  <c r="A353" i="23" s="1"/>
  <c r="A354" i="23" s="1"/>
  <c r="A355" i="23" s="1"/>
  <c r="A356" i="23" s="1"/>
  <c r="A357" i="23" s="1"/>
  <c r="A358" i="23" s="1"/>
  <c r="A359" i="23" s="1"/>
  <c r="A360" i="23" s="1"/>
  <c r="A361" i="23" s="1"/>
  <c r="A362" i="23" s="1"/>
  <c r="A363" i="23" s="1"/>
  <c r="A364" i="23" s="1"/>
  <c r="A365" i="23" s="1"/>
  <c r="A366" i="23" s="1"/>
  <c r="A367" i="23" s="1"/>
  <c r="A368" i="23" s="1"/>
  <c r="A369" i="23" s="1"/>
  <c r="A370" i="23" s="1"/>
  <c r="A371" i="23" s="1"/>
  <c r="A372" i="23" s="1"/>
  <c r="A373" i="23" s="1"/>
  <c r="A374" i="23" s="1"/>
  <c r="A375" i="23" s="1"/>
  <c r="A376" i="23" s="1"/>
  <c r="A377" i="23" s="1"/>
  <c r="A378" i="23" s="1"/>
  <c r="A379" i="23" s="1"/>
  <c r="A380" i="23" s="1"/>
  <c r="A381" i="23" s="1"/>
  <c r="A382" i="23" s="1"/>
  <c r="A383" i="23" s="1"/>
  <c r="A384" i="23" s="1"/>
  <c r="A385" i="23" s="1"/>
  <c r="A386" i="23" s="1"/>
  <c r="A387" i="23" s="1"/>
  <c r="A388" i="23" s="1"/>
  <c r="A389" i="23" s="1"/>
  <c r="A390" i="23" s="1"/>
  <c r="A391" i="23" s="1"/>
  <c r="A392" i="23" s="1"/>
  <c r="A393" i="23" s="1"/>
  <c r="A394" i="23" s="1"/>
  <c r="A395" i="23" s="1"/>
  <c r="A396" i="23" s="1"/>
  <c r="A397" i="23" s="1"/>
  <c r="A398" i="23" s="1"/>
  <c r="A399" i="23" s="1"/>
  <c r="A400" i="23" s="1"/>
  <c r="A401" i="23" s="1"/>
  <c r="A402" i="23" s="1"/>
  <c r="A403" i="23" s="1"/>
  <c r="A404" i="23" s="1"/>
  <c r="A405" i="23" s="1"/>
  <c r="A406" i="23" s="1"/>
  <c r="A407" i="23" s="1"/>
  <c r="A408" i="23" s="1"/>
  <c r="A409" i="23" s="1"/>
  <c r="A410" i="23" s="1"/>
  <c r="A411" i="23" s="1"/>
  <c r="A412" i="23" s="1"/>
  <c r="A413" i="23" s="1"/>
  <c r="A414" i="23" s="1"/>
  <c r="A415" i="23" s="1"/>
  <c r="A416" i="23" s="1"/>
  <c r="A417" i="23" s="1"/>
  <c r="A418" i="23" s="1"/>
  <c r="A419" i="23" s="1"/>
  <c r="A420" i="23" s="1"/>
  <c r="A421" i="23" s="1"/>
  <c r="A422" i="23" s="1"/>
  <c r="A423" i="23" s="1"/>
  <c r="A424" i="23" s="1"/>
  <c r="A425" i="23" s="1"/>
  <c r="A426" i="23" s="1"/>
  <c r="A427" i="23" s="1"/>
  <c r="A428" i="23" s="1"/>
  <c r="A429" i="23" s="1"/>
  <c r="A430" i="23" s="1"/>
  <c r="A431" i="23" s="1"/>
  <c r="A432" i="23" s="1"/>
  <c r="A433" i="23" s="1"/>
  <c r="A434" i="23" s="1"/>
  <c r="A435" i="23" s="1"/>
  <c r="A436" i="23" s="1"/>
  <c r="A437" i="23" s="1"/>
  <c r="A438" i="23" s="1"/>
  <c r="A439" i="23" s="1"/>
  <c r="A440" i="23" s="1"/>
  <c r="A441" i="23" s="1"/>
  <c r="A442" i="23" s="1"/>
  <c r="A443" i="23" s="1"/>
  <c r="A444" i="23" s="1"/>
  <c r="A445" i="23" s="1"/>
  <c r="A446" i="23" s="1"/>
  <c r="A447" i="23" s="1"/>
  <c r="A448" i="23" s="1"/>
  <c r="A449" i="23" s="1"/>
  <c r="A450" i="23" s="1"/>
  <c r="A451" i="23" s="1"/>
  <c r="A452" i="23" s="1"/>
  <c r="A453" i="23" s="1"/>
  <c r="A454" i="23" s="1"/>
  <c r="A455" i="23" s="1"/>
  <c r="A456" i="23" s="1"/>
  <c r="A457" i="23" s="1"/>
  <c r="A458" i="23" s="1"/>
  <c r="A459" i="23" s="1"/>
  <c r="A460" i="23" s="1"/>
  <c r="A461" i="23" s="1"/>
  <c r="A462" i="23" s="1"/>
  <c r="A463" i="23" s="1"/>
  <c r="A464" i="23" s="1"/>
  <c r="A465" i="23" s="1"/>
  <c r="A466" i="23" s="1"/>
  <c r="A467" i="23" s="1"/>
  <c r="A468" i="23" s="1"/>
  <c r="A469" i="23" s="1"/>
  <c r="A470" i="23" s="1"/>
  <c r="A471" i="23" s="1"/>
  <c r="A472" i="23" s="1"/>
  <c r="A473" i="23" s="1"/>
  <c r="A474" i="23" s="1"/>
  <c r="A475" i="23" s="1"/>
  <c r="A476" i="23" s="1"/>
  <c r="A477" i="23" s="1"/>
  <c r="A478" i="23" s="1"/>
  <c r="A479" i="23" s="1"/>
  <c r="A480" i="23" s="1"/>
  <c r="A481" i="23" s="1"/>
  <c r="A482" i="23" s="1"/>
  <c r="A483" i="23" s="1"/>
  <c r="A484" i="23" s="1"/>
  <c r="A485" i="23" s="1"/>
  <c r="A486" i="23" s="1"/>
  <c r="A487" i="23" s="1"/>
  <c r="A488" i="23" s="1"/>
  <c r="A489" i="23" s="1"/>
  <c r="A490" i="23" s="1"/>
  <c r="A491" i="23" s="1"/>
  <c r="A492" i="23" s="1"/>
  <c r="A493" i="23" s="1"/>
  <c r="A494" i="23" s="1"/>
  <c r="A495" i="23" s="1"/>
  <c r="A496" i="23" s="1"/>
  <c r="A497" i="23" s="1"/>
  <c r="A498" i="23" s="1"/>
  <c r="A499" i="23" s="1"/>
  <c r="A500" i="23" s="1"/>
  <c r="A501" i="23" s="1"/>
  <c r="A502" i="23" s="1"/>
  <c r="A503" i="23" s="1"/>
  <c r="A504" i="23" s="1"/>
  <c r="A505" i="23" s="1"/>
  <c r="A506" i="23" s="1"/>
  <c r="A507" i="23" s="1"/>
  <c r="A508" i="23" s="1"/>
  <c r="A509" i="23" s="1"/>
  <c r="A510" i="23" s="1"/>
  <c r="A511" i="23" s="1"/>
  <c r="A512" i="23" s="1"/>
  <c r="A513" i="23" s="1"/>
  <c r="A514" i="23" s="1"/>
  <c r="A515" i="23" s="1"/>
  <c r="A516" i="23" s="1"/>
  <c r="A517" i="23" s="1"/>
  <c r="A518" i="23" s="1"/>
  <c r="A519" i="23" s="1"/>
  <c r="A520" i="23" s="1"/>
  <c r="A521" i="23" s="1"/>
  <c r="A522" i="23" s="1"/>
  <c r="A523" i="23" s="1"/>
  <c r="A524" i="23" s="1"/>
  <c r="A525" i="23" s="1"/>
  <c r="A526" i="23" s="1"/>
  <c r="A527" i="23" s="1"/>
  <c r="A528" i="23" s="1"/>
  <c r="A529" i="23" s="1"/>
  <c r="A530" i="23" s="1"/>
  <c r="A531" i="23" s="1"/>
  <c r="A532" i="23" s="1"/>
  <c r="A533" i="23" s="1"/>
  <c r="A534" i="23" s="1"/>
  <c r="A535" i="23" s="1"/>
  <c r="A536" i="23" s="1"/>
  <c r="A537" i="23" s="1"/>
  <c r="A538" i="23" s="1"/>
  <c r="A539" i="23" s="1"/>
  <c r="A540" i="23" s="1"/>
  <c r="A541" i="23" s="1"/>
  <c r="A542" i="23" s="1"/>
  <c r="A543" i="23" s="1"/>
  <c r="A544" i="23" s="1"/>
  <c r="A545" i="23" s="1"/>
  <c r="A546" i="23" s="1"/>
  <c r="A547" i="23" s="1"/>
  <c r="A548" i="23" s="1"/>
  <c r="A549" i="23" s="1"/>
  <c r="A550" i="23" s="1"/>
  <c r="A551" i="23" s="1"/>
  <c r="A552" i="23" s="1"/>
  <c r="A553" i="23" s="1"/>
  <c r="A554" i="23" s="1"/>
  <c r="A555" i="23" s="1"/>
  <c r="A556" i="23" s="1"/>
  <c r="A557" i="23" s="1"/>
  <c r="A558" i="23" s="1"/>
  <c r="A559" i="23" s="1"/>
  <c r="A560" i="23" s="1"/>
  <c r="A561" i="23" s="1"/>
  <c r="A562" i="23" s="1"/>
  <c r="A563" i="23" s="1"/>
  <c r="A564" i="23" s="1"/>
  <c r="A565" i="23" s="1"/>
  <c r="A566" i="23" s="1"/>
  <c r="A567" i="23" s="1"/>
  <c r="A568" i="23" s="1"/>
  <c r="A569" i="23" s="1"/>
  <c r="A570" i="23" s="1"/>
  <c r="A571" i="23" s="1"/>
  <c r="A572" i="23" s="1"/>
  <c r="A573" i="23" s="1"/>
  <c r="A574" i="23" s="1"/>
  <c r="A575" i="23" s="1"/>
  <c r="A576" i="23" s="1"/>
  <c r="A577" i="23" s="1"/>
  <c r="A578" i="23" s="1"/>
  <c r="A579" i="23" s="1"/>
  <c r="A580" i="23" s="1"/>
  <c r="A581" i="23" s="1"/>
  <c r="A582" i="23" s="1"/>
  <c r="A583" i="23" s="1"/>
  <c r="A584" i="23" s="1"/>
  <c r="A585" i="23" s="1"/>
  <c r="A586" i="23" s="1"/>
  <c r="A587" i="23" s="1"/>
  <c r="A588" i="23" s="1"/>
  <c r="A589" i="23" s="1"/>
  <c r="A590" i="23" s="1"/>
  <c r="A591" i="23" s="1"/>
  <c r="A592" i="23" s="1"/>
  <c r="A593" i="23" s="1"/>
  <c r="A594" i="23" s="1"/>
  <c r="A595" i="23" s="1"/>
  <c r="A596" i="23" s="1"/>
  <c r="A597" i="23" s="1"/>
  <c r="A598" i="23" s="1"/>
  <c r="A599" i="23" s="1"/>
  <c r="A600" i="23" s="1"/>
  <c r="A601" i="23" s="1"/>
  <c r="A602" i="23" s="1"/>
  <c r="A603" i="23" s="1"/>
  <c r="A604" i="23" s="1"/>
  <c r="A605" i="23" s="1"/>
  <c r="A606" i="23" s="1"/>
  <c r="A607" i="23" s="1"/>
  <c r="A608" i="23" s="1"/>
  <c r="A609" i="23" s="1"/>
  <c r="A610" i="23" s="1"/>
  <c r="A611" i="23" s="1"/>
  <c r="A612" i="23" s="1"/>
  <c r="A613" i="23" s="1"/>
  <c r="A614" i="23" s="1"/>
  <c r="A615" i="23" s="1"/>
  <c r="A616" i="23" s="1"/>
  <c r="A617" i="23" s="1"/>
  <c r="A618" i="23" s="1"/>
  <c r="A619" i="23" s="1"/>
  <c r="A620" i="23" s="1"/>
  <c r="A621" i="23" s="1"/>
  <c r="A622" i="23" s="1"/>
  <c r="A623" i="23" s="1"/>
  <c r="A624" i="23" s="1"/>
  <c r="A625" i="23" s="1"/>
  <c r="A626" i="23" s="1"/>
  <c r="A627" i="23" s="1"/>
  <c r="A628" i="23" s="1"/>
  <c r="A629" i="23" s="1"/>
  <c r="A630" i="23" s="1"/>
  <c r="A631" i="23" s="1"/>
  <c r="A632" i="23" s="1"/>
  <c r="A633" i="23" s="1"/>
  <c r="A634" i="23" s="1"/>
  <c r="A635" i="23" s="1"/>
  <c r="A636" i="23" s="1"/>
  <c r="A637" i="23" s="1"/>
  <c r="A638" i="23" s="1"/>
  <c r="A639" i="23" s="1"/>
  <c r="A640" i="23" s="1"/>
  <c r="A641" i="23" s="1"/>
  <c r="A642" i="23" s="1"/>
  <c r="A643" i="23" s="1"/>
  <c r="A644" i="23" s="1"/>
  <c r="A645" i="23" s="1"/>
  <c r="A646" i="23" s="1"/>
  <c r="A647" i="23" s="1"/>
  <c r="A648" i="23" s="1"/>
  <c r="A649" i="23" s="1"/>
  <c r="A650" i="23" s="1"/>
  <c r="A651" i="23" s="1"/>
  <c r="A652" i="23" s="1"/>
  <c r="A653" i="23" s="1"/>
  <c r="A654" i="23" s="1"/>
  <c r="A655" i="23" s="1"/>
  <c r="A656" i="23" s="1"/>
  <c r="A657" i="23" s="1"/>
  <c r="A658" i="23" s="1"/>
  <c r="A659" i="23" s="1"/>
  <c r="A660" i="23" s="1"/>
  <c r="A661" i="23" s="1"/>
  <c r="A662" i="23" s="1"/>
  <c r="A663" i="23" s="1"/>
  <c r="A664" i="23" s="1"/>
  <c r="A665" i="23" s="1"/>
  <c r="A666" i="23" s="1"/>
  <c r="A667" i="23" s="1"/>
  <c r="A668" i="23" s="1"/>
  <c r="A669" i="23" s="1"/>
  <c r="A670" i="23" s="1"/>
  <c r="A671" i="23" s="1"/>
  <c r="A672" i="23" s="1"/>
  <c r="A673" i="23" s="1"/>
  <c r="A674" i="23" s="1"/>
  <c r="A675" i="23" s="1"/>
  <c r="A676" i="23" s="1"/>
  <c r="A677" i="23" s="1"/>
  <c r="A678" i="23" s="1"/>
  <c r="A679" i="23" s="1"/>
  <c r="A680" i="23" s="1"/>
  <c r="A681" i="23" s="1"/>
  <c r="A682" i="23" s="1"/>
  <c r="A683" i="23" s="1"/>
  <c r="A684" i="23" s="1"/>
  <c r="A685" i="23" s="1"/>
  <c r="A686" i="23" s="1"/>
  <c r="A687" i="23" s="1"/>
  <c r="A688" i="23" s="1"/>
  <c r="A689" i="23" s="1"/>
  <c r="A690" i="23" s="1"/>
  <c r="A691" i="23" s="1"/>
  <c r="A692" i="23" s="1"/>
  <c r="A693" i="23" s="1"/>
  <c r="A694" i="23" s="1"/>
  <c r="A695" i="23" s="1"/>
  <c r="A696" i="23" s="1"/>
  <c r="A697" i="23" s="1"/>
  <c r="A698" i="23" s="1"/>
  <c r="A699" i="23" s="1"/>
  <c r="A700" i="23" s="1"/>
  <c r="A701" i="23" s="1"/>
  <c r="A702" i="23" s="1"/>
  <c r="A703" i="23" s="1"/>
  <c r="A704" i="23" s="1"/>
  <c r="A705" i="23" s="1"/>
  <c r="A706" i="23" s="1"/>
  <c r="A707" i="23" s="1"/>
  <c r="A708" i="23" s="1"/>
  <c r="A709" i="23" s="1"/>
  <c r="A710" i="23" s="1"/>
  <c r="A711" i="23" s="1"/>
  <c r="A712" i="23" s="1"/>
  <c r="A713" i="23" s="1"/>
  <c r="A714" i="23" s="1"/>
  <c r="A715" i="23" s="1"/>
  <c r="A716" i="23" s="1"/>
  <c r="A717" i="23" s="1"/>
  <c r="A718" i="23" s="1"/>
  <c r="A719" i="23" s="1"/>
  <c r="A720" i="23" s="1"/>
  <c r="A721" i="23" s="1"/>
  <c r="A722" i="23" s="1"/>
  <c r="A723" i="23" s="1"/>
  <c r="A724" i="23" s="1"/>
  <c r="A725" i="23" s="1"/>
  <c r="A726" i="23" s="1"/>
  <c r="A727" i="23" s="1"/>
  <c r="A728" i="23" s="1"/>
  <c r="A729" i="23" s="1"/>
  <c r="A730" i="23" s="1"/>
  <c r="A731" i="23" s="1"/>
  <c r="A732" i="23" s="1"/>
  <c r="A733" i="23" s="1"/>
  <c r="A734" i="23" s="1"/>
  <c r="A735" i="23" s="1"/>
  <c r="A736" i="23" s="1"/>
  <c r="A737" i="23" s="1"/>
  <c r="A738" i="23" s="1"/>
  <c r="A739" i="23" s="1"/>
  <c r="A740" i="23" s="1"/>
  <c r="A741" i="23" s="1"/>
  <c r="A742" i="23" s="1"/>
  <c r="A743" i="23" s="1"/>
  <c r="A744" i="23" s="1"/>
  <c r="A745" i="23" s="1"/>
  <c r="A746" i="23" s="1"/>
  <c r="A747" i="23" s="1"/>
  <c r="A748" i="23" s="1"/>
  <c r="G378" i="23"/>
  <c r="G363" i="23"/>
  <c r="U208" i="23"/>
  <c r="G94" i="23"/>
  <c r="G614" i="23"/>
  <c r="U169" i="23"/>
  <c r="G102" i="23"/>
  <c r="G153" i="23"/>
  <c r="U36" i="23"/>
  <c r="G175" i="23"/>
  <c r="U144" i="23"/>
  <c r="U128" i="23"/>
  <c r="U122" i="23"/>
  <c r="G116" i="23"/>
  <c r="G110" i="23"/>
  <c r="U88" i="23"/>
  <c r="U40" i="23"/>
  <c r="U164" i="23"/>
  <c r="U35" i="23"/>
  <c r="U495" i="23"/>
  <c r="G479" i="23"/>
  <c r="U395" i="23"/>
  <c r="U205" i="23"/>
  <c r="G182" i="23"/>
  <c r="U140" i="23"/>
  <c r="G77" i="23"/>
  <c r="U508" i="23"/>
  <c r="G405" i="23"/>
  <c r="G303" i="23"/>
  <c r="U288" i="23"/>
  <c r="G274" i="23"/>
  <c r="G186" i="23"/>
  <c r="G147" i="23"/>
  <c r="U121" i="23"/>
  <c r="U106" i="23"/>
  <c r="G100" i="23"/>
  <c r="U42" i="23"/>
  <c r="U323" i="23"/>
  <c r="U170" i="23"/>
  <c r="U368" i="23"/>
  <c r="U353" i="23"/>
  <c r="G686" i="23"/>
  <c r="U392" i="23"/>
  <c r="U432" i="23"/>
  <c r="G192" i="23"/>
  <c r="G93" i="23"/>
  <c r="G278" i="23"/>
  <c r="U228" i="23"/>
  <c r="U443" i="23"/>
  <c r="G383" i="23"/>
  <c r="U46" i="23"/>
  <c r="D34" i="21"/>
  <c r="B35" i="21"/>
  <c r="T13" i="8"/>
  <c r="B24" i="8"/>
  <c r="D24" i="8"/>
  <c r="F24" i="8"/>
  <c r="H24" i="8"/>
  <c r="J24" i="8"/>
  <c r="L24" i="8"/>
  <c r="N24" i="8"/>
  <c r="Q26" i="8"/>
  <c r="Q27" i="8" s="1"/>
  <c r="P26" i="8"/>
  <c r="P24" i="8"/>
  <c r="S26" i="8"/>
  <c r="S27" i="8" s="1"/>
  <c r="R26" i="8"/>
  <c r="R24" i="8"/>
  <c r="U26" i="8"/>
  <c r="U27" i="8" s="1"/>
  <c r="T26" i="8"/>
  <c r="T24" i="8"/>
  <c r="O26" i="8"/>
  <c r="O27" i="8" s="1"/>
  <c r="M26" i="8"/>
  <c r="M27" i="8" s="1"/>
  <c r="K26" i="8"/>
  <c r="K27" i="8" s="1"/>
  <c r="N26" i="8"/>
  <c r="L26" i="8"/>
  <c r="J26" i="8"/>
  <c r="I26" i="8"/>
  <c r="I27" i="8" s="1"/>
  <c r="H26" i="8"/>
  <c r="G26" i="8"/>
  <c r="G27" i="8" s="1"/>
  <c r="F26" i="8"/>
  <c r="E26" i="8"/>
  <c r="E27" i="8" s="1"/>
  <c r="D26" i="8"/>
  <c r="B26" i="8"/>
  <c r="C26" i="8"/>
  <c r="C27" i="8" s="1"/>
  <c r="T29" i="8"/>
  <c r="R29" i="8"/>
  <c r="P29" i="8"/>
  <c r="N29" i="8"/>
  <c r="L29" i="8"/>
  <c r="J29" i="8"/>
  <c r="H29" i="8"/>
  <c r="F29" i="8"/>
  <c r="D29" i="8"/>
  <c r="B29" i="8"/>
  <c r="C34" i="19" l="1"/>
  <c r="F21" i="18" s="1"/>
  <c r="C35" i="19"/>
  <c r="E21" i="18"/>
  <c r="E20" i="18"/>
  <c r="K20" i="18" s="1"/>
  <c r="E22" i="18"/>
  <c r="K22" i="18" s="1"/>
  <c r="E18" i="18"/>
  <c r="K18" i="18" s="1"/>
  <c r="D32" i="22"/>
  <c r="E31" i="22"/>
  <c r="F31" i="22" s="1"/>
  <c r="R26" i="23"/>
  <c r="S26" i="23" s="1"/>
  <c r="Z26" i="23" s="1"/>
  <c r="AA26" i="23" s="1"/>
  <c r="D26" i="23"/>
  <c r="E26" i="23" s="1"/>
  <c r="J26" i="23" s="1"/>
  <c r="B36" i="21"/>
  <c r="B16" i="21" s="1"/>
  <c r="D35" i="21"/>
  <c r="G35" i="21" s="1"/>
  <c r="G34" i="21"/>
  <c r="T18" i="8"/>
  <c r="R18" i="8"/>
  <c r="P18" i="8"/>
  <c r="N18" i="8"/>
  <c r="L18" i="8"/>
  <c r="J18" i="8"/>
  <c r="H18" i="8"/>
  <c r="F18" i="8"/>
  <c r="D18" i="8"/>
  <c r="B18" i="8"/>
  <c r="U15" i="8"/>
  <c r="U16" i="8" s="1"/>
  <c r="T15" i="8"/>
  <c r="S15" i="8"/>
  <c r="S16" i="8" s="1"/>
  <c r="R15" i="8"/>
  <c r="Q15" i="8"/>
  <c r="Q16" i="8" s="1"/>
  <c r="P15" i="8"/>
  <c r="O15" i="8"/>
  <c r="O16" i="8" s="1"/>
  <c r="N15" i="8"/>
  <c r="M15" i="8"/>
  <c r="M16" i="8" s="1"/>
  <c r="L15" i="8"/>
  <c r="K15" i="8"/>
  <c r="K16" i="8" s="1"/>
  <c r="J15" i="8"/>
  <c r="I15" i="8"/>
  <c r="I16" i="8" s="1"/>
  <c r="H15" i="8"/>
  <c r="G15" i="8"/>
  <c r="G16" i="8" s="1"/>
  <c r="F15" i="8"/>
  <c r="E15" i="8"/>
  <c r="E16" i="8" s="1"/>
  <c r="D15" i="8"/>
  <c r="C15" i="8"/>
  <c r="C16" i="8" s="1"/>
  <c r="B15" i="8"/>
  <c r="F17" i="18" l="1"/>
  <c r="G17" i="18" s="1"/>
  <c r="E32" i="22"/>
  <c r="D8" i="22"/>
  <c r="D33" i="22"/>
  <c r="D13" i="22"/>
  <c r="H22" i="18"/>
  <c r="AB27" i="23"/>
  <c r="H20" i="18"/>
  <c r="H18" i="18"/>
  <c r="A30" i="18"/>
  <c r="B3" i="27" s="1"/>
  <c r="C36" i="19"/>
  <c r="F22" i="18"/>
  <c r="L22" i="18" s="1"/>
  <c r="F18" i="18"/>
  <c r="L18" i="18" s="1"/>
  <c r="F20" i="18"/>
  <c r="L20" i="18" s="1"/>
  <c r="Q27" i="23"/>
  <c r="T26" i="23"/>
  <c r="Y26" i="23" s="1"/>
  <c r="C27" i="23"/>
  <c r="L26" i="23"/>
  <c r="M26" i="23" s="1"/>
  <c r="N27" i="23"/>
  <c r="D36" i="21"/>
  <c r="B37" i="21"/>
  <c r="I10" i="27" l="1"/>
  <c r="H10" i="27"/>
  <c r="G10" i="27"/>
  <c r="F10" i="27"/>
  <c r="E10" i="27"/>
  <c r="D10" i="27"/>
  <c r="C10" i="27"/>
  <c r="B10" i="27"/>
  <c r="A32" i="18"/>
  <c r="B4" i="27" s="1"/>
  <c r="G15" i="18"/>
  <c r="G16" i="18"/>
  <c r="G14" i="18"/>
  <c r="L14" i="18" s="1"/>
  <c r="E33" i="22"/>
  <c r="F33" i="22" s="1"/>
  <c r="D34" i="22"/>
  <c r="G36" i="21"/>
  <c r="D16" i="21"/>
  <c r="I20" i="18"/>
  <c r="I22" i="18"/>
  <c r="I18" i="18"/>
  <c r="F32" i="22"/>
  <c r="E13" i="22"/>
  <c r="E8" i="22"/>
  <c r="K19" i="18" s="1"/>
  <c r="V26" i="23"/>
  <c r="W26" i="23" s="1"/>
  <c r="R27" i="23" s="1"/>
  <c r="S27" i="23" s="1"/>
  <c r="F26" i="23"/>
  <c r="K26" i="23" s="1"/>
  <c r="B38" i="21"/>
  <c r="D37" i="21"/>
  <c r="G37" i="21" s="1"/>
  <c r="J16" i="18" l="1"/>
  <c r="L16" i="18"/>
  <c r="B11" i="27"/>
  <c r="I11" i="27"/>
  <c r="F11" i="27"/>
  <c r="G11" i="27"/>
  <c r="E11" i="27"/>
  <c r="D11" i="27"/>
  <c r="C11" i="27"/>
  <c r="H11" i="27"/>
  <c r="P27" i="23"/>
  <c r="F13" i="22"/>
  <c r="F8" i="22"/>
  <c r="G17" i="21"/>
  <c r="G16" i="21"/>
  <c r="K21" i="18" s="1"/>
  <c r="J14" i="18"/>
  <c r="D35" i="22"/>
  <c r="E34" i="22"/>
  <c r="F34" i="22" s="1"/>
  <c r="H26" i="23"/>
  <c r="I26" i="23" s="1"/>
  <c r="B27" i="23" s="1"/>
  <c r="Q28" i="23"/>
  <c r="Z27" i="23"/>
  <c r="AA27" i="23" s="1"/>
  <c r="AB28" i="23"/>
  <c r="B39" i="21"/>
  <c r="D38" i="21"/>
  <c r="G38" i="21" s="1"/>
  <c r="E5" i="8"/>
  <c r="D27" i="23" l="1"/>
  <c r="E27" i="23" s="1"/>
  <c r="C28" i="23" s="1"/>
  <c r="D36" i="22"/>
  <c r="E35" i="22"/>
  <c r="F35" i="22" s="1"/>
  <c r="T27" i="23"/>
  <c r="Y27" i="23" s="1"/>
  <c r="B40" i="21"/>
  <c r="D39" i="21"/>
  <c r="G39" i="21" s="1"/>
  <c r="E6" i="8"/>
  <c r="E7" i="8" s="1"/>
  <c r="J27" i="23" l="1"/>
  <c r="N28" i="23"/>
  <c r="L27" i="23"/>
  <c r="M27" i="23" s="1"/>
  <c r="E36" i="22"/>
  <c r="F36" i="22" s="1"/>
  <c r="D37" i="22"/>
  <c r="V27" i="23"/>
  <c r="W27" i="23" s="1"/>
  <c r="B41" i="21"/>
  <c r="B17" i="21" s="1"/>
  <c r="D40" i="21"/>
  <c r="G40" i="21" s="1"/>
  <c r="F27" i="23" l="1"/>
  <c r="K27" i="23" s="1"/>
  <c r="D14" i="22"/>
  <c r="D9" i="22"/>
  <c r="D38" i="22"/>
  <c r="E37" i="22"/>
  <c r="R28" i="23"/>
  <c r="S28" i="23" s="1"/>
  <c r="P28" i="23"/>
  <c r="D41" i="21"/>
  <c r="B42" i="21"/>
  <c r="H27" i="23" l="1"/>
  <c r="I27" i="23" s="1"/>
  <c r="D28" i="23" s="1"/>
  <c r="E28" i="23" s="1"/>
  <c r="C29" i="23" s="1"/>
  <c r="G41" i="21"/>
  <c r="D17" i="21"/>
  <c r="L21" i="18" s="1"/>
  <c r="F37" i="22"/>
  <c r="E9" i="22"/>
  <c r="L19" i="18" s="1"/>
  <c r="E14" i="22"/>
  <c r="D39" i="22"/>
  <c r="E38" i="22"/>
  <c r="F38" i="22" s="1"/>
  <c r="Z28" i="23"/>
  <c r="AA28" i="23" s="1"/>
  <c r="Q29" i="23"/>
  <c r="AB29" i="23"/>
  <c r="B43" i="21"/>
  <c r="D42" i="21"/>
  <c r="G42" i="21" s="1"/>
  <c r="B28" i="23" l="1"/>
  <c r="N29" i="23"/>
  <c r="J28" i="23"/>
  <c r="L28" i="23"/>
  <c r="M28" i="23" s="1"/>
  <c r="F9" i="22"/>
  <c r="F14" i="22"/>
  <c r="E39" i="22"/>
  <c r="F39" i="22" s="1"/>
  <c r="D40" i="22"/>
  <c r="T28" i="23"/>
  <c r="B44" i="21"/>
  <c r="D43" i="21"/>
  <c r="G43" i="21" s="1"/>
  <c r="F28" i="23" l="1"/>
  <c r="K28" i="23" s="1"/>
  <c r="E40" i="22"/>
  <c r="F40" i="22" s="1"/>
  <c r="D41" i="22"/>
  <c r="Y28" i="23"/>
  <c r="V28" i="23"/>
  <c r="W28" i="23" s="1"/>
  <c r="D44" i="21"/>
  <c r="G44" i="21" s="1"/>
  <c r="B45" i="21"/>
  <c r="H28" i="23" l="1"/>
  <c r="I28" i="23" s="1"/>
  <c r="D29" i="23" s="1"/>
  <c r="E29" i="23" s="1"/>
  <c r="C30" i="23" s="1"/>
  <c r="E41" i="22"/>
  <c r="F41" i="22" s="1"/>
  <c r="D42" i="22"/>
  <c r="R29" i="23"/>
  <c r="S29" i="23" s="1"/>
  <c r="P29" i="23"/>
  <c r="D45" i="21"/>
  <c r="G45" i="21" s="1"/>
  <c r="B46" i="21"/>
  <c r="J29" i="23" l="1"/>
  <c r="N30" i="23"/>
  <c r="L29" i="23"/>
  <c r="M29" i="23" s="1"/>
  <c r="B29" i="23"/>
  <c r="E42" i="22"/>
  <c r="F42" i="22" s="1"/>
  <c r="D43" i="22"/>
  <c r="Z29" i="23"/>
  <c r="AA29" i="23" s="1"/>
  <c r="Q30" i="23"/>
  <c r="AB30" i="23"/>
  <c r="D46" i="21"/>
  <c r="G46" i="21" s="1"/>
  <c r="B47" i="21"/>
  <c r="F29" i="23" l="1"/>
  <c r="K29" i="23" s="1"/>
  <c r="D44" i="22"/>
  <c r="E43" i="22"/>
  <c r="F43" i="22" s="1"/>
  <c r="T29" i="23"/>
  <c r="B48" i="21"/>
  <c r="D47" i="21"/>
  <c r="G47" i="21" s="1"/>
  <c r="H29" i="23" l="1"/>
  <c r="I29" i="23" s="1"/>
  <c r="B30" i="23" s="1"/>
  <c r="E44" i="22"/>
  <c r="F44" i="22" s="1"/>
  <c r="D45" i="22"/>
  <c r="Y29" i="23"/>
  <c r="V29" i="23"/>
  <c r="W29" i="23" s="1"/>
  <c r="B49" i="21"/>
  <c r="D48" i="21"/>
  <c r="G48" i="21" s="1"/>
  <c r="D30" i="23" l="1"/>
  <c r="E30" i="23" s="1"/>
  <c r="L30" i="23" s="1"/>
  <c r="M30" i="23" s="1"/>
  <c r="D46" i="22"/>
  <c r="E45" i="22"/>
  <c r="F45" i="22" s="1"/>
  <c r="P30" i="23"/>
  <c r="R30" i="23"/>
  <c r="S30" i="23" s="1"/>
  <c r="D49" i="21"/>
  <c r="G49" i="21" s="1"/>
  <c r="B50" i="21"/>
  <c r="C31" i="23" l="1"/>
  <c r="F30" i="23"/>
  <c r="K30" i="23" s="1"/>
  <c r="N31" i="23"/>
  <c r="J30" i="23"/>
  <c r="E46" i="22"/>
  <c r="F46" i="22" s="1"/>
  <c r="D47" i="22"/>
  <c r="Z30" i="23"/>
  <c r="AA30" i="23" s="1"/>
  <c r="AB31" i="23"/>
  <c r="Q31" i="23"/>
  <c r="D50" i="21"/>
  <c r="G50" i="21" s="1"/>
  <c r="B51" i="21"/>
  <c r="H30" i="23" l="1"/>
  <c r="I30" i="23" s="1"/>
  <c r="B31" i="23" s="1"/>
  <c r="E47" i="22"/>
  <c r="F47" i="22" s="1"/>
  <c r="D48" i="22"/>
  <c r="T30" i="23"/>
  <c r="Y30" i="23" s="1"/>
  <c r="B52" i="21"/>
  <c r="D51" i="21"/>
  <c r="G51" i="21" s="1"/>
  <c r="D31" i="23" l="1"/>
  <c r="E31" i="23" s="1"/>
  <c r="C32" i="23" s="1"/>
  <c r="N32" i="23"/>
  <c r="J31" i="23"/>
  <c r="L31" i="23"/>
  <c r="M31" i="23" s="1"/>
  <c r="E48" i="22"/>
  <c r="F48" i="22" s="1"/>
  <c r="D49" i="22"/>
  <c r="V30" i="23"/>
  <c r="W30" i="23" s="1"/>
  <c r="P31" i="23" s="1"/>
  <c r="D52" i="21"/>
  <c r="G52" i="21" s="1"/>
  <c r="B53" i="21"/>
  <c r="F31" i="23" l="1"/>
  <c r="H31" i="23" s="1"/>
  <c r="I31" i="23" s="1"/>
  <c r="E49" i="22"/>
  <c r="F49" i="22" s="1"/>
  <c r="D50" i="22"/>
  <c r="R31" i="23"/>
  <c r="S31" i="23" s="1"/>
  <c r="Z31" i="23" s="1"/>
  <c r="AA31" i="23" s="1"/>
  <c r="B54" i="21"/>
  <c r="D53" i="21"/>
  <c r="G53" i="21" s="1"/>
  <c r="K31" i="23" l="1"/>
  <c r="E50" i="22"/>
  <c r="F50" i="22" s="1"/>
  <c r="D51" i="22"/>
  <c r="AB32" i="23"/>
  <c r="Q32" i="23"/>
  <c r="T31" i="23"/>
  <c r="Y31" i="23" s="1"/>
  <c r="B32" i="23"/>
  <c r="D32" i="23"/>
  <c r="E32" i="23" s="1"/>
  <c r="B55" i="21"/>
  <c r="D54" i="21"/>
  <c r="G54" i="21" s="1"/>
  <c r="V31" i="23" l="1"/>
  <c r="W31" i="23" s="1"/>
  <c r="P32" i="23" s="1"/>
  <c r="D52" i="22"/>
  <c r="E51" i="22"/>
  <c r="F51" i="22" s="1"/>
  <c r="C33" i="23"/>
  <c r="N33" i="23"/>
  <c r="J32" i="23"/>
  <c r="L32" i="23"/>
  <c r="B56" i="21"/>
  <c r="D55" i="21"/>
  <c r="G55" i="21" s="1"/>
  <c r="R32" i="23" l="1"/>
  <c r="S32" i="23" s="1"/>
  <c r="Z32" i="23" s="1"/>
  <c r="AA32" i="23" s="1"/>
  <c r="D53" i="22"/>
  <c r="E52" i="22"/>
  <c r="F52" i="22" s="1"/>
  <c r="M32" i="23"/>
  <c r="F32" i="23"/>
  <c r="D56" i="21"/>
  <c r="G56" i="21" s="1"/>
  <c r="B57" i="21"/>
  <c r="T32" i="23" l="1"/>
  <c r="Y32" i="23" s="1"/>
  <c r="AB33" i="23"/>
  <c r="Q33" i="23"/>
  <c r="D54" i="22"/>
  <c r="E53" i="22"/>
  <c r="F53" i="22" s="1"/>
  <c r="K32" i="23"/>
  <c r="H32" i="23"/>
  <c r="I32" i="23" s="1"/>
  <c r="D57" i="21"/>
  <c r="G57" i="21" s="1"/>
  <c r="B58" i="21"/>
  <c r="V32" i="23" l="1"/>
  <c r="W32" i="23" s="1"/>
  <c r="R33" i="23" s="1"/>
  <c r="S33" i="23" s="1"/>
  <c r="E54" i="22"/>
  <c r="F54" i="22" s="1"/>
  <c r="D55" i="22"/>
  <c r="B33" i="23"/>
  <c r="D33" i="23"/>
  <c r="E33" i="23" s="1"/>
  <c r="B59" i="21"/>
  <c r="D58" i="21"/>
  <c r="G58" i="21" s="1"/>
  <c r="P33" i="23" l="1"/>
  <c r="E55" i="22"/>
  <c r="F55" i="22" s="1"/>
  <c r="D56" i="22"/>
  <c r="C34" i="23"/>
  <c r="L33" i="23"/>
  <c r="M33" i="23" s="1"/>
  <c r="N34" i="23"/>
  <c r="J33" i="23"/>
  <c r="Q34" i="23"/>
  <c r="AB34" i="23"/>
  <c r="Z33" i="23"/>
  <c r="AA33" i="23" s="1"/>
  <c r="B60" i="21"/>
  <c r="D59" i="21"/>
  <c r="G59" i="21" s="1"/>
  <c r="D57" i="22" l="1"/>
  <c r="E57" i="22" s="1"/>
  <c r="F57" i="22" s="1"/>
  <c r="E56" i="22"/>
  <c r="F56" i="22" s="1"/>
  <c r="T33" i="23"/>
  <c r="Y33" i="23" s="1"/>
  <c r="F33" i="23"/>
  <c r="H33" i="23" s="1"/>
  <c r="I33" i="23" s="1"/>
  <c r="D60" i="21"/>
  <c r="G60" i="21" s="1"/>
  <c r="B61" i="21"/>
  <c r="V33" i="23" l="1"/>
  <c r="W33" i="23" s="1"/>
  <c r="R34" i="23" s="1"/>
  <c r="S34" i="23" s="1"/>
  <c r="Z34" i="23" s="1"/>
  <c r="AA34" i="23" s="1"/>
  <c r="K33" i="23"/>
  <c r="B34" i="23"/>
  <c r="D34" i="23"/>
  <c r="E34" i="23" s="1"/>
  <c r="D61" i="21"/>
  <c r="G61" i="21" s="1"/>
  <c r="B62" i="21"/>
  <c r="Q35" i="23" l="1"/>
  <c r="AB35" i="23"/>
  <c r="P34" i="23"/>
  <c r="T34" i="23"/>
  <c r="C35" i="23"/>
  <c r="L34" i="23"/>
  <c r="M34" i="23" s="1"/>
  <c r="N35" i="23"/>
  <c r="J34" i="23"/>
  <c r="D62" i="21"/>
  <c r="G62" i="21" s="1"/>
  <c r="B63" i="21"/>
  <c r="Y34" i="23" l="1"/>
  <c r="V34" i="23"/>
  <c r="W34" i="23" s="1"/>
  <c r="F34" i="23"/>
  <c r="K34" i="23" s="1"/>
  <c r="B64" i="21"/>
  <c r="D63" i="21"/>
  <c r="G63" i="21" s="1"/>
  <c r="P35" i="23" l="1"/>
  <c r="R35" i="23"/>
  <c r="S35" i="23" s="1"/>
  <c r="H34" i="23"/>
  <c r="I34" i="23" s="1"/>
  <c r="B35" i="23" s="1"/>
  <c r="B65" i="21"/>
  <c r="D64" i="21"/>
  <c r="G64" i="21" s="1"/>
  <c r="Z35" i="23" l="1"/>
  <c r="AB36" i="23"/>
  <c r="Q36" i="23"/>
  <c r="D35" i="23"/>
  <c r="E35" i="23" s="1"/>
  <c r="C36" i="23" s="1"/>
  <c r="D65" i="21"/>
  <c r="G65" i="21" s="1"/>
  <c r="B66" i="21"/>
  <c r="T35" i="23" l="1"/>
  <c r="AA35" i="23"/>
  <c r="J35" i="23"/>
  <c r="L35" i="23"/>
  <c r="M35" i="23" s="1"/>
  <c r="N36" i="23"/>
  <c r="B67" i="21"/>
  <c r="D66" i="21"/>
  <c r="G66" i="21" s="1"/>
  <c r="F35" i="23" l="1"/>
  <c r="K35" i="23" s="1"/>
  <c r="V35" i="23"/>
  <c r="W35" i="23" s="1"/>
  <c r="Y35" i="23"/>
  <c r="B68" i="21"/>
  <c r="D67" i="21"/>
  <c r="G67" i="21" s="1"/>
  <c r="H35" i="23" l="1"/>
  <c r="I35" i="23" s="1"/>
  <c r="B36" i="23" s="1"/>
  <c r="P36" i="23"/>
  <c r="R36" i="23"/>
  <c r="S36" i="23" s="1"/>
  <c r="D68" i="21"/>
  <c r="G68" i="21" s="1"/>
  <c r="B69" i="21"/>
  <c r="Q37" i="23" l="1"/>
  <c r="Z36" i="23"/>
  <c r="AB37" i="23"/>
  <c r="D36" i="23"/>
  <c r="E36" i="23" s="1"/>
  <c r="J36" i="23" s="1"/>
  <c r="B70" i="21"/>
  <c r="D69" i="21"/>
  <c r="G69" i="21" s="1"/>
  <c r="N37" i="23" l="1"/>
  <c r="L36" i="23"/>
  <c r="M36" i="23" s="1"/>
  <c r="C37" i="23"/>
  <c r="AA36" i="23"/>
  <c r="T36" i="23"/>
  <c r="B71" i="21"/>
  <c r="D70" i="21"/>
  <c r="G70" i="21" s="1"/>
  <c r="F36" i="23" l="1"/>
  <c r="Y36" i="23"/>
  <c r="V36" i="23"/>
  <c r="W36" i="23" s="1"/>
  <c r="B72" i="21"/>
  <c r="D71" i="21"/>
  <c r="G71" i="21" s="1"/>
  <c r="K36" i="23" l="1"/>
  <c r="H36" i="23"/>
  <c r="I36" i="23" s="1"/>
  <c r="P37" i="23"/>
  <c r="R37" i="23"/>
  <c r="S37" i="23" s="1"/>
  <c r="B73" i="21"/>
  <c r="D72" i="21"/>
  <c r="G72" i="21" s="1"/>
  <c r="B37" i="23" l="1"/>
  <c r="D37" i="23"/>
  <c r="E37" i="23" s="1"/>
  <c r="Q38" i="23"/>
  <c r="Z37" i="23"/>
  <c r="AA37" i="23" s="1"/>
  <c r="AB38" i="23"/>
  <c r="D73" i="21"/>
  <c r="G73" i="21" s="1"/>
  <c r="B74" i="21"/>
  <c r="T37" i="23" l="1"/>
  <c r="Y37" i="23" s="1"/>
  <c r="L37" i="23"/>
  <c r="M37" i="23" s="1"/>
  <c r="J37" i="23"/>
  <c r="C38" i="23"/>
  <c r="N38" i="23"/>
  <c r="B75" i="21"/>
  <c r="D74" i="21"/>
  <c r="G74" i="21" s="1"/>
  <c r="F37" i="23" l="1"/>
  <c r="K37" i="23" s="1"/>
  <c r="V37" i="23"/>
  <c r="W37" i="23" s="1"/>
  <c r="R38" i="23" s="1"/>
  <c r="S38" i="23" s="1"/>
  <c r="B76" i="21"/>
  <c r="D75" i="21"/>
  <c r="G75" i="21" s="1"/>
  <c r="H37" i="23" l="1"/>
  <c r="I37" i="23" s="1"/>
  <c r="D38" i="23" s="1"/>
  <c r="E38" i="23" s="1"/>
  <c r="P38" i="23"/>
  <c r="Q39" i="23"/>
  <c r="AB39" i="23"/>
  <c r="Z38" i="23"/>
  <c r="AA38" i="23" s="1"/>
  <c r="D76" i="21"/>
  <c r="G76" i="21" s="1"/>
  <c r="B77" i="21"/>
  <c r="B38" i="23" l="1"/>
  <c r="T38" i="23"/>
  <c r="V38" i="23" s="1"/>
  <c r="W38" i="23" s="1"/>
  <c r="P39" i="23" s="1"/>
  <c r="N39" i="23"/>
  <c r="J38" i="23"/>
  <c r="C39" i="23"/>
  <c r="L38" i="23"/>
  <c r="D77" i="21"/>
  <c r="G77" i="21" s="1"/>
  <c r="B78" i="21"/>
  <c r="M38" i="23" l="1"/>
  <c r="F38" i="23"/>
  <c r="R39" i="23"/>
  <c r="S39" i="23" s="1"/>
  <c r="Q40" i="23" s="1"/>
  <c r="Y38" i="23"/>
  <c r="D78" i="21"/>
  <c r="G78" i="21" s="1"/>
  <c r="B79" i="21"/>
  <c r="Z39" i="23" l="1"/>
  <c r="AA39" i="23" s="1"/>
  <c r="AB40" i="23"/>
  <c r="K38" i="23"/>
  <c r="H38" i="23"/>
  <c r="I38" i="23" s="1"/>
  <c r="B80" i="21"/>
  <c r="D79" i="21"/>
  <c r="G79" i="21" s="1"/>
  <c r="T39" i="23" l="1"/>
  <c r="V39" i="23" s="1"/>
  <c r="W39" i="23" s="1"/>
  <c r="D39" i="23"/>
  <c r="E39" i="23" s="1"/>
  <c r="B39" i="23"/>
  <c r="B81" i="21"/>
  <c r="D81" i="21" s="1"/>
  <c r="G81" i="21" s="1"/>
  <c r="D80" i="21"/>
  <c r="G80" i="21" s="1"/>
  <c r="Y39" i="23" l="1"/>
  <c r="C40" i="23"/>
  <c r="L39" i="23"/>
  <c r="M39" i="23" s="1"/>
  <c r="N40" i="23"/>
  <c r="J39" i="23"/>
  <c r="P40" i="23"/>
  <c r="R40" i="23"/>
  <c r="S40" i="23" s="1"/>
  <c r="F39" i="23" l="1"/>
  <c r="Z40" i="23"/>
  <c r="AA40" i="23" s="1"/>
  <c r="AB41" i="23"/>
  <c r="Q41" i="23"/>
  <c r="K39" i="23" l="1"/>
  <c r="H39" i="23"/>
  <c r="I39" i="23" s="1"/>
  <c r="T40" i="23"/>
  <c r="B40" i="23" l="1"/>
  <c r="D40" i="23"/>
  <c r="E40" i="23" s="1"/>
  <c r="Y40" i="23"/>
  <c r="V40" i="23"/>
  <c r="W40" i="23" s="1"/>
  <c r="N41" i="23" l="1"/>
  <c r="J40" i="23"/>
  <c r="L40" i="23"/>
  <c r="C41" i="23"/>
  <c r="R41" i="23"/>
  <c r="S41" i="23" s="1"/>
  <c r="P41" i="23"/>
  <c r="M40" i="23" l="1"/>
  <c r="F40" i="23"/>
  <c r="Z41" i="23"/>
  <c r="AA41" i="23" s="1"/>
  <c r="AB42" i="23"/>
  <c r="Q42" i="23"/>
  <c r="T41" i="23" l="1"/>
  <c r="Y41" i="23" s="1"/>
  <c r="K40" i="23"/>
  <c r="H40" i="23"/>
  <c r="I40" i="23" s="1"/>
  <c r="V41" i="23" l="1"/>
  <c r="W41" i="23" s="1"/>
  <c r="R42" i="23" s="1"/>
  <c r="S42" i="23" s="1"/>
  <c r="Z42" i="23" s="1"/>
  <c r="AA42" i="23" s="1"/>
  <c r="B41" i="23"/>
  <c r="D41" i="23"/>
  <c r="E41" i="23" s="1"/>
  <c r="AB43" i="23" l="1"/>
  <c r="Q43" i="23"/>
  <c r="P42" i="23"/>
  <c r="L41" i="23"/>
  <c r="M41" i="23" s="1"/>
  <c r="N42" i="23"/>
  <c r="J41" i="23"/>
  <c r="C42" i="23"/>
  <c r="T42" i="23"/>
  <c r="V42" i="23" l="1"/>
  <c r="W42" i="23" s="1"/>
  <c r="R43" i="23" s="1"/>
  <c r="S43" i="23" s="1"/>
  <c r="Q44" i="23" s="1"/>
  <c r="F41" i="23"/>
  <c r="K41" i="23" s="1"/>
  <c r="Y42" i="23"/>
  <c r="P43" i="23" l="1"/>
  <c r="Z43" i="23"/>
  <c r="AA43" i="23" s="1"/>
  <c r="AB44" i="23"/>
  <c r="H41" i="23"/>
  <c r="I41" i="23" s="1"/>
  <c r="B42" i="23" s="1"/>
  <c r="T43" i="23" l="1"/>
  <c r="Y43" i="23" s="1"/>
  <c r="D42" i="23"/>
  <c r="E42" i="23" s="1"/>
  <c r="C43" i="23" s="1"/>
  <c r="V43" i="23" l="1"/>
  <c r="W43" i="23" s="1"/>
  <c r="N43" i="23"/>
  <c r="J42" i="23"/>
  <c r="L42" i="23"/>
  <c r="M42" i="23" s="1"/>
  <c r="P44" i="23"/>
  <c r="R44" i="23"/>
  <c r="S44" i="23" s="1"/>
  <c r="F42" i="23" l="1"/>
  <c r="K42" i="23" s="1"/>
  <c r="AB45" i="23"/>
  <c r="Q45" i="23"/>
  <c r="Z44" i="23"/>
  <c r="AA44" i="23" s="1"/>
  <c r="H42" i="23" l="1"/>
  <c r="I42" i="23" s="1"/>
  <c r="D43" i="23" s="1"/>
  <c r="E43" i="23" s="1"/>
  <c r="N44" i="23" s="1"/>
  <c r="T44" i="23"/>
  <c r="J43" i="23" l="1"/>
  <c r="L43" i="23"/>
  <c r="M43" i="23" s="1"/>
  <c r="C44" i="23"/>
  <c r="B43" i="23"/>
  <c r="Y44" i="23"/>
  <c r="V44" i="23"/>
  <c r="W44" i="23" s="1"/>
  <c r="F43" i="23" l="1"/>
  <c r="K43" i="23" s="1"/>
  <c r="H43" i="23"/>
  <c r="I43" i="23" s="1"/>
  <c r="D44" i="23" s="1"/>
  <c r="E44" i="23" s="1"/>
  <c r="P45" i="23"/>
  <c r="R45" i="23"/>
  <c r="S45" i="23" s="1"/>
  <c r="B44" i="23" l="1"/>
  <c r="C45" i="23"/>
  <c r="J44" i="23"/>
  <c r="N45" i="23"/>
  <c r="L44" i="23"/>
  <c r="M44" i="23" s="1"/>
  <c r="Q46" i="23"/>
  <c r="AB46" i="23"/>
  <c r="Z45" i="23"/>
  <c r="AA45" i="23" s="1"/>
  <c r="F44" i="23" l="1"/>
  <c r="K44" i="23" s="1"/>
  <c r="T45" i="23"/>
  <c r="H44" i="23" l="1"/>
  <c r="I44" i="23" s="1"/>
  <c r="B45" i="23" s="1"/>
  <c r="Y45" i="23"/>
  <c r="V45" i="23"/>
  <c r="W45" i="23" s="1"/>
  <c r="D45" i="23" l="1"/>
  <c r="E45" i="23" s="1"/>
  <c r="C46" i="23" s="1"/>
  <c r="P46" i="23"/>
  <c r="R46" i="23"/>
  <c r="S46" i="23" s="1"/>
  <c r="L45" i="23" l="1"/>
  <c r="M45" i="23" s="1"/>
  <c r="J45" i="23"/>
  <c r="N46" i="23"/>
  <c r="Q47" i="23"/>
  <c r="AB47" i="23"/>
  <c r="Z46" i="23"/>
  <c r="F45" i="23" l="1"/>
  <c r="K45" i="23" s="1"/>
  <c r="AA46" i="23"/>
  <c r="T46" i="23"/>
  <c r="H45" i="23" l="1"/>
  <c r="I45" i="23" s="1"/>
  <c r="B46" i="23" s="1"/>
  <c r="Y46" i="23"/>
  <c r="V46" i="23"/>
  <c r="W46" i="23" s="1"/>
  <c r="D46" i="23" l="1"/>
  <c r="E46" i="23" s="1"/>
  <c r="N47" i="23" s="1"/>
  <c r="P47" i="23"/>
  <c r="R47" i="23"/>
  <c r="S47" i="23" s="1"/>
  <c r="L46" i="23" l="1"/>
  <c r="C47" i="23"/>
  <c r="J46" i="23"/>
  <c r="M46" i="23"/>
  <c r="F46" i="23"/>
  <c r="Q48" i="23"/>
  <c r="Z47" i="23"/>
  <c r="AB48" i="23"/>
  <c r="H46" i="23" l="1"/>
  <c r="I46" i="23" s="1"/>
  <c r="K46" i="23"/>
  <c r="AA47" i="23"/>
  <c r="T47" i="23"/>
  <c r="D47" i="23" l="1"/>
  <c r="E47" i="23" s="1"/>
  <c r="B47" i="23"/>
  <c r="V47" i="23"/>
  <c r="W47" i="23" s="1"/>
  <c r="Y47" i="23"/>
  <c r="L47" i="23" l="1"/>
  <c r="M47" i="23" s="1"/>
  <c r="N48" i="23"/>
  <c r="C48" i="23"/>
  <c r="J47" i="23"/>
  <c r="R48" i="23"/>
  <c r="S48" i="23" s="1"/>
  <c r="P48" i="23"/>
  <c r="F47" i="23" l="1"/>
  <c r="Q49" i="23"/>
  <c r="Z48" i="23"/>
  <c r="AA48" i="23" s="1"/>
  <c r="AB49" i="23"/>
  <c r="K47" i="23" l="1"/>
  <c r="H47" i="23"/>
  <c r="I47" i="23" s="1"/>
  <c r="T48" i="23"/>
  <c r="Y48" i="23" s="1"/>
  <c r="D48" i="23" l="1"/>
  <c r="E48" i="23" s="1"/>
  <c r="B48" i="23"/>
  <c r="V48" i="23"/>
  <c r="W48" i="23" s="1"/>
  <c r="R49" i="23" s="1"/>
  <c r="S49" i="23" s="1"/>
  <c r="J48" i="23" l="1"/>
  <c r="N49" i="23"/>
  <c r="C49" i="23"/>
  <c r="L48" i="23"/>
  <c r="P49" i="23"/>
  <c r="Z49" i="23"/>
  <c r="AA49" i="23" s="1"/>
  <c r="Q50" i="23"/>
  <c r="AB50" i="23"/>
  <c r="M48" i="23" l="1"/>
  <c r="F48" i="23"/>
  <c r="T49" i="23"/>
  <c r="Y49" i="23" s="1"/>
  <c r="K48" i="23" l="1"/>
  <c r="H48" i="23"/>
  <c r="I48" i="23" s="1"/>
  <c r="V49" i="23"/>
  <c r="W49" i="23" s="1"/>
  <c r="R50" i="23" s="1"/>
  <c r="S50" i="23" s="1"/>
  <c r="P50" i="23" l="1"/>
  <c r="B49" i="23"/>
  <c r="D49" i="23"/>
  <c r="E49" i="23" s="1"/>
  <c r="AB51" i="23"/>
  <c r="Z50" i="23"/>
  <c r="AA50" i="23" s="1"/>
  <c r="Q51" i="23"/>
  <c r="N50" i="23" l="1"/>
  <c r="J49" i="23"/>
  <c r="L49" i="23"/>
  <c r="M49" i="23" s="1"/>
  <c r="C50" i="23"/>
  <c r="T50" i="23"/>
  <c r="F49" i="23" l="1"/>
  <c r="Y50" i="23"/>
  <c r="V50" i="23"/>
  <c r="W50" i="23" s="1"/>
  <c r="K49" i="23" l="1"/>
  <c r="H49" i="23"/>
  <c r="I49" i="23" s="1"/>
  <c r="P51" i="23"/>
  <c r="R51" i="23"/>
  <c r="S51" i="23" s="1"/>
  <c r="D50" i="23" l="1"/>
  <c r="E50" i="23" s="1"/>
  <c r="B50" i="23"/>
  <c r="Z51" i="23"/>
  <c r="AA51" i="23" s="1"/>
  <c r="Q52" i="23"/>
  <c r="AB52" i="23"/>
  <c r="N51" i="23" l="1"/>
  <c r="J50" i="23"/>
  <c r="C51" i="23"/>
  <c r="L50" i="23"/>
  <c r="M50" i="23" s="1"/>
  <c r="T51" i="23"/>
  <c r="F50" i="23" l="1"/>
  <c r="K50" i="23" s="1"/>
  <c r="Y51" i="23"/>
  <c r="V51" i="23"/>
  <c r="W51" i="23" s="1"/>
  <c r="H50" i="23" l="1"/>
  <c r="I50" i="23" s="1"/>
  <c r="B51" i="23" s="1"/>
  <c r="P52" i="23"/>
  <c r="R52" i="23"/>
  <c r="S52" i="23" s="1"/>
  <c r="D51" i="23" l="1"/>
  <c r="E51" i="23" s="1"/>
  <c r="N52" i="23" s="1"/>
  <c r="Q53" i="23"/>
  <c r="Z52" i="23"/>
  <c r="AA52" i="23" s="1"/>
  <c r="AB53" i="23"/>
  <c r="C52" i="23" l="1"/>
  <c r="J51" i="23"/>
  <c r="L51" i="23"/>
  <c r="M51" i="23" s="1"/>
  <c r="T52" i="23"/>
  <c r="F51" i="23" l="1"/>
  <c r="K51" i="23" s="1"/>
  <c r="Y52" i="23"/>
  <c r="V52" i="23"/>
  <c r="W52" i="23" s="1"/>
  <c r="H51" i="23" l="1"/>
  <c r="I51" i="23" s="1"/>
  <c r="D52" i="23" s="1"/>
  <c r="E52" i="23" s="1"/>
  <c r="B52" i="23"/>
  <c r="P53" i="23"/>
  <c r="R53" i="23"/>
  <c r="S53" i="23" s="1"/>
  <c r="L52" i="23" l="1"/>
  <c r="M52" i="23" s="1"/>
  <c r="C53" i="23"/>
  <c r="J52" i="23"/>
  <c r="N53" i="23"/>
  <c r="Q54" i="23"/>
  <c r="Z53" i="23"/>
  <c r="AA53" i="23" s="1"/>
  <c r="AB54" i="23"/>
  <c r="F52" i="23" l="1"/>
  <c r="T53" i="23"/>
  <c r="K52" i="23" l="1"/>
  <c r="H52" i="23"/>
  <c r="I52" i="23" s="1"/>
  <c r="Y53" i="23"/>
  <c r="V53" i="23"/>
  <c r="W53" i="23" s="1"/>
  <c r="B53" i="23" l="1"/>
  <c r="D53" i="23"/>
  <c r="E53" i="23" s="1"/>
  <c r="P54" i="23"/>
  <c r="R54" i="23"/>
  <c r="S54" i="23" s="1"/>
  <c r="J53" i="23" l="1"/>
  <c r="L53" i="23"/>
  <c r="M53" i="23" s="1"/>
  <c r="C54" i="23"/>
  <c r="N54" i="23"/>
  <c r="Z54" i="23"/>
  <c r="AA54" i="23" s="1"/>
  <c r="Q55" i="23"/>
  <c r="AB55" i="23"/>
  <c r="F53" i="23" l="1"/>
  <c r="T54" i="23"/>
  <c r="K53" i="23" l="1"/>
  <c r="H53" i="23"/>
  <c r="I53" i="23" s="1"/>
  <c r="Y54" i="23"/>
  <c r="V54" i="23"/>
  <c r="W54" i="23" s="1"/>
  <c r="D54" i="23" l="1"/>
  <c r="E54" i="23" s="1"/>
  <c r="B54" i="23"/>
  <c r="R55" i="23"/>
  <c r="S55" i="23" s="1"/>
  <c r="P55" i="23"/>
  <c r="J54" i="23" l="1"/>
  <c r="N55" i="23"/>
  <c r="C55" i="23"/>
  <c r="L54" i="23"/>
  <c r="M54" i="23" s="1"/>
  <c r="Q56" i="23"/>
  <c r="Z55" i="23"/>
  <c r="AA55" i="23" s="1"/>
  <c r="AB56" i="23"/>
  <c r="F54" i="23" l="1"/>
  <c r="T55" i="23"/>
  <c r="K54" i="23" l="1"/>
  <c r="H54" i="23"/>
  <c r="I54" i="23" s="1"/>
  <c r="Y55" i="23"/>
  <c r="V55" i="23"/>
  <c r="W55" i="23" s="1"/>
  <c r="D55" i="23" l="1"/>
  <c r="E55" i="23" s="1"/>
  <c r="B55" i="23"/>
  <c r="P56" i="23"/>
  <c r="R56" i="23"/>
  <c r="S56" i="23" s="1"/>
  <c r="N56" i="23" l="1"/>
  <c r="J55" i="23"/>
  <c r="L55" i="23"/>
  <c r="M55" i="23" s="1"/>
  <c r="C56" i="23"/>
  <c r="Z56" i="23"/>
  <c r="AA56" i="23" s="1"/>
  <c r="Q57" i="23"/>
  <c r="AB57" i="23"/>
  <c r="T56" i="23" l="1"/>
  <c r="Y56" i="23" s="1"/>
  <c r="F55" i="23"/>
  <c r="V56" i="23" l="1"/>
  <c r="W56" i="23" s="1"/>
  <c r="P57" i="23" s="1"/>
  <c r="K55" i="23"/>
  <c r="H55" i="23"/>
  <c r="I55" i="23" s="1"/>
  <c r="R57" i="23" l="1"/>
  <c r="S57" i="23" s="1"/>
  <c r="Z57" i="23" s="1"/>
  <c r="AA57" i="23" s="1"/>
  <c r="D56" i="23"/>
  <c r="E56" i="23" s="1"/>
  <c r="B56" i="23"/>
  <c r="T57" i="23" l="1"/>
  <c r="Y57" i="23" s="1"/>
  <c r="Q58" i="23"/>
  <c r="AB58" i="23"/>
  <c r="L56" i="23"/>
  <c r="M56" i="23" s="1"/>
  <c r="N57" i="23"/>
  <c r="J56" i="23"/>
  <c r="C57" i="23"/>
  <c r="F56" i="23" l="1"/>
  <c r="K56" i="23" s="1"/>
  <c r="V57" i="23"/>
  <c r="W57" i="23" s="1"/>
  <c r="R58" i="23" s="1"/>
  <c r="S58" i="23" s="1"/>
  <c r="H56" i="23"/>
  <c r="I56" i="23" s="1"/>
  <c r="P58" i="23" l="1"/>
  <c r="B57" i="23"/>
  <c r="D57" i="23"/>
  <c r="E57" i="23" s="1"/>
  <c r="Q59" i="23"/>
  <c r="Z58" i="23"/>
  <c r="AA58" i="23" s="1"/>
  <c r="AB59" i="23"/>
  <c r="T58" i="23" l="1"/>
  <c r="Y58" i="23" s="1"/>
  <c r="C58" i="23"/>
  <c r="N58" i="23"/>
  <c r="L57" i="23"/>
  <c r="M57" i="23" s="1"/>
  <c r="J57" i="23"/>
  <c r="V58" i="23" l="1"/>
  <c r="W58" i="23" s="1"/>
  <c r="P59" i="23" s="1"/>
  <c r="F57" i="23"/>
  <c r="R59" i="23" l="1"/>
  <c r="S59" i="23" s="1"/>
  <c r="Q60" i="23" s="1"/>
  <c r="K57" i="23"/>
  <c r="H57" i="23"/>
  <c r="I57" i="23" s="1"/>
  <c r="Z59" i="23" l="1"/>
  <c r="AA59" i="23" s="1"/>
  <c r="AB60" i="23"/>
  <c r="D58" i="23"/>
  <c r="E58" i="23" s="1"/>
  <c r="B58" i="23"/>
  <c r="T59" i="23" l="1"/>
  <c r="Y59" i="23" s="1"/>
  <c r="L58" i="23"/>
  <c r="M58" i="23" s="1"/>
  <c r="C59" i="23"/>
  <c r="N59" i="23"/>
  <c r="J58" i="23"/>
  <c r="V59" i="23" l="1"/>
  <c r="W59" i="23" s="1"/>
  <c r="P60" i="23" s="1"/>
  <c r="F58" i="23"/>
  <c r="K58" i="23" s="1"/>
  <c r="R60" i="23" l="1"/>
  <c r="S60" i="23" s="1"/>
  <c r="Q61" i="23" s="1"/>
  <c r="H58" i="23"/>
  <c r="I58" i="23" s="1"/>
  <c r="B59" i="23" s="1"/>
  <c r="Z60" i="23"/>
  <c r="AA60" i="23" s="1"/>
  <c r="D59" i="23" l="1"/>
  <c r="E59" i="23" s="1"/>
  <c r="AB61" i="23"/>
  <c r="T60" i="23"/>
  <c r="Y60" i="23" s="1"/>
  <c r="J59" i="23"/>
  <c r="N60" i="23"/>
  <c r="C60" i="23"/>
  <c r="L59" i="23"/>
  <c r="M59" i="23" s="1"/>
  <c r="V60" i="23" l="1"/>
  <c r="W60" i="23" s="1"/>
  <c r="R61" i="23" s="1"/>
  <c r="S61" i="23" s="1"/>
  <c r="AB62" i="23" s="1"/>
  <c r="F59" i="23"/>
  <c r="Z61" i="23" l="1"/>
  <c r="AA61" i="23" s="1"/>
  <c r="Q62" i="23"/>
  <c r="P61" i="23"/>
  <c r="K59" i="23"/>
  <c r="H59" i="23"/>
  <c r="I59" i="23" s="1"/>
  <c r="T61" i="23" l="1"/>
  <c r="V61" i="23" s="1"/>
  <c r="W61" i="23" s="1"/>
  <c r="B60" i="23"/>
  <c r="D60" i="23"/>
  <c r="E60" i="23" s="1"/>
  <c r="Y61" i="23" l="1"/>
  <c r="J60" i="23"/>
  <c r="N61" i="23"/>
  <c r="C61" i="23"/>
  <c r="L60" i="23"/>
  <c r="M60" i="23" s="1"/>
  <c r="R62" i="23"/>
  <c r="S62" i="23" s="1"/>
  <c r="P62" i="23"/>
  <c r="F60" i="23" l="1"/>
  <c r="K60" i="23" s="1"/>
  <c r="AB63" i="23"/>
  <c r="Z62" i="23"/>
  <c r="Q63" i="23"/>
  <c r="H60" i="23" l="1"/>
  <c r="I60" i="23" s="1"/>
  <c r="D61" i="23" s="1"/>
  <c r="E61" i="23" s="1"/>
  <c r="AA62" i="23"/>
  <c r="T62" i="23"/>
  <c r="B61" i="23" l="1"/>
  <c r="L61" i="23"/>
  <c r="M61" i="23" s="1"/>
  <c r="J61" i="23"/>
  <c r="N62" i="23"/>
  <c r="C62" i="23"/>
  <c r="Y62" i="23"/>
  <c r="V62" i="23"/>
  <c r="W62" i="23" s="1"/>
  <c r="F61" i="23" l="1"/>
  <c r="K61" i="23" s="1"/>
  <c r="R63" i="23"/>
  <c r="S63" i="23" s="1"/>
  <c r="P63" i="23"/>
  <c r="H61" i="23" l="1"/>
  <c r="I61" i="23" s="1"/>
  <c r="D62" i="23" s="1"/>
  <c r="E62" i="23" s="1"/>
  <c r="N63" i="23" s="1"/>
  <c r="AB64" i="23"/>
  <c r="Z63" i="23"/>
  <c r="AA63" i="23" s="1"/>
  <c r="Q64" i="23"/>
  <c r="C63" i="23" l="1"/>
  <c r="J62" i="23"/>
  <c r="B62" i="23"/>
  <c r="L62" i="23"/>
  <c r="T63" i="23"/>
  <c r="Y63" i="23" s="1"/>
  <c r="M62" i="23" l="1"/>
  <c r="F62" i="23"/>
  <c r="V63" i="23"/>
  <c r="W63" i="23" s="1"/>
  <c r="P64" i="23" s="1"/>
  <c r="K62" i="23" l="1"/>
  <c r="H62" i="23"/>
  <c r="I62" i="23" s="1"/>
  <c r="R64" i="23"/>
  <c r="S64" i="23" s="1"/>
  <c r="Q65" i="23" s="1"/>
  <c r="Z64" i="23" l="1"/>
  <c r="T64" i="23" s="1"/>
  <c r="AB65" i="23"/>
  <c r="B63" i="23"/>
  <c r="D63" i="23"/>
  <c r="E63" i="23" s="1"/>
  <c r="AA64" i="23" l="1"/>
  <c r="J63" i="23"/>
  <c r="C64" i="23"/>
  <c r="L63" i="23"/>
  <c r="M63" i="23" s="1"/>
  <c r="N64" i="23"/>
  <c r="Y64" i="23"/>
  <c r="V64" i="23"/>
  <c r="W64" i="23" s="1"/>
  <c r="F63" i="23" l="1"/>
  <c r="R65" i="23"/>
  <c r="S65" i="23" s="1"/>
  <c r="P65" i="23"/>
  <c r="K63" i="23" l="1"/>
  <c r="H63" i="23"/>
  <c r="I63" i="23" s="1"/>
  <c r="Q66" i="23"/>
  <c r="Z65" i="23"/>
  <c r="AA65" i="23" s="1"/>
  <c r="AB66" i="23"/>
  <c r="D64" i="23" l="1"/>
  <c r="E64" i="23" s="1"/>
  <c r="B64" i="23"/>
  <c r="T65" i="23"/>
  <c r="V65" i="23" s="1"/>
  <c r="W65" i="23" s="1"/>
  <c r="N65" i="23" l="1"/>
  <c r="C65" i="23"/>
  <c r="J64" i="23"/>
  <c r="L64" i="23"/>
  <c r="M64" i="23" s="1"/>
  <c r="Y65" i="23"/>
  <c r="R66" i="23"/>
  <c r="S66" i="23" s="1"/>
  <c r="P66" i="23"/>
  <c r="F64" i="23" l="1"/>
  <c r="Q67" i="23"/>
  <c r="AB67" i="23"/>
  <c r="Z66" i="23"/>
  <c r="AA66" i="23" s="1"/>
  <c r="H64" i="23" l="1"/>
  <c r="I64" i="23" s="1"/>
  <c r="K64" i="23"/>
  <c r="T66" i="23"/>
  <c r="Y66" i="23" s="1"/>
  <c r="D65" i="23" l="1"/>
  <c r="E65" i="23" s="1"/>
  <c r="B65" i="23"/>
  <c r="V66" i="23"/>
  <c r="W66" i="23" s="1"/>
  <c r="R67" i="23" s="1"/>
  <c r="S67" i="23" s="1"/>
  <c r="C66" i="23" l="1"/>
  <c r="L65" i="23"/>
  <c r="M65" i="23" s="1"/>
  <c r="N66" i="23"/>
  <c r="J65" i="23"/>
  <c r="P67" i="23"/>
  <c r="Q68" i="23"/>
  <c r="AB68" i="23"/>
  <c r="Z67" i="23"/>
  <c r="F65" i="23" l="1"/>
  <c r="AA67" i="23"/>
  <c r="T67" i="23"/>
  <c r="H65" i="23" l="1"/>
  <c r="I65" i="23" s="1"/>
  <c r="K65" i="23"/>
  <c r="Y67" i="23"/>
  <c r="V67" i="23"/>
  <c r="W67" i="23" s="1"/>
  <c r="B66" i="23" l="1"/>
  <c r="D66" i="23"/>
  <c r="E66" i="23" s="1"/>
  <c r="P68" i="23"/>
  <c r="R68" i="23"/>
  <c r="S68" i="23" s="1"/>
  <c r="J66" i="23" l="1"/>
  <c r="C67" i="23"/>
  <c r="N67" i="23"/>
  <c r="L66" i="23"/>
  <c r="M66" i="23" s="1"/>
  <c r="Z68" i="23"/>
  <c r="AA68" i="23" s="1"/>
  <c r="Q69" i="23"/>
  <c r="AB69" i="23"/>
  <c r="F66" i="23" l="1"/>
  <c r="K66" i="23" s="1"/>
  <c r="T68" i="23"/>
  <c r="V68" i="23" s="1"/>
  <c r="W68" i="23" s="1"/>
  <c r="H66" i="23" l="1"/>
  <c r="I66" i="23" s="1"/>
  <c r="D67" i="23" s="1"/>
  <c r="E67" i="23" s="1"/>
  <c r="Y68" i="23"/>
  <c r="R69" i="23"/>
  <c r="S69" i="23" s="1"/>
  <c r="P69" i="23"/>
  <c r="B67" i="23" l="1"/>
  <c r="L67" i="23"/>
  <c r="J67" i="23"/>
  <c r="C68" i="23"/>
  <c r="N68" i="23"/>
  <c r="AB70" i="23"/>
  <c r="Q70" i="23"/>
  <c r="Z69" i="23"/>
  <c r="M67" i="23" l="1"/>
  <c r="F67" i="23"/>
  <c r="AA69" i="23"/>
  <c r="T69" i="23"/>
  <c r="K67" i="23" l="1"/>
  <c r="H67" i="23"/>
  <c r="I67" i="23" s="1"/>
  <c r="Y69" i="23"/>
  <c r="V69" i="23"/>
  <c r="W69" i="23" s="1"/>
  <c r="D68" i="23" l="1"/>
  <c r="E68" i="23" s="1"/>
  <c r="B68" i="23"/>
  <c r="R70" i="23"/>
  <c r="S70" i="23" s="1"/>
  <c r="P70" i="23"/>
  <c r="L68" i="23" l="1"/>
  <c r="N69" i="23"/>
  <c r="J68" i="23"/>
  <c r="C69" i="23"/>
  <c r="Z70" i="23"/>
  <c r="AA70" i="23" s="1"/>
  <c r="AB71" i="23"/>
  <c r="Q71" i="23"/>
  <c r="M68" i="23" l="1"/>
  <c r="F68" i="23"/>
  <c r="T70" i="23"/>
  <c r="V70" i="23" s="1"/>
  <c r="W70" i="23" s="1"/>
  <c r="K68" i="23" l="1"/>
  <c r="H68" i="23"/>
  <c r="I68" i="23" s="1"/>
  <c r="Y70" i="23"/>
  <c r="P71" i="23"/>
  <c r="R71" i="23"/>
  <c r="S71" i="23" s="1"/>
  <c r="D69" i="23" l="1"/>
  <c r="E69" i="23" s="1"/>
  <c r="B69" i="23"/>
  <c r="Q72" i="23"/>
  <c r="Z71" i="23"/>
  <c r="AA71" i="23" s="1"/>
  <c r="AB72" i="23"/>
  <c r="C70" i="23" l="1"/>
  <c r="N70" i="23"/>
  <c r="L69" i="23"/>
  <c r="J69" i="23"/>
  <c r="T71" i="23"/>
  <c r="V71" i="23" s="1"/>
  <c r="W71" i="23" s="1"/>
  <c r="M69" i="23" l="1"/>
  <c r="F69" i="23"/>
  <c r="Y71" i="23"/>
  <c r="R72" i="23"/>
  <c r="S72" i="23" s="1"/>
  <c r="P72" i="23"/>
  <c r="K69" i="23" l="1"/>
  <c r="H69" i="23"/>
  <c r="I69" i="23" s="1"/>
  <c r="Q73" i="23"/>
  <c r="Z72" i="23"/>
  <c r="AA72" i="23" s="1"/>
  <c r="AB73" i="23"/>
  <c r="B70" i="23" l="1"/>
  <c r="D70" i="23"/>
  <c r="E70" i="23" s="1"/>
  <c r="T72" i="23"/>
  <c r="Y72" i="23" s="1"/>
  <c r="L70" i="23" l="1"/>
  <c r="M70" i="23" s="1"/>
  <c r="J70" i="23"/>
  <c r="N71" i="23"/>
  <c r="C71" i="23"/>
  <c r="V72" i="23"/>
  <c r="W72" i="23" s="1"/>
  <c r="P73" i="23" s="1"/>
  <c r="R73" i="23" l="1"/>
  <c r="S73" i="23" s="1"/>
  <c r="Q74" i="23" s="1"/>
  <c r="F70" i="23"/>
  <c r="Z73" i="23" l="1"/>
  <c r="AA73" i="23" s="1"/>
  <c r="AB74" i="23"/>
  <c r="K70" i="23"/>
  <c r="H70" i="23"/>
  <c r="I70" i="23" s="1"/>
  <c r="T73" i="23" l="1"/>
  <c r="Y73" i="23" s="1"/>
  <c r="B71" i="23"/>
  <c r="D71" i="23"/>
  <c r="E71" i="23" s="1"/>
  <c r="V73" i="23"/>
  <c r="W73" i="23" s="1"/>
  <c r="R74" i="23" s="1"/>
  <c r="S74" i="23" s="1"/>
  <c r="N72" i="23" l="1"/>
  <c r="C72" i="23"/>
  <c r="L71" i="23"/>
  <c r="M71" i="23" s="1"/>
  <c r="J71" i="23"/>
  <c r="P74" i="23"/>
  <c r="AB75" i="23"/>
  <c r="Q75" i="23"/>
  <c r="Z74" i="23"/>
  <c r="AA74" i="23" s="1"/>
  <c r="F71" i="23" l="1"/>
  <c r="K71" i="23" s="1"/>
  <c r="T74" i="23"/>
  <c r="Y74" i="23" s="1"/>
  <c r="H71" i="23" l="1"/>
  <c r="I71" i="23" s="1"/>
  <c r="B72" i="23" s="1"/>
  <c r="D72" i="23"/>
  <c r="E72" i="23" s="1"/>
  <c r="V74" i="23"/>
  <c r="W74" i="23" s="1"/>
  <c r="R75" i="23" s="1"/>
  <c r="S75" i="23" s="1"/>
  <c r="L72" i="23" l="1"/>
  <c r="M72" i="23" s="1"/>
  <c r="C73" i="23"/>
  <c r="N73" i="23"/>
  <c r="J72" i="23"/>
  <c r="F72" i="23"/>
  <c r="K72" i="23" s="1"/>
  <c r="P75" i="23"/>
  <c r="Q76" i="23"/>
  <c r="AB76" i="23"/>
  <c r="Z75" i="23"/>
  <c r="AA75" i="23" s="1"/>
  <c r="H72" i="23" l="1"/>
  <c r="I72" i="23" s="1"/>
  <c r="T75" i="23"/>
  <c r="B73" i="23" l="1"/>
  <c r="D73" i="23"/>
  <c r="E73" i="23" s="1"/>
  <c r="Y75" i="23"/>
  <c r="V75" i="23"/>
  <c r="W75" i="23" s="1"/>
  <c r="N74" i="23" l="1"/>
  <c r="L73" i="23"/>
  <c r="M73" i="23" s="1"/>
  <c r="C74" i="23"/>
  <c r="J73" i="23"/>
  <c r="P76" i="23"/>
  <c r="R76" i="23"/>
  <c r="S76" i="23" s="1"/>
  <c r="F73" i="23" l="1"/>
  <c r="AB77" i="23"/>
  <c r="Z76" i="23"/>
  <c r="AA76" i="23" s="1"/>
  <c r="Q77" i="23"/>
  <c r="K73" i="23" l="1"/>
  <c r="H73" i="23"/>
  <c r="I73" i="23" s="1"/>
  <c r="T76" i="23"/>
  <c r="Y76" i="23" s="1"/>
  <c r="B74" i="23" l="1"/>
  <c r="D74" i="23"/>
  <c r="E74" i="23" s="1"/>
  <c r="V76" i="23"/>
  <c r="W76" i="23" s="1"/>
  <c r="P77" i="23" s="1"/>
  <c r="L74" i="23" l="1"/>
  <c r="M74" i="23" s="1"/>
  <c r="C75" i="23"/>
  <c r="N75" i="23"/>
  <c r="J74" i="23"/>
  <c r="R77" i="23"/>
  <c r="S77" i="23" s="1"/>
  <c r="Q78" i="23" s="1"/>
  <c r="F74" i="23" l="1"/>
  <c r="AB78" i="23"/>
  <c r="Z77" i="23"/>
  <c r="K74" i="23" l="1"/>
  <c r="H74" i="23"/>
  <c r="I74" i="23" s="1"/>
  <c r="AA77" i="23"/>
  <c r="T77" i="23"/>
  <c r="B75" i="23" l="1"/>
  <c r="D75" i="23"/>
  <c r="E75" i="23" s="1"/>
  <c r="V77" i="23"/>
  <c r="W77" i="23" s="1"/>
  <c r="Y77" i="23"/>
  <c r="J75" i="23" l="1"/>
  <c r="L75" i="23"/>
  <c r="M75" i="23" s="1"/>
  <c r="N76" i="23"/>
  <c r="C76" i="23"/>
  <c r="R78" i="23"/>
  <c r="S78" i="23" s="1"/>
  <c r="P78" i="23"/>
  <c r="F75" i="23" l="1"/>
  <c r="H75" i="23" s="1"/>
  <c r="I75" i="23" s="1"/>
  <c r="B76" i="23" s="1"/>
  <c r="D76" i="23"/>
  <c r="E76" i="23" s="1"/>
  <c r="AB79" i="23"/>
  <c r="Q79" i="23"/>
  <c r="Z78" i="23"/>
  <c r="K75" i="23" l="1"/>
  <c r="C77" i="23"/>
  <c r="J76" i="23"/>
  <c r="L76" i="23"/>
  <c r="M76" i="23" s="1"/>
  <c r="N77" i="23"/>
  <c r="AA78" i="23"/>
  <c r="T78" i="23"/>
  <c r="F76" i="23" l="1"/>
  <c r="V78" i="23"/>
  <c r="W78" i="23" s="1"/>
  <c r="Y78" i="23"/>
  <c r="K76" i="23" l="1"/>
  <c r="H76" i="23"/>
  <c r="I76" i="23" s="1"/>
  <c r="R79" i="23"/>
  <c r="S79" i="23" s="1"/>
  <c r="P79" i="23"/>
  <c r="B77" i="23" l="1"/>
  <c r="D77" i="23"/>
  <c r="E77" i="23" s="1"/>
  <c r="Z79" i="23"/>
  <c r="AB80" i="23"/>
  <c r="Q80" i="23"/>
  <c r="L77" i="23" l="1"/>
  <c r="M77" i="23" s="1"/>
  <c r="N78" i="23"/>
  <c r="J77" i="23"/>
  <c r="C78" i="23"/>
  <c r="AA79" i="23"/>
  <c r="T79" i="23"/>
  <c r="F77" i="23" l="1"/>
  <c r="K77" i="23" s="1"/>
  <c r="Y79" i="23"/>
  <c r="V79" i="23"/>
  <c r="W79" i="23" s="1"/>
  <c r="H77" i="23" l="1"/>
  <c r="I77" i="23" s="1"/>
  <c r="B78" i="23" s="1"/>
  <c r="P80" i="23"/>
  <c r="R80" i="23"/>
  <c r="S80" i="23" s="1"/>
  <c r="D78" i="23" l="1"/>
  <c r="E78" i="23" s="1"/>
  <c r="J78" i="23" s="1"/>
  <c r="Q81" i="23"/>
  <c r="Z80" i="23"/>
  <c r="AB81" i="23"/>
  <c r="L78" i="23" l="1"/>
  <c r="N79" i="23"/>
  <c r="C79" i="23"/>
  <c r="M78" i="23"/>
  <c r="F78" i="23"/>
  <c r="AA80" i="23"/>
  <c r="T80" i="23"/>
  <c r="K78" i="23" l="1"/>
  <c r="H78" i="23"/>
  <c r="I78" i="23" s="1"/>
  <c r="Y80" i="23"/>
  <c r="V80" i="23"/>
  <c r="W80" i="23" s="1"/>
  <c r="D79" i="23" l="1"/>
  <c r="E79" i="23" s="1"/>
  <c r="B79" i="23"/>
  <c r="R81" i="23"/>
  <c r="S81" i="23" s="1"/>
  <c r="P81" i="23"/>
  <c r="N80" i="23" l="1"/>
  <c r="L79" i="23"/>
  <c r="M79" i="23" s="1"/>
  <c r="C80" i="23"/>
  <c r="J79" i="23"/>
  <c r="Z81" i="23"/>
  <c r="AA81" i="23" s="1"/>
  <c r="Q82" i="23"/>
  <c r="AB82" i="23"/>
  <c r="F79" i="23" l="1"/>
  <c r="T81" i="23"/>
  <c r="Y81" i="23" s="1"/>
  <c r="V81" i="23" l="1"/>
  <c r="W81" i="23" s="1"/>
  <c r="R82" i="23" s="1"/>
  <c r="S82" i="23" s="1"/>
  <c r="H79" i="23"/>
  <c r="I79" i="23" s="1"/>
  <c r="K79" i="23"/>
  <c r="P82" i="23" l="1"/>
  <c r="D80" i="23"/>
  <c r="E80" i="23" s="1"/>
  <c r="B80" i="23"/>
  <c r="AB83" i="23"/>
  <c r="Q83" i="23"/>
  <c r="Z82" i="23"/>
  <c r="AA82" i="23" s="1"/>
  <c r="C81" i="23" l="1"/>
  <c r="L80" i="23"/>
  <c r="M80" i="23" s="1"/>
  <c r="N81" i="23"/>
  <c r="J80" i="23"/>
  <c r="T82" i="23"/>
  <c r="Y82" i="23" s="1"/>
  <c r="V82" i="23" l="1"/>
  <c r="W82" i="23" s="1"/>
  <c r="R83" i="23" s="1"/>
  <c r="S83" i="23" s="1"/>
  <c r="F80" i="23"/>
  <c r="P83" i="23" l="1"/>
  <c r="K80" i="23"/>
  <c r="H80" i="23"/>
  <c r="I80" i="23" s="1"/>
  <c r="AB84" i="23"/>
  <c r="Z83" i="23"/>
  <c r="Q84" i="23"/>
  <c r="D81" i="23" l="1"/>
  <c r="E81" i="23" s="1"/>
  <c r="B81" i="23"/>
  <c r="AA83" i="23"/>
  <c r="T83" i="23"/>
  <c r="N82" i="23" l="1"/>
  <c r="L81" i="23"/>
  <c r="M81" i="23" s="1"/>
  <c r="J81" i="23"/>
  <c r="C82" i="23"/>
  <c r="V83" i="23"/>
  <c r="W83" i="23" s="1"/>
  <c r="Y83" i="23"/>
  <c r="F81" i="23" l="1"/>
  <c r="K81" i="23" s="1"/>
  <c r="R84" i="23"/>
  <c r="S84" i="23" s="1"/>
  <c r="P84" i="23"/>
  <c r="H81" i="23" l="1"/>
  <c r="I81" i="23" s="1"/>
  <c r="B82" i="23" s="1"/>
  <c r="D82" i="23"/>
  <c r="E82" i="23" s="1"/>
  <c r="C83" i="23" s="1"/>
  <c r="AB85" i="23"/>
  <c r="Z84" i="23"/>
  <c r="AA84" i="23" s="1"/>
  <c r="Q85" i="23"/>
  <c r="N83" i="23" l="1"/>
  <c r="L82" i="23"/>
  <c r="J82" i="23"/>
  <c r="T84" i="23"/>
  <c r="V84" i="23" s="1"/>
  <c r="W84" i="23" s="1"/>
  <c r="M82" i="23" l="1"/>
  <c r="F82" i="23"/>
  <c r="Y84" i="23"/>
  <c r="R85" i="23"/>
  <c r="S85" i="23" s="1"/>
  <c r="P85" i="23"/>
  <c r="H82" i="23" l="1"/>
  <c r="I82" i="23" s="1"/>
  <c r="K82" i="23"/>
  <c r="Z85" i="23"/>
  <c r="AB86" i="23"/>
  <c r="Q86" i="23"/>
  <c r="B83" i="23" l="1"/>
  <c r="D83" i="23"/>
  <c r="E83" i="23" s="1"/>
  <c r="AA85" i="23"/>
  <c r="T85" i="23"/>
  <c r="J83" i="23" l="1"/>
  <c r="L83" i="23"/>
  <c r="M83" i="23" s="1"/>
  <c r="C84" i="23"/>
  <c r="N84" i="23"/>
  <c r="Y85" i="23"/>
  <c r="V85" i="23"/>
  <c r="W85" i="23" s="1"/>
  <c r="F83" i="23" l="1"/>
  <c r="P86" i="23"/>
  <c r="R86" i="23"/>
  <c r="S86" i="23" s="1"/>
  <c r="K83" i="23" l="1"/>
  <c r="H83" i="23"/>
  <c r="I83" i="23" s="1"/>
  <c r="AB87" i="23"/>
  <c r="Q87" i="23"/>
  <c r="Z86" i="23"/>
  <c r="AA86" i="23" s="1"/>
  <c r="B84" i="23" l="1"/>
  <c r="D84" i="23"/>
  <c r="E84" i="23" s="1"/>
  <c r="T86" i="23"/>
  <c r="Y86" i="23" s="1"/>
  <c r="C85" i="23" l="1"/>
  <c r="J84" i="23"/>
  <c r="N85" i="23"/>
  <c r="L84" i="23"/>
  <c r="M84" i="23" s="1"/>
  <c r="V86" i="23"/>
  <c r="W86" i="23" s="1"/>
  <c r="R87" i="23" s="1"/>
  <c r="S87" i="23" s="1"/>
  <c r="F84" i="23" l="1"/>
  <c r="H84" i="23" s="1"/>
  <c r="I84" i="23" s="1"/>
  <c r="P87" i="23"/>
  <c r="AB88" i="23"/>
  <c r="Z87" i="23"/>
  <c r="AA87" i="23" s="1"/>
  <c r="Q88" i="23"/>
  <c r="K84" i="23" l="1"/>
  <c r="D85" i="23"/>
  <c r="E85" i="23" s="1"/>
  <c r="B85" i="23"/>
  <c r="T87" i="23"/>
  <c r="Y87" i="23" s="1"/>
  <c r="V87" i="23" l="1"/>
  <c r="W87" i="23" s="1"/>
  <c r="R88" i="23" s="1"/>
  <c r="S88" i="23" s="1"/>
  <c r="J85" i="23"/>
  <c r="L85" i="23"/>
  <c r="N86" i="23"/>
  <c r="C86" i="23"/>
  <c r="P88" i="23" l="1"/>
  <c r="M85" i="23"/>
  <c r="F85" i="23"/>
  <c r="AB89" i="23"/>
  <c r="Z88" i="23"/>
  <c r="AA88" i="23" s="1"/>
  <c r="Q89" i="23"/>
  <c r="K85" i="23" l="1"/>
  <c r="H85" i="23"/>
  <c r="I85" i="23" s="1"/>
  <c r="T88" i="23"/>
  <c r="Y88" i="23" s="1"/>
  <c r="B86" i="23" l="1"/>
  <c r="D86" i="23"/>
  <c r="E86" i="23" s="1"/>
  <c r="V88" i="23"/>
  <c r="W88" i="23" s="1"/>
  <c r="P89" i="23" s="1"/>
  <c r="C87" i="23" l="1"/>
  <c r="L86" i="23"/>
  <c r="M86" i="23" s="1"/>
  <c r="N87" i="23"/>
  <c r="J86" i="23"/>
  <c r="R89" i="23"/>
  <c r="S89" i="23" s="1"/>
  <c r="AB90" i="23" s="1"/>
  <c r="Q90" i="23" l="1"/>
  <c r="Z89" i="23"/>
  <c r="AA89" i="23" s="1"/>
  <c r="F86" i="23"/>
  <c r="T89" i="23"/>
  <c r="Y89" i="23" s="1"/>
  <c r="K86" i="23" l="1"/>
  <c r="H86" i="23"/>
  <c r="I86" i="23" s="1"/>
  <c r="V89" i="23"/>
  <c r="W89" i="23" s="1"/>
  <c r="P90" i="23" s="1"/>
  <c r="R90" i="23" l="1"/>
  <c r="S90" i="23" s="1"/>
  <c r="D87" i="23"/>
  <c r="E87" i="23" s="1"/>
  <c r="B87" i="23"/>
  <c r="AB91" i="23"/>
  <c r="Q91" i="23"/>
  <c r="Z90" i="23"/>
  <c r="AA90" i="23" s="1"/>
  <c r="L87" i="23" l="1"/>
  <c r="N88" i="23"/>
  <c r="C88" i="23"/>
  <c r="J87" i="23"/>
  <c r="T90" i="23"/>
  <c r="Y90" i="23" s="1"/>
  <c r="M87" i="23" l="1"/>
  <c r="F87" i="23"/>
  <c r="V90" i="23"/>
  <c r="W90" i="23" s="1"/>
  <c r="P91" i="23" s="1"/>
  <c r="K87" i="23" l="1"/>
  <c r="H87" i="23"/>
  <c r="I87" i="23" s="1"/>
  <c r="R91" i="23"/>
  <c r="S91" i="23" s="1"/>
  <c r="Q92" i="23" s="1"/>
  <c r="AB92" i="23" l="1"/>
  <c r="B88" i="23"/>
  <c r="D88" i="23"/>
  <c r="E88" i="23" s="1"/>
  <c r="Z91" i="23"/>
  <c r="AA91" i="23" s="1"/>
  <c r="J88" i="23" l="1"/>
  <c r="C89" i="23"/>
  <c r="N89" i="23"/>
  <c r="L88" i="23"/>
  <c r="M88" i="23" s="1"/>
  <c r="T91" i="23"/>
  <c r="Y91" i="23" s="1"/>
  <c r="V91" i="23" l="1"/>
  <c r="W91" i="23" s="1"/>
  <c r="R92" i="23" s="1"/>
  <c r="S92" i="23" s="1"/>
  <c r="Z92" i="23" s="1"/>
  <c r="AA92" i="23" s="1"/>
  <c r="F88" i="23"/>
  <c r="AB93" i="23" l="1"/>
  <c r="Q93" i="23"/>
  <c r="P92" i="23"/>
  <c r="K88" i="23"/>
  <c r="H88" i="23"/>
  <c r="I88" i="23" s="1"/>
  <c r="T92" i="23"/>
  <c r="V92" i="23" s="1"/>
  <c r="W92" i="23" s="1"/>
  <c r="D89" i="23" l="1"/>
  <c r="E89" i="23" s="1"/>
  <c r="B89" i="23"/>
  <c r="Y92" i="23"/>
  <c r="P93" i="23"/>
  <c r="R93" i="23"/>
  <c r="S93" i="23" s="1"/>
  <c r="L89" i="23" l="1"/>
  <c r="M89" i="23" s="1"/>
  <c r="J89" i="23"/>
  <c r="C90" i="23"/>
  <c r="N90" i="23"/>
  <c r="F89" i="23"/>
  <c r="Z93" i="23"/>
  <c r="AA93" i="23" s="1"/>
  <c r="Q94" i="23"/>
  <c r="AB94" i="23"/>
  <c r="K89" i="23" l="1"/>
  <c r="H89" i="23"/>
  <c r="I89" i="23" s="1"/>
  <c r="T93" i="23"/>
  <c r="V93" i="23" s="1"/>
  <c r="W93" i="23" s="1"/>
  <c r="D90" i="23" l="1"/>
  <c r="E90" i="23" s="1"/>
  <c r="B90" i="23"/>
  <c r="Y93" i="23"/>
  <c r="P94" i="23"/>
  <c r="R94" i="23"/>
  <c r="S94" i="23" s="1"/>
  <c r="C91" i="23" l="1"/>
  <c r="N91" i="23"/>
  <c r="L90" i="23"/>
  <c r="M90" i="23" s="1"/>
  <c r="J90" i="23"/>
  <c r="Z94" i="23"/>
  <c r="AA94" i="23" s="1"/>
  <c r="AB95" i="23"/>
  <c r="Q95" i="23"/>
  <c r="F90" i="23" l="1"/>
  <c r="T94" i="23"/>
  <c r="H90" i="23" l="1"/>
  <c r="I90" i="23" s="1"/>
  <c r="K90" i="23"/>
  <c r="Y94" i="23"/>
  <c r="V94" i="23"/>
  <c r="W94" i="23" s="1"/>
  <c r="B91" i="23" l="1"/>
  <c r="D91" i="23"/>
  <c r="E91" i="23" s="1"/>
  <c r="R95" i="23"/>
  <c r="S95" i="23" s="1"/>
  <c r="P95" i="23"/>
  <c r="J91" i="23" l="1"/>
  <c r="C92" i="23"/>
  <c r="N92" i="23"/>
  <c r="L91" i="23"/>
  <c r="M91" i="23" s="1"/>
  <c r="Z95" i="23"/>
  <c r="AA95" i="23" s="1"/>
  <c r="AB96" i="23"/>
  <c r="Q96" i="23"/>
  <c r="F91" i="23" l="1"/>
  <c r="T95" i="23"/>
  <c r="Y95" i="23" s="1"/>
  <c r="K91" i="23" l="1"/>
  <c r="H91" i="23"/>
  <c r="I91" i="23" s="1"/>
  <c r="V95" i="23"/>
  <c r="W95" i="23" s="1"/>
  <c r="R96" i="23" s="1"/>
  <c r="S96" i="23" s="1"/>
  <c r="B92" i="23" l="1"/>
  <c r="D92" i="23"/>
  <c r="E92" i="23" s="1"/>
  <c r="P96" i="23"/>
  <c r="AB97" i="23"/>
  <c r="Z96" i="23"/>
  <c r="AA96" i="23" s="1"/>
  <c r="Q97" i="23"/>
  <c r="C93" i="23" l="1"/>
  <c r="L92" i="23"/>
  <c r="M92" i="23" s="1"/>
  <c r="J92" i="23"/>
  <c r="N93" i="23"/>
  <c r="T96" i="23"/>
  <c r="F92" i="23" l="1"/>
  <c r="Y96" i="23"/>
  <c r="V96" i="23"/>
  <c r="W96" i="23" s="1"/>
  <c r="K92" i="23" l="1"/>
  <c r="H92" i="23"/>
  <c r="I92" i="23" s="1"/>
  <c r="P97" i="23"/>
  <c r="R97" i="23"/>
  <c r="S97" i="23" s="1"/>
  <c r="B93" i="23" l="1"/>
  <c r="D93" i="23"/>
  <c r="E93" i="23" s="1"/>
  <c r="AB98" i="23"/>
  <c r="Q98" i="23"/>
  <c r="Z97" i="23"/>
  <c r="AA97" i="23" s="1"/>
  <c r="L93" i="23" l="1"/>
  <c r="M93" i="23" s="1"/>
  <c r="J93" i="23"/>
  <c r="C94" i="23"/>
  <c r="N94" i="23"/>
  <c r="F93" i="23"/>
  <c r="K93" i="23" s="1"/>
  <c r="T97" i="23"/>
  <c r="Y97" i="23" s="1"/>
  <c r="V97" i="23" l="1"/>
  <c r="W97" i="23" s="1"/>
  <c r="P98" i="23" s="1"/>
  <c r="H93" i="23"/>
  <c r="I93" i="23" s="1"/>
  <c r="R98" i="23" l="1"/>
  <c r="S98" i="23" s="1"/>
  <c r="B94" i="23"/>
  <c r="D94" i="23"/>
  <c r="E94" i="23" s="1"/>
  <c r="Q99" i="23"/>
  <c r="Z98" i="23"/>
  <c r="AA98" i="23" s="1"/>
  <c r="AB99" i="23"/>
  <c r="T98" i="23" l="1"/>
  <c r="V98" i="23" s="1"/>
  <c r="W98" i="23" s="1"/>
  <c r="J94" i="23"/>
  <c r="C95" i="23"/>
  <c r="L94" i="23"/>
  <c r="M94" i="23" s="1"/>
  <c r="N95" i="23"/>
  <c r="Y98" i="23" l="1"/>
  <c r="F94" i="23"/>
  <c r="R99" i="23"/>
  <c r="S99" i="23" s="1"/>
  <c r="P99" i="23"/>
  <c r="K94" i="23" l="1"/>
  <c r="H94" i="23"/>
  <c r="I94" i="23" s="1"/>
  <c r="AB100" i="23"/>
  <c r="Z99" i="23"/>
  <c r="Q100" i="23"/>
  <c r="B95" i="23" l="1"/>
  <c r="D95" i="23"/>
  <c r="E95" i="23" s="1"/>
  <c r="AA99" i="23"/>
  <c r="T99" i="23"/>
  <c r="C96" i="23" l="1"/>
  <c r="J95" i="23"/>
  <c r="L95" i="23"/>
  <c r="M95" i="23" s="1"/>
  <c r="N96" i="23"/>
  <c r="V99" i="23"/>
  <c r="W99" i="23" s="1"/>
  <c r="Y99" i="23"/>
  <c r="F95" i="23" l="1"/>
  <c r="K95" i="23" s="1"/>
  <c r="R100" i="23"/>
  <c r="S100" i="23" s="1"/>
  <c r="P100" i="23"/>
  <c r="H95" i="23" l="1"/>
  <c r="I95" i="23" s="1"/>
  <c r="D96" i="23" s="1"/>
  <c r="E96" i="23" s="1"/>
  <c r="Q101" i="23"/>
  <c r="AB101" i="23"/>
  <c r="Z100" i="23"/>
  <c r="B96" i="23" l="1"/>
  <c r="J96" i="23"/>
  <c r="L96" i="23"/>
  <c r="M96" i="23" s="1"/>
  <c r="N97" i="23"/>
  <c r="C97" i="23"/>
  <c r="AA100" i="23"/>
  <c r="T100" i="23"/>
  <c r="F96" i="23" l="1"/>
  <c r="V100" i="23"/>
  <c r="W100" i="23" s="1"/>
  <c r="Y100" i="23"/>
  <c r="K96" i="23" l="1"/>
  <c r="H96" i="23"/>
  <c r="I96" i="23" s="1"/>
  <c r="P101" i="23"/>
  <c r="R101" i="23"/>
  <c r="S101" i="23" s="1"/>
  <c r="D97" i="23" l="1"/>
  <c r="E97" i="23" s="1"/>
  <c r="B97" i="23"/>
  <c r="Z101" i="23"/>
  <c r="AA101" i="23" s="1"/>
  <c r="Q102" i="23"/>
  <c r="AB102" i="23"/>
  <c r="N98" i="23" l="1"/>
  <c r="L97" i="23"/>
  <c r="M97" i="23" s="1"/>
  <c r="C98" i="23"/>
  <c r="J97" i="23"/>
  <c r="T101" i="23"/>
  <c r="Y101" i="23" s="1"/>
  <c r="F97" i="23" l="1"/>
  <c r="V101" i="23"/>
  <c r="W101" i="23" s="1"/>
  <c r="P102" i="23" s="1"/>
  <c r="R102" i="23" l="1"/>
  <c r="S102" i="23" s="1"/>
  <c r="Q103" i="23" s="1"/>
  <c r="K97" i="23"/>
  <c r="H97" i="23"/>
  <c r="I97" i="23" s="1"/>
  <c r="Z102" i="23" l="1"/>
  <c r="AA102" i="23" s="1"/>
  <c r="AB103" i="23"/>
  <c r="D98" i="23"/>
  <c r="E98" i="23" s="1"/>
  <c r="B98" i="23"/>
  <c r="T102" i="23"/>
  <c r="V102" i="23" s="1"/>
  <c r="W102" i="23" s="1"/>
  <c r="L98" i="23" l="1"/>
  <c r="M98" i="23" s="1"/>
  <c r="J98" i="23"/>
  <c r="N99" i="23"/>
  <c r="C99" i="23"/>
  <c r="F98" i="23"/>
  <c r="K98" i="23" s="1"/>
  <c r="Y102" i="23"/>
  <c r="P103" i="23"/>
  <c r="R103" i="23"/>
  <c r="S103" i="23" s="1"/>
  <c r="H98" i="23" l="1"/>
  <c r="I98" i="23" s="1"/>
  <c r="Z103" i="23"/>
  <c r="Q104" i="23"/>
  <c r="AB104" i="23"/>
  <c r="B99" i="23" l="1"/>
  <c r="D99" i="23"/>
  <c r="E99" i="23" s="1"/>
  <c r="AA103" i="23"/>
  <c r="T103" i="23"/>
  <c r="J99" i="23" l="1"/>
  <c r="C100" i="23"/>
  <c r="N100" i="23"/>
  <c r="L99" i="23"/>
  <c r="M99" i="23" s="1"/>
  <c r="V103" i="23"/>
  <c r="W103" i="23" s="1"/>
  <c r="Y103" i="23"/>
  <c r="F99" i="23" l="1"/>
  <c r="P104" i="23"/>
  <c r="R104" i="23"/>
  <c r="S104" i="23" s="1"/>
  <c r="K99" i="23" l="1"/>
  <c r="H99" i="23"/>
  <c r="I99" i="23" s="1"/>
  <c r="AB105" i="23"/>
  <c r="Z104" i="23"/>
  <c r="Q105" i="23"/>
  <c r="D100" i="23" l="1"/>
  <c r="E100" i="23" s="1"/>
  <c r="B100" i="23"/>
  <c r="AA104" i="23"/>
  <c r="T104" i="23"/>
  <c r="C101" i="23" l="1"/>
  <c r="L100" i="23"/>
  <c r="M100" i="23" s="1"/>
  <c r="J100" i="23"/>
  <c r="N101" i="23"/>
  <c r="V104" i="23"/>
  <c r="W104" i="23" s="1"/>
  <c r="Y104" i="23"/>
  <c r="F100" i="23" l="1"/>
  <c r="R105" i="23"/>
  <c r="S105" i="23" s="1"/>
  <c r="P105" i="23"/>
  <c r="K100" i="23" l="1"/>
  <c r="H100" i="23"/>
  <c r="I100" i="23" s="1"/>
  <c r="AB106" i="23"/>
  <c r="Z105" i="23"/>
  <c r="AA105" i="23" s="1"/>
  <c r="Q106" i="23"/>
  <c r="D101" i="23" l="1"/>
  <c r="E101" i="23" s="1"/>
  <c r="B101" i="23"/>
  <c r="T105" i="23"/>
  <c r="N102" i="23" l="1"/>
  <c r="C102" i="23"/>
  <c r="L101" i="23"/>
  <c r="M101" i="23" s="1"/>
  <c r="J101" i="23"/>
  <c r="Y105" i="23"/>
  <c r="V105" i="23"/>
  <c r="W105" i="23" s="1"/>
  <c r="F101" i="23" l="1"/>
  <c r="R106" i="23"/>
  <c r="S106" i="23" s="1"/>
  <c r="P106" i="23"/>
  <c r="K101" i="23" l="1"/>
  <c r="H101" i="23"/>
  <c r="I101" i="23" s="1"/>
  <c r="Q107" i="23"/>
  <c r="AB107" i="23"/>
  <c r="Z106" i="23"/>
  <c r="AA106" i="23" s="1"/>
  <c r="D102" i="23" l="1"/>
  <c r="E102" i="23" s="1"/>
  <c r="B102" i="23"/>
  <c r="T106" i="23"/>
  <c r="N103" i="23" l="1"/>
  <c r="J102" i="23"/>
  <c r="C103" i="23"/>
  <c r="L102" i="23"/>
  <c r="M102" i="23" s="1"/>
  <c r="Y106" i="23"/>
  <c r="V106" i="23"/>
  <c r="W106" i="23" s="1"/>
  <c r="F102" i="23" l="1"/>
  <c r="R107" i="23"/>
  <c r="S107" i="23" s="1"/>
  <c r="P107" i="23"/>
  <c r="K102" i="23" l="1"/>
  <c r="H102" i="23"/>
  <c r="I102" i="23" s="1"/>
  <c r="Z107" i="23"/>
  <c r="AA107" i="23" s="1"/>
  <c r="Q108" i="23"/>
  <c r="AB108" i="23"/>
  <c r="D103" i="23" l="1"/>
  <c r="E103" i="23" s="1"/>
  <c r="B103" i="23"/>
  <c r="T107" i="23"/>
  <c r="Y107" i="23" s="1"/>
  <c r="L103" i="23" l="1"/>
  <c r="M103" i="23" s="1"/>
  <c r="J103" i="23"/>
  <c r="N104" i="23"/>
  <c r="C104" i="23"/>
  <c r="F103" i="23"/>
  <c r="K103" i="23" s="1"/>
  <c r="V107" i="23"/>
  <c r="W107" i="23" s="1"/>
  <c r="P108" i="23" s="1"/>
  <c r="R108" i="23" l="1"/>
  <c r="S108" i="23" s="1"/>
  <c r="AB109" i="23" s="1"/>
  <c r="H103" i="23"/>
  <c r="I103" i="23" s="1"/>
  <c r="Z108" i="23" l="1"/>
  <c r="AA108" i="23" s="1"/>
  <c r="Q109" i="23"/>
  <c r="B104" i="23"/>
  <c r="D104" i="23"/>
  <c r="E104" i="23" s="1"/>
  <c r="T108" i="23"/>
  <c r="Y108" i="23" s="1"/>
  <c r="L104" i="23" l="1"/>
  <c r="M104" i="23" s="1"/>
  <c r="C105" i="23"/>
  <c r="N105" i="23"/>
  <c r="F104" i="23"/>
  <c r="K104" i="23" s="1"/>
  <c r="J104" i="23"/>
  <c r="V108" i="23"/>
  <c r="W108" i="23" s="1"/>
  <c r="P109" i="23" s="1"/>
  <c r="H104" i="23" l="1"/>
  <c r="I104" i="23" s="1"/>
  <c r="R109" i="23"/>
  <c r="S109" i="23" s="1"/>
  <c r="AB110" i="23" s="1"/>
  <c r="Z109" i="23" l="1"/>
  <c r="AA109" i="23" s="1"/>
  <c r="D105" i="23"/>
  <c r="E105" i="23" s="1"/>
  <c r="B105" i="23"/>
  <c r="Q110" i="23"/>
  <c r="T109" i="23" l="1"/>
  <c r="Y109" i="23" s="1"/>
  <c r="J105" i="23"/>
  <c r="N106" i="23"/>
  <c r="L105" i="23"/>
  <c r="M105" i="23" s="1"/>
  <c r="C106" i="23"/>
  <c r="V109" i="23"/>
  <c r="W109" i="23" s="1"/>
  <c r="P110" i="23" s="1"/>
  <c r="F105" i="23" l="1"/>
  <c r="R110" i="23"/>
  <c r="S110" i="23" s="1"/>
  <c r="Z110" i="23" s="1"/>
  <c r="AA110" i="23" s="1"/>
  <c r="Q111" i="23" l="1"/>
  <c r="AB111" i="23"/>
  <c r="K105" i="23"/>
  <c r="H105" i="23"/>
  <c r="I105" i="23" s="1"/>
  <c r="T110" i="23"/>
  <c r="V110" i="23" s="1"/>
  <c r="W110" i="23" s="1"/>
  <c r="D106" i="23" l="1"/>
  <c r="E106" i="23" s="1"/>
  <c r="B106" i="23"/>
  <c r="Y110" i="23"/>
  <c r="R111" i="23"/>
  <c r="S111" i="23" s="1"/>
  <c r="P111" i="23"/>
  <c r="N107" i="23" l="1"/>
  <c r="C107" i="23"/>
  <c r="L106" i="23"/>
  <c r="M106" i="23" s="1"/>
  <c r="J106" i="23"/>
  <c r="Q112" i="23"/>
  <c r="Z111" i="23"/>
  <c r="AB112" i="23"/>
  <c r="F106" i="23" l="1"/>
  <c r="K106" i="23" s="1"/>
  <c r="AA111" i="23"/>
  <c r="T111" i="23"/>
  <c r="H106" i="23" l="1"/>
  <c r="I106" i="23" s="1"/>
  <c r="D107" i="23" s="1"/>
  <c r="E107" i="23" s="1"/>
  <c r="Y111" i="23"/>
  <c r="V111" i="23"/>
  <c r="W111" i="23" s="1"/>
  <c r="B107" i="23" l="1"/>
  <c r="C108" i="23"/>
  <c r="J107" i="23"/>
  <c r="L107" i="23"/>
  <c r="M107" i="23" s="1"/>
  <c r="N108" i="23"/>
  <c r="R112" i="23"/>
  <c r="S112" i="23" s="1"/>
  <c r="P112" i="23"/>
  <c r="F107" i="23" l="1"/>
  <c r="AB113" i="23"/>
  <c r="Q113" i="23"/>
  <c r="Z112" i="23"/>
  <c r="K107" i="23" l="1"/>
  <c r="H107" i="23"/>
  <c r="I107" i="23" s="1"/>
  <c r="AA112" i="23"/>
  <c r="T112" i="23"/>
  <c r="B108" i="23" l="1"/>
  <c r="D108" i="23"/>
  <c r="E108" i="23" s="1"/>
  <c r="Y112" i="23"/>
  <c r="V112" i="23"/>
  <c r="W112" i="23" s="1"/>
  <c r="J108" i="23" l="1"/>
  <c r="N109" i="23"/>
  <c r="L108" i="23"/>
  <c r="M108" i="23" s="1"/>
  <c r="C109" i="23"/>
  <c r="P113" i="23"/>
  <c r="R113" i="23"/>
  <c r="S113" i="23" s="1"/>
  <c r="F108" i="23" l="1"/>
  <c r="AB114" i="23"/>
  <c r="Z113" i="23"/>
  <c r="Q114" i="23"/>
  <c r="K108" i="23" l="1"/>
  <c r="H108" i="23"/>
  <c r="I108" i="23" s="1"/>
  <c r="AA113" i="23"/>
  <c r="T113" i="23"/>
  <c r="D109" i="23" l="1"/>
  <c r="E109" i="23" s="1"/>
  <c r="B109" i="23"/>
  <c r="Y113" i="23"/>
  <c r="V113" i="23"/>
  <c r="W113" i="23" s="1"/>
  <c r="N110" i="23" l="1"/>
  <c r="L109" i="23"/>
  <c r="M109" i="23" s="1"/>
  <c r="C110" i="23"/>
  <c r="J109" i="23"/>
  <c r="P114" i="23"/>
  <c r="R114" i="23"/>
  <c r="S114" i="23" s="1"/>
  <c r="F109" i="23" l="1"/>
  <c r="K109" i="23" s="1"/>
  <c r="AB115" i="23"/>
  <c r="Q115" i="23"/>
  <c r="Z114" i="23"/>
  <c r="H109" i="23" l="1"/>
  <c r="I109" i="23" s="1"/>
  <c r="B110" i="23"/>
  <c r="D110" i="23"/>
  <c r="E110" i="23" s="1"/>
  <c r="AA114" i="23"/>
  <c r="T114" i="23"/>
  <c r="C111" i="23" l="1"/>
  <c r="L110" i="23"/>
  <c r="M110" i="23" s="1"/>
  <c r="N111" i="23"/>
  <c r="J110" i="23"/>
  <c r="Y114" i="23"/>
  <c r="V114" i="23"/>
  <c r="W114" i="23" s="1"/>
  <c r="F110" i="23" l="1"/>
  <c r="P115" i="23"/>
  <c r="R115" i="23"/>
  <c r="S115" i="23" s="1"/>
  <c r="H110" i="23" l="1"/>
  <c r="I110" i="23" s="1"/>
  <c r="K110" i="23"/>
  <c r="Z115" i="23"/>
  <c r="Q116" i="23"/>
  <c r="AB116" i="23"/>
  <c r="D111" i="23" l="1"/>
  <c r="E111" i="23" s="1"/>
  <c r="B111" i="23"/>
  <c r="AA115" i="23"/>
  <c r="T115" i="23"/>
  <c r="J111" i="23" l="1"/>
  <c r="N112" i="23"/>
  <c r="L111" i="23"/>
  <c r="M111" i="23" s="1"/>
  <c r="C112" i="23"/>
  <c r="V115" i="23"/>
  <c r="W115" i="23" s="1"/>
  <c r="Y115" i="23"/>
  <c r="F111" i="23" l="1"/>
  <c r="P116" i="23"/>
  <c r="R116" i="23"/>
  <c r="S116" i="23" s="1"/>
  <c r="K111" i="23" l="1"/>
  <c r="H111" i="23"/>
  <c r="I111" i="23" s="1"/>
  <c r="Z116" i="23"/>
  <c r="Q117" i="23"/>
  <c r="AB117" i="23"/>
  <c r="B112" i="23" l="1"/>
  <c r="D112" i="23"/>
  <c r="E112" i="23" s="1"/>
  <c r="AA116" i="23"/>
  <c r="T116" i="23"/>
  <c r="C113" i="23" l="1"/>
  <c r="J112" i="23"/>
  <c r="L112" i="23"/>
  <c r="M112" i="23" s="1"/>
  <c r="N113" i="23"/>
  <c r="Y116" i="23"/>
  <c r="V116" i="23"/>
  <c r="W116" i="23" s="1"/>
  <c r="F112" i="23" l="1"/>
  <c r="P117" i="23"/>
  <c r="R117" i="23"/>
  <c r="S117" i="23" s="1"/>
  <c r="K112" i="23" l="1"/>
  <c r="H112" i="23"/>
  <c r="I112" i="23" s="1"/>
  <c r="Q118" i="23"/>
  <c r="AB118" i="23"/>
  <c r="Z117" i="23"/>
  <c r="D113" i="23" l="1"/>
  <c r="E113" i="23" s="1"/>
  <c r="B113" i="23"/>
  <c r="AA117" i="23"/>
  <c r="T117" i="23"/>
  <c r="C114" i="23" l="1"/>
  <c r="J113" i="23"/>
  <c r="N114" i="23"/>
  <c r="L113" i="23"/>
  <c r="M113" i="23" s="1"/>
  <c r="V117" i="23"/>
  <c r="W117" i="23" s="1"/>
  <c r="Y117" i="23"/>
  <c r="F113" i="23" l="1"/>
  <c r="K113" i="23" s="1"/>
  <c r="P118" i="23"/>
  <c r="R118" i="23"/>
  <c r="S118" i="23" s="1"/>
  <c r="H113" i="23" l="1"/>
  <c r="I113" i="23" s="1"/>
  <c r="B114" i="23" s="1"/>
  <c r="AB119" i="23"/>
  <c r="Z118" i="23"/>
  <c r="AA118" i="23" s="1"/>
  <c r="Q119" i="23"/>
  <c r="D114" i="23" l="1"/>
  <c r="E114" i="23" s="1"/>
  <c r="N115" i="23" s="1"/>
  <c r="T118" i="23"/>
  <c r="L114" i="23" l="1"/>
  <c r="M114" i="23" s="1"/>
  <c r="J114" i="23"/>
  <c r="C115" i="23"/>
  <c r="F114" i="23"/>
  <c r="Y118" i="23"/>
  <c r="V118" i="23"/>
  <c r="W118" i="23" s="1"/>
  <c r="K114" i="23" l="1"/>
  <c r="H114" i="23"/>
  <c r="I114" i="23" s="1"/>
  <c r="R119" i="23"/>
  <c r="S119" i="23" s="1"/>
  <c r="P119" i="23"/>
  <c r="B115" i="23" l="1"/>
  <c r="D115" i="23"/>
  <c r="E115" i="23" s="1"/>
  <c r="Q120" i="23"/>
  <c r="AB120" i="23"/>
  <c r="Z119" i="23"/>
  <c r="AA119" i="23" s="1"/>
  <c r="J115" i="23" l="1"/>
  <c r="C116" i="23"/>
  <c r="N116" i="23"/>
  <c r="L115" i="23"/>
  <c r="M115" i="23" s="1"/>
  <c r="T119" i="23"/>
  <c r="Y119" i="23" s="1"/>
  <c r="F115" i="23" l="1"/>
  <c r="V119" i="23"/>
  <c r="W119" i="23" s="1"/>
  <c r="P120" i="23" s="1"/>
  <c r="R120" i="23" l="1"/>
  <c r="S120" i="23" s="1"/>
  <c r="AB121" i="23" s="1"/>
  <c r="K115" i="23"/>
  <c r="H115" i="23"/>
  <c r="I115" i="23" s="1"/>
  <c r="Q121" i="23"/>
  <c r="Z120" i="23"/>
  <c r="AA120" i="23" s="1"/>
  <c r="D116" i="23" l="1"/>
  <c r="E116" i="23" s="1"/>
  <c r="B116" i="23"/>
  <c r="T120" i="23"/>
  <c r="Y120" i="23" s="1"/>
  <c r="V120" i="23" l="1"/>
  <c r="W120" i="23" s="1"/>
  <c r="R121" i="23" s="1"/>
  <c r="S121" i="23" s="1"/>
  <c r="C117" i="23"/>
  <c r="L116" i="23"/>
  <c r="M116" i="23" s="1"/>
  <c r="N117" i="23"/>
  <c r="J116" i="23"/>
  <c r="P121" i="23" l="1"/>
  <c r="F116" i="23"/>
  <c r="K116" i="23" s="1"/>
  <c r="Q122" i="23"/>
  <c r="AB122" i="23"/>
  <c r="Z121" i="23"/>
  <c r="H116" i="23" l="1"/>
  <c r="I116" i="23" s="1"/>
  <c r="B117" i="23" s="1"/>
  <c r="AA121" i="23"/>
  <c r="T121" i="23"/>
  <c r="D117" i="23" l="1"/>
  <c r="E117" i="23" s="1"/>
  <c r="L117" i="23" s="1"/>
  <c r="Y121" i="23"/>
  <c r="V121" i="23"/>
  <c r="W121" i="23" s="1"/>
  <c r="N118" i="23" l="1"/>
  <c r="J117" i="23"/>
  <c r="C118" i="23"/>
  <c r="M117" i="23"/>
  <c r="F117" i="23"/>
  <c r="K117" i="23" s="1"/>
  <c r="P122" i="23"/>
  <c r="R122" i="23"/>
  <c r="S122" i="23" s="1"/>
  <c r="H117" i="23" l="1"/>
  <c r="I117" i="23" s="1"/>
  <c r="D118" i="23" s="1"/>
  <c r="E118" i="23" s="1"/>
  <c r="Q123" i="23"/>
  <c r="Z122" i="23"/>
  <c r="AA122" i="23" s="1"/>
  <c r="AB123" i="23"/>
  <c r="B118" i="23" l="1"/>
  <c r="J118" i="23"/>
  <c r="C119" i="23"/>
  <c r="L118" i="23"/>
  <c r="M118" i="23" s="1"/>
  <c r="N119" i="23"/>
  <c r="T122" i="23"/>
  <c r="V122" i="23" s="1"/>
  <c r="W122" i="23" s="1"/>
  <c r="F118" i="23" l="1"/>
  <c r="K118" i="23" s="1"/>
  <c r="Y122" i="23"/>
  <c r="P123" i="23"/>
  <c r="R123" i="23"/>
  <c r="S123" i="23" s="1"/>
  <c r="H118" i="23" l="1"/>
  <c r="I118" i="23" s="1"/>
  <c r="D119" i="23" s="1"/>
  <c r="E119" i="23" s="1"/>
  <c r="AB124" i="23"/>
  <c r="Q124" i="23"/>
  <c r="Z123" i="23"/>
  <c r="B119" i="23" l="1"/>
  <c r="J119" i="23"/>
  <c r="C120" i="23"/>
  <c r="N120" i="23"/>
  <c r="L119" i="23"/>
  <c r="M119" i="23" s="1"/>
  <c r="AA123" i="23"/>
  <c r="T123" i="23"/>
  <c r="F119" i="23" l="1"/>
  <c r="K119" i="23" s="1"/>
  <c r="V123" i="23"/>
  <c r="W123" i="23" s="1"/>
  <c r="Y123" i="23"/>
  <c r="H119" i="23" l="1"/>
  <c r="I119" i="23" s="1"/>
  <c r="B120" i="23" s="1"/>
  <c r="P124" i="23"/>
  <c r="R124" i="23"/>
  <c r="S124" i="23" s="1"/>
  <c r="D120" i="23" l="1"/>
  <c r="E120" i="23" s="1"/>
  <c r="C121" i="23" s="1"/>
  <c r="J120" i="23"/>
  <c r="L120" i="23"/>
  <c r="M120" i="23" s="1"/>
  <c r="Q125" i="23"/>
  <c r="AB125" i="23"/>
  <c r="Z124" i="23"/>
  <c r="N121" i="23" l="1"/>
  <c r="F120" i="23"/>
  <c r="AA124" i="23"/>
  <c r="T124" i="23"/>
  <c r="K120" i="23" l="1"/>
  <c r="H120" i="23"/>
  <c r="I120" i="23" s="1"/>
  <c r="V124" i="23"/>
  <c r="W124" i="23" s="1"/>
  <c r="Y124" i="23"/>
  <c r="B121" i="23" l="1"/>
  <c r="D121" i="23"/>
  <c r="E121" i="23" s="1"/>
  <c r="P125" i="23"/>
  <c r="R125" i="23"/>
  <c r="S125" i="23" s="1"/>
  <c r="J121" i="23" l="1"/>
  <c r="N122" i="23"/>
  <c r="L121" i="23"/>
  <c r="M121" i="23" s="1"/>
  <c r="C122" i="23"/>
  <c r="AB126" i="23"/>
  <c r="Z125" i="23"/>
  <c r="Q126" i="23"/>
  <c r="F121" i="23" l="1"/>
  <c r="AA125" i="23"/>
  <c r="T125" i="23"/>
  <c r="K121" i="23" l="1"/>
  <c r="H121" i="23"/>
  <c r="I121" i="23" s="1"/>
  <c r="Y125" i="23"/>
  <c r="V125" i="23"/>
  <c r="W125" i="23" s="1"/>
  <c r="B122" i="23" l="1"/>
  <c r="D122" i="23"/>
  <c r="E122" i="23" s="1"/>
  <c r="P126" i="23"/>
  <c r="R126" i="23"/>
  <c r="S126" i="23" s="1"/>
  <c r="N123" i="23" l="1"/>
  <c r="L122" i="23"/>
  <c r="M122" i="23" s="1"/>
  <c r="J122" i="23"/>
  <c r="C123" i="23"/>
  <c r="Z126" i="23"/>
  <c r="AA126" i="23" s="1"/>
  <c r="Q127" i="23"/>
  <c r="AB127" i="23"/>
  <c r="F122" i="23" l="1"/>
  <c r="T126" i="23"/>
  <c r="Y126" i="23" s="1"/>
  <c r="V126" i="23" l="1"/>
  <c r="W126" i="23" s="1"/>
  <c r="K122" i="23"/>
  <c r="H122" i="23"/>
  <c r="I122" i="23" s="1"/>
  <c r="P127" i="23"/>
  <c r="R127" i="23"/>
  <c r="S127" i="23" s="1"/>
  <c r="D123" i="23" l="1"/>
  <c r="E123" i="23" s="1"/>
  <c r="B123" i="23"/>
  <c r="AB128" i="23"/>
  <c r="Z127" i="23"/>
  <c r="Q128" i="23"/>
  <c r="C124" i="23" l="1"/>
  <c r="J123" i="23"/>
  <c r="L123" i="23"/>
  <c r="M123" i="23" s="1"/>
  <c r="N124" i="23"/>
  <c r="AA127" i="23"/>
  <c r="T127" i="23"/>
  <c r="F123" i="23" l="1"/>
  <c r="Y127" i="23"/>
  <c r="V127" i="23"/>
  <c r="W127" i="23" s="1"/>
  <c r="K123" i="23" l="1"/>
  <c r="H123" i="23"/>
  <c r="I123" i="23" s="1"/>
  <c r="R128" i="23"/>
  <c r="S128" i="23" s="1"/>
  <c r="P128" i="23"/>
  <c r="B124" i="23" l="1"/>
  <c r="D124" i="23"/>
  <c r="E124" i="23" s="1"/>
  <c r="Q129" i="23"/>
  <c r="AB129" i="23"/>
  <c r="Z128" i="23"/>
  <c r="AA128" i="23" s="1"/>
  <c r="L124" i="23" l="1"/>
  <c r="M124" i="23" s="1"/>
  <c r="N125" i="23"/>
  <c r="C125" i="23"/>
  <c r="J124" i="23"/>
  <c r="F124" i="23"/>
  <c r="K124" i="23" s="1"/>
  <c r="T128" i="23"/>
  <c r="H124" i="23" l="1"/>
  <c r="I124" i="23" s="1"/>
  <c r="Y128" i="23"/>
  <c r="V128" i="23"/>
  <c r="W128" i="23" s="1"/>
  <c r="B125" i="23" l="1"/>
  <c r="D125" i="23"/>
  <c r="E125" i="23" s="1"/>
  <c r="R129" i="23"/>
  <c r="S129" i="23" s="1"/>
  <c r="P129" i="23"/>
  <c r="L125" i="23" l="1"/>
  <c r="M125" i="23" s="1"/>
  <c r="C126" i="23"/>
  <c r="N126" i="23"/>
  <c r="J125" i="23"/>
  <c r="F125" i="23"/>
  <c r="K125" i="23" s="1"/>
  <c r="AB130" i="23"/>
  <c r="Z129" i="23"/>
  <c r="AA129" i="23" s="1"/>
  <c r="Q130" i="23"/>
  <c r="H125" i="23" l="1"/>
  <c r="I125" i="23" s="1"/>
  <c r="D126" i="23" s="1"/>
  <c r="E126" i="23" s="1"/>
  <c r="B126" i="23"/>
  <c r="T129" i="23"/>
  <c r="C127" i="23" l="1"/>
  <c r="J126" i="23"/>
  <c r="N127" i="23"/>
  <c r="L126" i="23"/>
  <c r="M126" i="23" s="1"/>
  <c r="Y129" i="23"/>
  <c r="V129" i="23"/>
  <c r="W129" i="23" s="1"/>
  <c r="F126" i="23" l="1"/>
  <c r="K126" i="23" s="1"/>
  <c r="P130" i="23"/>
  <c r="R130" i="23"/>
  <c r="S130" i="23" s="1"/>
  <c r="H126" i="23" l="1"/>
  <c r="I126" i="23" s="1"/>
  <c r="D127" i="23" s="1"/>
  <c r="E127" i="23" s="1"/>
  <c r="Z130" i="23"/>
  <c r="AA130" i="23" s="1"/>
  <c r="Q131" i="23"/>
  <c r="AB131" i="23"/>
  <c r="B127" i="23" l="1"/>
  <c r="N128" i="23"/>
  <c r="L127" i="23"/>
  <c r="M127" i="23" s="1"/>
  <c r="C128" i="23"/>
  <c r="J127" i="23"/>
  <c r="T130" i="23"/>
  <c r="Y130" i="23" s="1"/>
  <c r="F127" i="23" l="1"/>
  <c r="V130" i="23"/>
  <c r="W130" i="23" s="1"/>
  <c r="R131" i="23" s="1"/>
  <c r="S131" i="23" s="1"/>
  <c r="P131" i="23" l="1"/>
  <c r="K127" i="23"/>
  <c r="H127" i="23"/>
  <c r="I127" i="23" s="1"/>
  <c r="Z131" i="23"/>
  <c r="AA131" i="23" s="1"/>
  <c r="Q132" i="23"/>
  <c r="AB132" i="23"/>
  <c r="D128" i="23" l="1"/>
  <c r="E128" i="23" s="1"/>
  <c r="B128" i="23"/>
  <c r="T131" i="23"/>
  <c r="Y131" i="23" s="1"/>
  <c r="V131" i="23" l="1"/>
  <c r="W131" i="23" s="1"/>
  <c r="C129" i="23"/>
  <c r="J128" i="23"/>
  <c r="L128" i="23"/>
  <c r="M128" i="23" s="1"/>
  <c r="N129" i="23"/>
  <c r="P132" i="23"/>
  <c r="R132" i="23"/>
  <c r="S132" i="23" s="1"/>
  <c r="F128" i="23" l="1"/>
  <c r="Q133" i="23"/>
  <c r="AB133" i="23"/>
  <c r="Z132" i="23"/>
  <c r="AA132" i="23" s="1"/>
  <c r="K128" i="23" l="1"/>
  <c r="H128" i="23"/>
  <c r="I128" i="23" s="1"/>
  <c r="T132" i="23"/>
  <c r="Y132" i="23" s="1"/>
  <c r="B129" i="23" l="1"/>
  <c r="D129" i="23"/>
  <c r="E129" i="23" s="1"/>
  <c r="V132" i="23"/>
  <c r="W132" i="23" s="1"/>
  <c r="R133" i="23" s="1"/>
  <c r="S133" i="23" s="1"/>
  <c r="J129" i="23" l="1"/>
  <c r="N130" i="23"/>
  <c r="L129" i="23"/>
  <c r="M129" i="23" s="1"/>
  <c r="C130" i="23"/>
  <c r="P133" i="23"/>
  <c r="Z133" i="23"/>
  <c r="AA133" i="23" s="1"/>
  <c r="Q134" i="23"/>
  <c r="AB134" i="23"/>
  <c r="F129" i="23" l="1"/>
  <c r="T133" i="23"/>
  <c r="V133" i="23" s="1"/>
  <c r="W133" i="23" s="1"/>
  <c r="K129" i="23" l="1"/>
  <c r="H129" i="23"/>
  <c r="I129" i="23" s="1"/>
  <c r="Y133" i="23"/>
  <c r="R134" i="23"/>
  <c r="S134" i="23" s="1"/>
  <c r="P134" i="23"/>
  <c r="D130" i="23" l="1"/>
  <c r="E130" i="23" s="1"/>
  <c r="B130" i="23"/>
  <c r="Z134" i="23"/>
  <c r="AA134" i="23" s="1"/>
  <c r="Q135" i="23"/>
  <c r="AB135" i="23"/>
  <c r="J130" i="23" l="1"/>
  <c r="C131" i="23"/>
  <c r="N131" i="23"/>
  <c r="L130" i="23"/>
  <c r="M130" i="23" s="1"/>
  <c r="T134" i="23"/>
  <c r="Y134" i="23" s="1"/>
  <c r="F130" i="23" l="1"/>
  <c r="V134" i="23"/>
  <c r="W134" i="23" s="1"/>
  <c r="P135" i="23" s="1"/>
  <c r="K130" i="23" l="1"/>
  <c r="H130" i="23"/>
  <c r="I130" i="23" s="1"/>
  <c r="R135" i="23"/>
  <c r="S135" i="23" s="1"/>
  <c r="Q136" i="23" s="1"/>
  <c r="Z135" i="23" l="1"/>
  <c r="AA135" i="23" s="1"/>
  <c r="AB136" i="23"/>
  <c r="D131" i="23"/>
  <c r="E131" i="23" s="1"/>
  <c r="B131" i="23"/>
  <c r="T135" i="23" l="1"/>
  <c r="V135" i="23" s="1"/>
  <c r="W135" i="23" s="1"/>
  <c r="C132" i="23"/>
  <c r="N132" i="23"/>
  <c r="J131" i="23"/>
  <c r="L131" i="23"/>
  <c r="M131" i="23" s="1"/>
  <c r="Y135" i="23" l="1"/>
  <c r="F131" i="23"/>
  <c r="P136" i="23"/>
  <c r="R136" i="23"/>
  <c r="S136" i="23" s="1"/>
  <c r="K131" i="23" l="1"/>
  <c r="H131" i="23"/>
  <c r="I131" i="23" s="1"/>
  <c r="Q137" i="23"/>
  <c r="Z136" i="23"/>
  <c r="AB137" i="23"/>
  <c r="B132" i="23" l="1"/>
  <c r="D132" i="23"/>
  <c r="E132" i="23" s="1"/>
  <c r="AA136" i="23"/>
  <c r="T136" i="23"/>
  <c r="N133" i="23" l="1"/>
  <c r="L132" i="23"/>
  <c r="M132" i="23" s="1"/>
  <c r="C133" i="23"/>
  <c r="J132" i="23"/>
  <c r="Y136" i="23"/>
  <c r="V136" i="23"/>
  <c r="W136" i="23" s="1"/>
  <c r="F132" i="23" l="1"/>
  <c r="R137" i="23"/>
  <c r="S137" i="23" s="1"/>
  <c r="P137" i="23"/>
  <c r="K132" i="23" l="1"/>
  <c r="H132" i="23"/>
  <c r="I132" i="23" s="1"/>
  <c r="Q138" i="23"/>
  <c r="Z137" i="23"/>
  <c r="AB138" i="23"/>
  <c r="B133" i="23" l="1"/>
  <c r="D133" i="23"/>
  <c r="E133" i="23" s="1"/>
  <c r="AA137" i="23"/>
  <c r="T137" i="23"/>
  <c r="C134" i="23" l="1"/>
  <c r="N134" i="23"/>
  <c r="J133" i="23"/>
  <c r="L133" i="23"/>
  <c r="M133" i="23" s="1"/>
  <c r="Y137" i="23"/>
  <c r="V137" i="23"/>
  <c r="W137" i="23" s="1"/>
  <c r="F133" i="23" l="1"/>
  <c r="R138" i="23"/>
  <c r="S138" i="23" s="1"/>
  <c r="P138" i="23"/>
  <c r="K133" i="23" l="1"/>
  <c r="H133" i="23"/>
  <c r="I133" i="23" s="1"/>
  <c r="AB139" i="23"/>
  <c r="Q139" i="23"/>
  <c r="Z138" i="23"/>
  <c r="AA138" i="23" s="1"/>
  <c r="D134" i="23" l="1"/>
  <c r="E134" i="23" s="1"/>
  <c r="B134" i="23"/>
  <c r="T138" i="23"/>
  <c r="Y138" i="23" s="1"/>
  <c r="N135" i="23" l="1"/>
  <c r="C135" i="23"/>
  <c r="J134" i="23"/>
  <c r="L134" i="23"/>
  <c r="M134" i="23" s="1"/>
  <c r="V138" i="23"/>
  <c r="W138" i="23" s="1"/>
  <c r="R139" i="23" s="1"/>
  <c r="S139" i="23" s="1"/>
  <c r="P139" i="23" l="1"/>
  <c r="F134" i="23"/>
  <c r="K134" i="23" s="1"/>
  <c r="Q140" i="23"/>
  <c r="Z139" i="23"/>
  <c r="AB140" i="23"/>
  <c r="H134" i="23" l="1"/>
  <c r="I134" i="23" s="1"/>
  <c r="B135" i="23"/>
  <c r="D135" i="23"/>
  <c r="E135" i="23" s="1"/>
  <c r="AA139" i="23"/>
  <c r="T139" i="23"/>
  <c r="N136" i="23" l="1"/>
  <c r="J135" i="23"/>
  <c r="L135" i="23"/>
  <c r="M135" i="23" s="1"/>
  <c r="C136" i="23"/>
  <c r="V139" i="23"/>
  <c r="W139" i="23" s="1"/>
  <c r="Y139" i="23"/>
  <c r="F135" i="23" l="1"/>
  <c r="R140" i="23"/>
  <c r="S140" i="23" s="1"/>
  <c r="P140" i="23"/>
  <c r="K135" i="23" l="1"/>
  <c r="H135" i="23"/>
  <c r="I135" i="23" s="1"/>
  <c r="Z140" i="23"/>
  <c r="Q141" i="23"/>
  <c r="AB141" i="23"/>
  <c r="D136" i="23" l="1"/>
  <c r="E136" i="23" s="1"/>
  <c r="B136" i="23"/>
  <c r="AA140" i="23"/>
  <c r="T140" i="23"/>
  <c r="L136" i="23" l="1"/>
  <c r="M136" i="23" s="1"/>
  <c r="J136" i="23"/>
  <c r="N137" i="23"/>
  <c r="C137" i="23"/>
  <c r="F136" i="23"/>
  <c r="K136" i="23" s="1"/>
  <c r="V140" i="23"/>
  <c r="W140" i="23" s="1"/>
  <c r="Y140" i="23"/>
  <c r="H136" i="23" l="1"/>
  <c r="I136" i="23" s="1"/>
  <c r="P141" i="23"/>
  <c r="R141" i="23"/>
  <c r="S141" i="23" s="1"/>
  <c r="B137" i="23" l="1"/>
  <c r="D137" i="23"/>
  <c r="E137" i="23" s="1"/>
  <c r="Q142" i="23"/>
  <c r="Z141" i="23"/>
  <c r="AB142" i="23"/>
  <c r="N138" i="23" l="1"/>
  <c r="J137" i="23"/>
  <c r="L137" i="23"/>
  <c r="M137" i="23" s="1"/>
  <c r="C138" i="23"/>
  <c r="AA141" i="23"/>
  <c r="T141" i="23"/>
  <c r="F137" i="23" l="1"/>
  <c r="K137" i="23" s="1"/>
  <c r="Y141" i="23"/>
  <c r="V141" i="23"/>
  <c r="W141" i="23" s="1"/>
  <c r="H137" i="23" l="1"/>
  <c r="I137" i="23" s="1"/>
  <c r="B138" i="23" s="1"/>
  <c r="R142" i="23"/>
  <c r="S142" i="23" s="1"/>
  <c r="P142" i="23"/>
  <c r="D138" i="23" l="1"/>
  <c r="E138" i="23" s="1"/>
  <c r="J138" i="23" s="1"/>
  <c r="C139" i="23"/>
  <c r="Z142" i="23"/>
  <c r="AA142" i="23" s="1"/>
  <c r="Q143" i="23"/>
  <c r="AB143" i="23"/>
  <c r="L138" i="23" l="1"/>
  <c r="M138" i="23" s="1"/>
  <c r="N139" i="23"/>
  <c r="F138" i="23"/>
  <c r="K138" i="23" s="1"/>
  <c r="T142" i="23"/>
  <c r="Y142" i="23" s="1"/>
  <c r="H138" i="23" l="1"/>
  <c r="I138" i="23" s="1"/>
  <c r="B139" i="23" s="1"/>
  <c r="V142" i="23"/>
  <c r="W142" i="23" s="1"/>
  <c r="R143" i="23" s="1"/>
  <c r="S143" i="23" s="1"/>
  <c r="D139" i="23" l="1"/>
  <c r="E139" i="23" s="1"/>
  <c r="L139" i="23" s="1"/>
  <c r="M139" i="23" s="1"/>
  <c r="P143" i="23"/>
  <c r="Z143" i="23"/>
  <c r="Q144" i="23"/>
  <c r="AB144" i="23"/>
  <c r="C140" i="23" l="1"/>
  <c r="N140" i="23"/>
  <c r="J139" i="23"/>
  <c r="F139" i="23"/>
  <c r="AA143" i="23"/>
  <c r="T143" i="23"/>
  <c r="K139" i="23" l="1"/>
  <c r="H139" i="23"/>
  <c r="I139" i="23" s="1"/>
  <c r="V143" i="23"/>
  <c r="W143" i="23" s="1"/>
  <c r="Y143" i="23"/>
  <c r="D140" i="23" l="1"/>
  <c r="E140" i="23" s="1"/>
  <c r="B140" i="23"/>
  <c r="P144" i="23"/>
  <c r="R144" i="23"/>
  <c r="S144" i="23" s="1"/>
  <c r="L140" i="23" l="1"/>
  <c r="M140" i="23" s="1"/>
  <c r="N141" i="23"/>
  <c r="J140" i="23"/>
  <c r="C141" i="23"/>
  <c r="F140" i="23"/>
  <c r="K140" i="23" s="1"/>
  <c r="AB145" i="23"/>
  <c r="Q145" i="23"/>
  <c r="Z144" i="23"/>
  <c r="H140" i="23" l="1"/>
  <c r="I140" i="23" s="1"/>
  <c r="AA144" i="23"/>
  <c r="T144" i="23"/>
  <c r="B141" i="23" l="1"/>
  <c r="D141" i="23"/>
  <c r="E141" i="23" s="1"/>
  <c r="Y144" i="23"/>
  <c r="V144" i="23"/>
  <c r="W144" i="23" s="1"/>
  <c r="L141" i="23" l="1"/>
  <c r="M141" i="23" s="1"/>
  <c r="J141" i="23"/>
  <c r="N142" i="23"/>
  <c r="C142" i="23"/>
  <c r="F141" i="23"/>
  <c r="K141" i="23" s="1"/>
  <c r="P145" i="23"/>
  <c r="R145" i="23"/>
  <c r="S145" i="23" s="1"/>
  <c r="H141" i="23" l="1"/>
  <c r="I141" i="23" s="1"/>
  <c r="Q146" i="23"/>
  <c r="AB146" i="23"/>
  <c r="Z145" i="23"/>
  <c r="B142" i="23" l="1"/>
  <c r="D142" i="23"/>
  <c r="E142" i="23" s="1"/>
  <c r="AA145" i="23"/>
  <c r="T145" i="23"/>
  <c r="J142" i="23" l="1"/>
  <c r="N143" i="23"/>
  <c r="L142" i="23"/>
  <c r="M142" i="23" s="1"/>
  <c r="C143" i="23"/>
  <c r="V145" i="23"/>
  <c r="W145" i="23" s="1"/>
  <c r="Y145" i="23"/>
  <c r="F142" i="23" l="1"/>
  <c r="R146" i="23"/>
  <c r="S146" i="23" s="1"/>
  <c r="P146" i="23"/>
  <c r="K142" i="23" l="1"/>
  <c r="H142" i="23"/>
  <c r="I142" i="23" s="1"/>
  <c r="Z146" i="23"/>
  <c r="Q147" i="23"/>
  <c r="AB147" i="23"/>
  <c r="D143" i="23" l="1"/>
  <c r="E143" i="23" s="1"/>
  <c r="B143" i="23"/>
  <c r="AA146" i="23"/>
  <c r="T146" i="23"/>
  <c r="J143" i="23" l="1"/>
  <c r="N144" i="23"/>
  <c r="L143" i="23"/>
  <c r="M143" i="23" s="1"/>
  <c r="C144" i="23"/>
  <c r="Y146" i="23"/>
  <c r="V146" i="23"/>
  <c r="W146" i="23" s="1"/>
  <c r="F143" i="23" l="1"/>
  <c r="R147" i="23"/>
  <c r="S147" i="23" s="1"/>
  <c r="P147" i="23"/>
  <c r="K143" i="23" l="1"/>
  <c r="H143" i="23"/>
  <c r="I143" i="23" s="1"/>
  <c r="Z147" i="23"/>
  <c r="AA147" i="23" s="1"/>
  <c r="Q148" i="23"/>
  <c r="AB148" i="23"/>
  <c r="D144" i="23" l="1"/>
  <c r="E144" i="23" s="1"/>
  <c r="B144" i="23"/>
  <c r="T147" i="23"/>
  <c r="V147" i="23" s="1"/>
  <c r="W147" i="23" s="1"/>
  <c r="J144" i="23" l="1"/>
  <c r="L144" i="23"/>
  <c r="M144" i="23" s="1"/>
  <c r="C145" i="23"/>
  <c r="N145" i="23"/>
  <c r="F144" i="23"/>
  <c r="K144" i="23" s="1"/>
  <c r="Y147" i="23"/>
  <c r="P148" i="23"/>
  <c r="R148" i="23"/>
  <c r="S148" i="23" s="1"/>
  <c r="H144" i="23" l="1"/>
  <c r="I144" i="23" s="1"/>
  <c r="Q149" i="23"/>
  <c r="Z148" i="23"/>
  <c r="AA148" i="23" s="1"/>
  <c r="AB149" i="23"/>
  <c r="B145" i="23" l="1"/>
  <c r="D145" i="23"/>
  <c r="E145" i="23" s="1"/>
  <c r="T148" i="23"/>
  <c r="Y148" i="23" s="1"/>
  <c r="V148" i="23" l="1"/>
  <c r="W148" i="23" s="1"/>
  <c r="R149" i="23" s="1"/>
  <c r="S149" i="23" s="1"/>
  <c r="N146" i="23"/>
  <c r="J145" i="23"/>
  <c r="L145" i="23"/>
  <c r="M145" i="23" s="1"/>
  <c r="C146" i="23"/>
  <c r="P149" i="23"/>
  <c r="F145" i="23" l="1"/>
  <c r="AB150" i="23"/>
  <c r="Q150" i="23"/>
  <c r="Z149" i="23"/>
  <c r="K145" i="23" l="1"/>
  <c r="H145" i="23"/>
  <c r="I145" i="23" s="1"/>
  <c r="AA149" i="23"/>
  <c r="T149" i="23"/>
  <c r="D146" i="23" l="1"/>
  <c r="E146" i="23" s="1"/>
  <c r="B146" i="23"/>
  <c r="V149" i="23"/>
  <c r="W149" i="23" s="1"/>
  <c r="Y149" i="23"/>
  <c r="N147" i="23" l="1"/>
  <c r="J146" i="23"/>
  <c r="C147" i="23"/>
  <c r="L146" i="23"/>
  <c r="M146" i="23" s="1"/>
  <c r="R150" i="23"/>
  <c r="S150" i="23" s="1"/>
  <c r="P150" i="23"/>
  <c r="F146" i="23" l="1"/>
  <c r="K146" i="23" s="1"/>
  <c r="Z150" i="23"/>
  <c r="AA150" i="23" s="1"/>
  <c r="Q151" i="23"/>
  <c r="AB151" i="23"/>
  <c r="H146" i="23" l="1"/>
  <c r="I146" i="23" s="1"/>
  <c r="B147" i="23" s="1"/>
  <c r="D147" i="23"/>
  <c r="E147" i="23" s="1"/>
  <c r="T150" i="23"/>
  <c r="V150" i="23" s="1"/>
  <c r="W150" i="23" s="1"/>
  <c r="C148" i="23" l="1"/>
  <c r="L147" i="23"/>
  <c r="M147" i="23" s="1"/>
  <c r="J147" i="23"/>
  <c r="N148" i="23"/>
  <c r="Y150" i="23"/>
  <c r="R151" i="23"/>
  <c r="S151" i="23" s="1"/>
  <c r="P151" i="23"/>
  <c r="F147" i="23" l="1"/>
  <c r="Q152" i="23"/>
  <c r="Z151" i="23"/>
  <c r="AB152" i="23"/>
  <c r="K147" i="23" l="1"/>
  <c r="H147" i="23"/>
  <c r="I147" i="23" s="1"/>
  <c r="AA151" i="23"/>
  <c r="T151" i="23"/>
  <c r="D148" i="23" l="1"/>
  <c r="E148" i="23" s="1"/>
  <c r="B148" i="23"/>
  <c r="Y151" i="23"/>
  <c r="V151" i="23"/>
  <c r="W151" i="23" s="1"/>
  <c r="L148" i="23" l="1"/>
  <c r="M148" i="23" s="1"/>
  <c r="C149" i="23"/>
  <c r="N149" i="23"/>
  <c r="J148" i="23"/>
  <c r="F148" i="23"/>
  <c r="K148" i="23" s="1"/>
  <c r="P152" i="23"/>
  <c r="R152" i="23"/>
  <c r="S152" i="23" s="1"/>
  <c r="H148" i="23" l="1"/>
  <c r="I148" i="23" s="1"/>
  <c r="AB153" i="23"/>
  <c r="Q153" i="23"/>
  <c r="Z152" i="23"/>
  <c r="B149" i="23" l="1"/>
  <c r="D149" i="23"/>
  <c r="E149" i="23" s="1"/>
  <c r="AA152" i="23"/>
  <c r="T152" i="23"/>
  <c r="C150" i="23" l="1"/>
  <c r="L149" i="23"/>
  <c r="M149" i="23" s="1"/>
  <c r="N150" i="23"/>
  <c r="J149" i="23"/>
  <c r="V152" i="23"/>
  <c r="W152" i="23" s="1"/>
  <c r="Y152" i="23"/>
  <c r="F149" i="23" l="1"/>
  <c r="P153" i="23"/>
  <c r="R153" i="23"/>
  <c r="S153" i="23" s="1"/>
  <c r="K149" i="23" l="1"/>
  <c r="H149" i="23"/>
  <c r="I149" i="23" s="1"/>
  <c r="Z153" i="23"/>
  <c r="AA153" i="23" s="1"/>
  <c r="AB154" i="23"/>
  <c r="Q154" i="23"/>
  <c r="D150" i="23" l="1"/>
  <c r="E150" i="23" s="1"/>
  <c r="B150" i="23"/>
  <c r="T153" i="23"/>
  <c r="Y153" i="23" s="1"/>
  <c r="V153" i="23" l="1"/>
  <c r="W153" i="23" s="1"/>
  <c r="R154" i="23" s="1"/>
  <c r="S154" i="23" s="1"/>
  <c r="N151" i="23"/>
  <c r="L150" i="23"/>
  <c r="M150" i="23" s="1"/>
  <c r="C151" i="23"/>
  <c r="J150" i="23"/>
  <c r="P154" i="23" l="1"/>
  <c r="F150" i="23"/>
  <c r="Q155" i="23"/>
  <c r="AB155" i="23"/>
  <c r="Z154" i="23"/>
  <c r="AA154" i="23" s="1"/>
  <c r="T154" i="23" l="1"/>
  <c r="K150" i="23"/>
  <c r="H150" i="23"/>
  <c r="I150" i="23" s="1"/>
  <c r="Y154" i="23"/>
  <c r="V154" i="23"/>
  <c r="W154" i="23" s="1"/>
  <c r="B151" i="23" l="1"/>
  <c r="D151" i="23"/>
  <c r="E151" i="23" s="1"/>
  <c r="R155" i="23"/>
  <c r="S155" i="23" s="1"/>
  <c r="P155" i="23"/>
  <c r="C152" i="23" l="1"/>
  <c r="N152" i="23"/>
  <c r="J151" i="23"/>
  <c r="L151" i="23"/>
  <c r="M151" i="23" s="1"/>
  <c r="Q156" i="23"/>
  <c r="AB156" i="23"/>
  <c r="Z155" i="23"/>
  <c r="AA155" i="23" s="1"/>
  <c r="F151" i="23" l="1"/>
  <c r="T155" i="23"/>
  <c r="Y155" i="23" s="1"/>
  <c r="V155" i="23" l="1"/>
  <c r="W155" i="23" s="1"/>
  <c r="R156" i="23" s="1"/>
  <c r="S156" i="23" s="1"/>
  <c r="K151" i="23"/>
  <c r="H151" i="23"/>
  <c r="I151" i="23" s="1"/>
  <c r="P156" i="23" l="1"/>
  <c r="B152" i="23"/>
  <c r="D152" i="23"/>
  <c r="E152" i="23" s="1"/>
  <c r="Q157" i="23"/>
  <c r="Z156" i="23"/>
  <c r="AB157" i="23"/>
  <c r="N153" i="23" l="1"/>
  <c r="C153" i="23"/>
  <c r="J152" i="23"/>
  <c r="L152" i="23"/>
  <c r="M152" i="23" s="1"/>
  <c r="AA156" i="23"/>
  <c r="T156" i="23"/>
  <c r="F152" i="23" l="1"/>
  <c r="V156" i="23"/>
  <c r="W156" i="23" s="1"/>
  <c r="Y156" i="23"/>
  <c r="K152" i="23" l="1"/>
  <c r="H152" i="23"/>
  <c r="I152" i="23" s="1"/>
  <c r="R157" i="23"/>
  <c r="S157" i="23" s="1"/>
  <c r="P157" i="23"/>
  <c r="D153" i="23" l="1"/>
  <c r="E153" i="23" s="1"/>
  <c r="B153" i="23"/>
  <c r="Z157" i="23"/>
  <c r="Q158" i="23"/>
  <c r="AB158" i="23"/>
  <c r="N154" i="23" l="1"/>
  <c r="J153" i="23"/>
  <c r="L153" i="23"/>
  <c r="M153" i="23" s="1"/>
  <c r="C154" i="23"/>
  <c r="AA157" i="23"/>
  <c r="T157" i="23"/>
  <c r="F153" i="23" l="1"/>
  <c r="K153" i="23" s="1"/>
  <c r="Y157" i="23"/>
  <c r="V157" i="23"/>
  <c r="W157" i="23" s="1"/>
  <c r="H153" i="23" l="1"/>
  <c r="I153" i="23" s="1"/>
  <c r="D154" i="23"/>
  <c r="E154" i="23" s="1"/>
  <c r="B154" i="23"/>
  <c r="R158" i="23"/>
  <c r="S158" i="23" s="1"/>
  <c r="P158" i="23"/>
  <c r="J154" i="23" l="1"/>
  <c r="L154" i="23"/>
  <c r="M154" i="23" s="1"/>
  <c r="C155" i="23"/>
  <c r="N155" i="23"/>
  <c r="AB159" i="23"/>
  <c r="Q159" i="23"/>
  <c r="Z158" i="23"/>
  <c r="AA158" i="23" s="1"/>
  <c r="F154" i="23" l="1"/>
  <c r="K154" i="23" s="1"/>
  <c r="T158" i="23"/>
  <c r="Y158" i="23" s="1"/>
  <c r="H154" i="23" l="1"/>
  <c r="I154" i="23" s="1"/>
  <c r="D155" i="23"/>
  <c r="E155" i="23" s="1"/>
  <c r="B155" i="23"/>
  <c r="V158" i="23"/>
  <c r="W158" i="23" s="1"/>
  <c r="P159" i="23" s="1"/>
  <c r="C156" i="23" l="1"/>
  <c r="L155" i="23"/>
  <c r="M155" i="23" s="1"/>
  <c r="J155" i="23"/>
  <c r="N156" i="23"/>
  <c r="R159" i="23"/>
  <c r="S159" i="23" s="1"/>
  <c r="Q160" i="23" s="1"/>
  <c r="AB160" i="23" l="1"/>
  <c r="Z159" i="23"/>
  <c r="AA159" i="23" s="1"/>
  <c r="F155" i="23"/>
  <c r="T159" i="23" l="1"/>
  <c r="V159" i="23" s="1"/>
  <c r="W159" i="23" s="1"/>
  <c r="K155" i="23"/>
  <c r="H155" i="23"/>
  <c r="I155" i="23" s="1"/>
  <c r="Y159" i="23"/>
  <c r="R160" i="23"/>
  <c r="S160" i="23" s="1"/>
  <c r="P160" i="23"/>
  <c r="B156" i="23" l="1"/>
  <c r="D156" i="23"/>
  <c r="E156" i="23" s="1"/>
  <c r="Q161" i="23"/>
  <c r="Z160" i="23"/>
  <c r="AB161" i="23"/>
  <c r="C157" i="23" l="1"/>
  <c r="N157" i="23"/>
  <c r="L156" i="23"/>
  <c r="M156" i="23" s="1"/>
  <c r="J156" i="23"/>
  <c r="AA160" i="23"/>
  <c r="T160" i="23"/>
  <c r="F156" i="23" l="1"/>
  <c r="Y160" i="23"/>
  <c r="V160" i="23"/>
  <c r="W160" i="23" s="1"/>
  <c r="K156" i="23" l="1"/>
  <c r="H156" i="23"/>
  <c r="I156" i="23" s="1"/>
  <c r="R161" i="23"/>
  <c r="S161" i="23" s="1"/>
  <c r="P161" i="23"/>
  <c r="B157" i="23" l="1"/>
  <c r="D157" i="23"/>
  <c r="E157" i="23" s="1"/>
  <c r="Z161" i="23"/>
  <c r="AB162" i="23"/>
  <c r="Q162" i="23"/>
  <c r="J157" i="23" l="1"/>
  <c r="N158" i="23"/>
  <c r="L157" i="23"/>
  <c r="M157" i="23" s="1"/>
  <c r="C158" i="23"/>
  <c r="AA161" i="23"/>
  <c r="T161" i="23"/>
  <c r="F157" i="23" l="1"/>
  <c r="Y161" i="23"/>
  <c r="V161" i="23"/>
  <c r="W161" i="23" s="1"/>
  <c r="K157" i="23" l="1"/>
  <c r="H157" i="23"/>
  <c r="I157" i="23" s="1"/>
  <c r="R162" i="23"/>
  <c r="S162" i="23" s="1"/>
  <c r="P162" i="23"/>
  <c r="B158" i="23" l="1"/>
  <c r="D158" i="23"/>
  <c r="E158" i="23" s="1"/>
  <c r="AB163" i="23"/>
  <c r="Q163" i="23"/>
  <c r="Z162" i="23"/>
  <c r="J158" i="23" l="1"/>
  <c r="N159" i="23"/>
  <c r="C159" i="23"/>
  <c r="L158" i="23"/>
  <c r="M158" i="23" s="1"/>
  <c r="AA162" i="23"/>
  <c r="T162" i="23"/>
  <c r="F158" i="23" l="1"/>
  <c r="V162" i="23"/>
  <c r="W162" i="23" s="1"/>
  <c r="Y162" i="23"/>
  <c r="K158" i="23" l="1"/>
  <c r="H158" i="23"/>
  <c r="I158" i="23" s="1"/>
  <c r="R163" i="23"/>
  <c r="S163" i="23" s="1"/>
  <c r="P163" i="23"/>
  <c r="D159" i="23" l="1"/>
  <c r="E159" i="23" s="1"/>
  <c r="B159" i="23"/>
  <c r="Z163" i="23"/>
  <c r="AA163" i="23" s="1"/>
  <c r="Q164" i="23"/>
  <c r="AB164" i="23"/>
  <c r="N160" i="23" l="1"/>
  <c r="L159" i="23"/>
  <c r="M159" i="23" s="1"/>
  <c r="J159" i="23"/>
  <c r="C160" i="23"/>
  <c r="T163" i="23"/>
  <c r="Y163" i="23" s="1"/>
  <c r="F159" i="23" l="1"/>
  <c r="V163" i="23"/>
  <c r="W163" i="23" s="1"/>
  <c r="P164" i="23" s="1"/>
  <c r="K159" i="23" l="1"/>
  <c r="H159" i="23"/>
  <c r="I159" i="23" s="1"/>
  <c r="R164" i="23"/>
  <c r="S164" i="23" s="1"/>
  <c r="AB165" i="23" s="1"/>
  <c r="D160" i="23" l="1"/>
  <c r="E160" i="23" s="1"/>
  <c r="B160" i="23"/>
  <c r="Z164" i="23"/>
  <c r="AA164" i="23" s="1"/>
  <c r="Q165" i="23"/>
  <c r="T164" i="23" l="1"/>
  <c r="Y164" i="23" s="1"/>
  <c r="C161" i="23"/>
  <c r="L160" i="23"/>
  <c r="M160" i="23" s="1"/>
  <c r="J160" i="23"/>
  <c r="N161" i="23"/>
  <c r="V164" i="23" l="1"/>
  <c r="W164" i="23" s="1"/>
  <c r="F160" i="23"/>
  <c r="R165" i="23"/>
  <c r="S165" i="23" s="1"/>
  <c r="P165" i="23"/>
  <c r="K160" i="23" l="1"/>
  <c r="H160" i="23"/>
  <c r="I160" i="23" s="1"/>
  <c r="AB166" i="23"/>
  <c r="Z165" i="23"/>
  <c r="AA165" i="23" s="1"/>
  <c r="Q166" i="23"/>
  <c r="D161" i="23" l="1"/>
  <c r="E161" i="23" s="1"/>
  <c r="B161" i="23"/>
  <c r="T165" i="23"/>
  <c r="Y165" i="23" s="1"/>
  <c r="N162" i="23" l="1"/>
  <c r="C162" i="23"/>
  <c r="L161" i="23"/>
  <c r="M161" i="23" s="1"/>
  <c r="J161" i="23"/>
  <c r="V165" i="23"/>
  <c r="W165" i="23" s="1"/>
  <c r="R166" i="23" s="1"/>
  <c r="S166" i="23" s="1"/>
  <c r="F161" i="23" l="1"/>
  <c r="P166" i="23"/>
  <c r="AB167" i="23"/>
  <c r="Q167" i="23"/>
  <c r="Z166" i="23"/>
  <c r="K161" i="23" l="1"/>
  <c r="H161" i="23"/>
  <c r="I161" i="23" s="1"/>
  <c r="AA166" i="23"/>
  <c r="T166" i="23"/>
  <c r="B162" i="23" l="1"/>
  <c r="D162" i="23"/>
  <c r="E162" i="23" s="1"/>
  <c r="Y166" i="23"/>
  <c r="V166" i="23"/>
  <c r="W166" i="23" s="1"/>
  <c r="C163" i="23" l="1"/>
  <c r="J162" i="23"/>
  <c r="L162" i="23"/>
  <c r="M162" i="23" s="1"/>
  <c r="N163" i="23"/>
  <c r="P167" i="23"/>
  <c r="R167" i="23"/>
  <c r="S167" i="23" s="1"/>
  <c r="F162" i="23" l="1"/>
  <c r="Q168" i="23"/>
  <c r="Z167" i="23"/>
  <c r="AA167" i="23" s="1"/>
  <c r="AB168" i="23"/>
  <c r="K162" i="23" l="1"/>
  <c r="H162" i="23"/>
  <c r="I162" i="23" s="1"/>
  <c r="T167" i="23"/>
  <c r="B163" i="23" l="1"/>
  <c r="D163" i="23"/>
  <c r="E163" i="23" s="1"/>
  <c r="Y167" i="23"/>
  <c r="V167" i="23"/>
  <c r="W167" i="23" s="1"/>
  <c r="N164" i="23" l="1"/>
  <c r="C164" i="23"/>
  <c r="L163" i="23"/>
  <c r="M163" i="23" s="1"/>
  <c r="J163" i="23"/>
  <c r="P168" i="23"/>
  <c r="R168" i="23"/>
  <c r="S168" i="23" s="1"/>
  <c r="F163" i="23" l="1"/>
  <c r="Z168" i="23"/>
  <c r="AA168" i="23" s="1"/>
  <c r="Q169" i="23"/>
  <c r="AB169" i="23"/>
  <c r="K163" i="23" l="1"/>
  <c r="H163" i="23"/>
  <c r="I163" i="23" s="1"/>
  <c r="T168" i="23"/>
  <c r="Y168" i="23" s="1"/>
  <c r="D164" i="23" l="1"/>
  <c r="E164" i="23" s="1"/>
  <c r="B164" i="23"/>
  <c r="V168" i="23"/>
  <c r="W168" i="23" s="1"/>
  <c r="R169" i="23" s="1"/>
  <c r="S169" i="23" s="1"/>
  <c r="P169" i="23" l="1"/>
  <c r="N165" i="23"/>
  <c r="C165" i="23"/>
  <c r="J164" i="23"/>
  <c r="L164" i="23"/>
  <c r="M164" i="23" s="1"/>
  <c r="AB170" i="23"/>
  <c r="Q170" i="23"/>
  <c r="Z169" i="23"/>
  <c r="AA169" i="23" s="1"/>
  <c r="F164" i="23" l="1"/>
  <c r="T169" i="23"/>
  <c r="K164" i="23" l="1"/>
  <c r="H164" i="23"/>
  <c r="I164" i="23" s="1"/>
  <c r="Y169" i="23"/>
  <c r="V169" i="23"/>
  <c r="W169" i="23" s="1"/>
  <c r="D165" i="23" l="1"/>
  <c r="E165" i="23" s="1"/>
  <c r="B165" i="23"/>
  <c r="P170" i="23"/>
  <c r="R170" i="23"/>
  <c r="S170" i="23" s="1"/>
  <c r="L165" i="23" l="1"/>
  <c r="M165" i="23" s="1"/>
  <c r="C166" i="23"/>
  <c r="J165" i="23"/>
  <c r="N166" i="23"/>
  <c r="F165" i="23"/>
  <c r="K165" i="23" s="1"/>
  <c r="Q171" i="23"/>
  <c r="AB171" i="23"/>
  <c r="Z170" i="23"/>
  <c r="AA170" i="23" s="1"/>
  <c r="H165" i="23" l="1"/>
  <c r="I165" i="23" s="1"/>
  <c r="T170" i="23"/>
  <c r="Y170" i="23" s="1"/>
  <c r="B166" i="23" l="1"/>
  <c r="D166" i="23"/>
  <c r="E166" i="23" s="1"/>
  <c r="V170" i="23"/>
  <c r="W170" i="23" s="1"/>
  <c r="P171" i="23" s="1"/>
  <c r="N167" i="23" l="1"/>
  <c r="C167" i="23"/>
  <c r="L166" i="23"/>
  <c r="M166" i="23" s="1"/>
  <c r="F166" i="23"/>
  <c r="K166" i="23" s="1"/>
  <c r="J166" i="23"/>
  <c r="R171" i="23"/>
  <c r="S171" i="23" s="1"/>
  <c r="Z171" i="23" s="1"/>
  <c r="AB172" i="23" l="1"/>
  <c r="Q172" i="23"/>
  <c r="H166" i="23"/>
  <c r="I166" i="23" s="1"/>
  <c r="AA171" i="23"/>
  <c r="T171" i="23"/>
  <c r="D167" i="23" l="1"/>
  <c r="E167" i="23" s="1"/>
  <c r="B167" i="23"/>
  <c r="V171" i="23"/>
  <c r="W171" i="23" s="1"/>
  <c r="Y171" i="23"/>
  <c r="J167" i="23" l="1"/>
  <c r="N168" i="23"/>
  <c r="L167" i="23"/>
  <c r="M167" i="23" s="1"/>
  <c r="C168" i="23"/>
  <c r="R172" i="23"/>
  <c r="S172" i="23" s="1"/>
  <c r="P172" i="23"/>
  <c r="F167" i="23" l="1"/>
  <c r="Q173" i="23"/>
  <c r="AB173" i="23"/>
  <c r="Z172" i="23"/>
  <c r="AA172" i="23" s="1"/>
  <c r="K167" i="23" l="1"/>
  <c r="H167" i="23"/>
  <c r="I167" i="23" s="1"/>
  <c r="T172" i="23"/>
  <c r="B168" i="23" l="1"/>
  <c r="D168" i="23"/>
  <c r="E168" i="23" s="1"/>
  <c r="Y172" i="23"/>
  <c r="V172" i="23"/>
  <c r="W172" i="23" s="1"/>
  <c r="J168" i="23" l="1"/>
  <c r="N169" i="23"/>
  <c r="L168" i="23"/>
  <c r="M168" i="23" s="1"/>
  <c r="C169" i="23"/>
  <c r="R173" i="23"/>
  <c r="S173" i="23" s="1"/>
  <c r="P173" i="23"/>
  <c r="F168" i="23" l="1"/>
  <c r="Z173" i="23"/>
  <c r="AA173" i="23" s="1"/>
  <c r="Q174" i="23"/>
  <c r="AB174" i="23"/>
  <c r="T173" i="23" l="1"/>
  <c r="Y173" i="23" s="1"/>
  <c r="K168" i="23"/>
  <c r="H168" i="23"/>
  <c r="I168" i="23" s="1"/>
  <c r="V173" i="23"/>
  <c r="W173" i="23" s="1"/>
  <c r="D169" i="23" l="1"/>
  <c r="E169" i="23" s="1"/>
  <c r="B169" i="23"/>
  <c r="R174" i="23"/>
  <c r="S174" i="23" s="1"/>
  <c r="P174" i="23"/>
  <c r="L169" i="23" l="1"/>
  <c r="M169" i="23" s="1"/>
  <c r="N170" i="23"/>
  <c r="J169" i="23"/>
  <c r="C170" i="23"/>
  <c r="F169" i="23"/>
  <c r="K169" i="23" s="1"/>
  <c r="AB175" i="23"/>
  <c r="Q175" i="23"/>
  <c r="Z174" i="23"/>
  <c r="H169" i="23" l="1"/>
  <c r="I169" i="23" s="1"/>
  <c r="AA174" i="23"/>
  <c r="T174" i="23"/>
  <c r="D170" i="23" l="1"/>
  <c r="E170" i="23" s="1"/>
  <c r="B170" i="23"/>
  <c r="V174" i="23"/>
  <c r="W174" i="23" s="1"/>
  <c r="Y174" i="23"/>
  <c r="C171" i="23" l="1"/>
  <c r="L170" i="23"/>
  <c r="M170" i="23" s="1"/>
  <c r="N171" i="23"/>
  <c r="J170" i="23"/>
  <c r="P175" i="23"/>
  <c r="R175" i="23"/>
  <c r="S175" i="23" s="1"/>
  <c r="F170" i="23" l="1"/>
  <c r="Q176" i="23"/>
  <c r="AB176" i="23"/>
  <c r="Z175" i="23"/>
  <c r="K170" i="23" l="1"/>
  <c r="H170" i="23"/>
  <c r="I170" i="23" s="1"/>
  <c r="AA175" i="23"/>
  <c r="T175" i="23"/>
  <c r="B171" i="23" l="1"/>
  <c r="D171" i="23"/>
  <c r="E171" i="23" s="1"/>
  <c r="Y175" i="23"/>
  <c r="V175" i="23"/>
  <c r="W175" i="23" s="1"/>
  <c r="N172" i="23" l="1"/>
  <c r="L171" i="23"/>
  <c r="M171" i="23" s="1"/>
  <c r="J171" i="23"/>
  <c r="C172" i="23"/>
  <c r="R176" i="23"/>
  <c r="S176" i="23" s="1"/>
  <c r="P176" i="23"/>
  <c r="F171" i="23" l="1"/>
  <c r="Z176" i="23"/>
  <c r="AA176" i="23" s="1"/>
  <c r="Q177" i="23"/>
  <c r="AB177" i="23"/>
  <c r="T176" i="23" l="1"/>
  <c r="Y176" i="23" s="1"/>
  <c r="K171" i="23"/>
  <c r="H171" i="23"/>
  <c r="I171" i="23" s="1"/>
  <c r="V176" i="23" l="1"/>
  <c r="W176" i="23" s="1"/>
  <c r="D172" i="23"/>
  <c r="E172" i="23" s="1"/>
  <c r="B172" i="23"/>
  <c r="P177" i="23"/>
  <c r="R177" i="23"/>
  <c r="S177" i="23" s="1"/>
  <c r="L172" i="23" l="1"/>
  <c r="M172" i="23" s="1"/>
  <c r="N173" i="23"/>
  <c r="J172" i="23"/>
  <c r="C173" i="23"/>
  <c r="AB178" i="23"/>
  <c r="Z177" i="23"/>
  <c r="Q178" i="23"/>
  <c r="F172" i="23" l="1"/>
  <c r="K172" i="23" s="1"/>
  <c r="AA177" i="23"/>
  <c r="T177" i="23"/>
  <c r="H172" i="23" l="1"/>
  <c r="I172" i="23" s="1"/>
  <c r="D173" i="23" s="1"/>
  <c r="E173" i="23" s="1"/>
  <c r="V177" i="23"/>
  <c r="W177" i="23" s="1"/>
  <c r="Y177" i="23"/>
  <c r="B173" i="23" l="1"/>
  <c r="J173" i="23"/>
  <c r="C174" i="23"/>
  <c r="N174" i="23"/>
  <c r="L173" i="23"/>
  <c r="M173" i="23" s="1"/>
  <c r="R178" i="23"/>
  <c r="S178" i="23" s="1"/>
  <c r="P178" i="23"/>
  <c r="F173" i="23" l="1"/>
  <c r="K173" i="23" s="1"/>
  <c r="AB179" i="23"/>
  <c r="Z178" i="23"/>
  <c r="Q179" i="23"/>
  <c r="H173" i="23" l="1"/>
  <c r="I173" i="23" s="1"/>
  <c r="D174" i="23" s="1"/>
  <c r="E174" i="23" s="1"/>
  <c r="AA178" i="23"/>
  <c r="T178" i="23"/>
  <c r="B174" i="23" l="1"/>
  <c r="N175" i="23"/>
  <c r="C175" i="23"/>
  <c r="L174" i="23"/>
  <c r="M174" i="23" s="1"/>
  <c r="J174" i="23"/>
  <c r="Y178" i="23"/>
  <c r="V178" i="23"/>
  <c r="W178" i="23" s="1"/>
  <c r="F174" i="23" l="1"/>
  <c r="R179" i="23"/>
  <c r="S179" i="23" s="1"/>
  <c r="P179" i="23"/>
  <c r="K174" i="23" l="1"/>
  <c r="H174" i="23"/>
  <c r="I174" i="23" s="1"/>
  <c r="Q180" i="23"/>
  <c r="AB180" i="23"/>
  <c r="Z179" i="23"/>
  <c r="AA179" i="23" s="1"/>
  <c r="D175" i="23" l="1"/>
  <c r="E175" i="23" s="1"/>
  <c r="B175" i="23"/>
  <c r="T179" i="23"/>
  <c r="V179" i="23" s="1"/>
  <c r="W179" i="23" s="1"/>
  <c r="L175" i="23" l="1"/>
  <c r="M175" i="23" s="1"/>
  <c r="J175" i="23"/>
  <c r="C176" i="23"/>
  <c r="N176" i="23"/>
  <c r="F175" i="23"/>
  <c r="K175" i="23" s="1"/>
  <c r="Y179" i="23"/>
  <c r="R180" i="23"/>
  <c r="S180" i="23" s="1"/>
  <c r="P180" i="23"/>
  <c r="H175" i="23" l="1"/>
  <c r="I175" i="23" s="1"/>
  <c r="Z180" i="23"/>
  <c r="AB181" i="23"/>
  <c r="Q181" i="23"/>
  <c r="B176" i="23" l="1"/>
  <c r="D176" i="23"/>
  <c r="E176" i="23" s="1"/>
  <c r="AA180" i="23"/>
  <c r="T180" i="23"/>
  <c r="N177" i="23" l="1"/>
  <c r="C177" i="23"/>
  <c r="J176" i="23"/>
  <c r="L176" i="23"/>
  <c r="M176" i="23" s="1"/>
  <c r="Y180" i="23"/>
  <c r="V180" i="23"/>
  <c r="W180" i="23" s="1"/>
  <c r="F176" i="23" l="1"/>
  <c r="R181" i="23"/>
  <c r="S181" i="23" s="1"/>
  <c r="P181" i="23"/>
  <c r="K176" i="23" l="1"/>
  <c r="H176" i="23"/>
  <c r="I176" i="23" s="1"/>
  <c r="Z181" i="23"/>
  <c r="Q182" i="23"/>
  <c r="AB182" i="23"/>
  <c r="D177" i="23" l="1"/>
  <c r="E177" i="23" s="1"/>
  <c r="B177" i="23"/>
  <c r="AA181" i="23"/>
  <c r="T181" i="23"/>
  <c r="N178" i="23" l="1"/>
  <c r="J177" i="23"/>
  <c r="L177" i="23"/>
  <c r="M177" i="23" s="1"/>
  <c r="C178" i="23"/>
  <c r="Y181" i="23"/>
  <c r="V181" i="23"/>
  <c r="W181" i="23" s="1"/>
  <c r="F177" i="23" l="1"/>
  <c r="P182" i="23"/>
  <c r="R182" i="23"/>
  <c r="S182" i="23" s="1"/>
  <c r="K177" i="23" l="1"/>
  <c r="H177" i="23"/>
  <c r="I177" i="23" s="1"/>
  <c r="Z182" i="23"/>
  <c r="AA182" i="23" s="1"/>
  <c r="AB183" i="23"/>
  <c r="Q183" i="23"/>
  <c r="D178" i="23" l="1"/>
  <c r="E178" i="23" s="1"/>
  <c r="B178" i="23"/>
  <c r="T182" i="23"/>
  <c r="V182" i="23" s="1"/>
  <c r="W182" i="23" s="1"/>
  <c r="Y182" i="23" l="1"/>
  <c r="C179" i="23"/>
  <c r="L178" i="23"/>
  <c r="M178" i="23" s="1"/>
  <c r="J178" i="23"/>
  <c r="N179" i="23"/>
  <c r="R183" i="23"/>
  <c r="S183" i="23" s="1"/>
  <c r="P183" i="23"/>
  <c r="F178" i="23" l="1"/>
  <c r="Z183" i="23"/>
  <c r="AB184" i="23"/>
  <c r="Q184" i="23"/>
  <c r="K178" i="23" l="1"/>
  <c r="H178" i="23"/>
  <c r="I178" i="23" s="1"/>
  <c r="AA183" i="23"/>
  <c r="T183" i="23"/>
  <c r="B179" i="23" l="1"/>
  <c r="D179" i="23"/>
  <c r="E179" i="23" s="1"/>
  <c r="V183" i="23"/>
  <c r="W183" i="23" s="1"/>
  <c r="Y183" i="23"/>
  <c r="N180" i="23" l="1"/>
  <c r="L179" i="23"/>
  <c r="M179" i="23" s="1"/>
  <c r="C180" i="23"/>
  <c r="J179" i="23"/>
  <c r="R184" i="23"/>
  <c r="S184" i="23" s="1"/>
  <c r="P184" i="23"/>
  <c r="F179" i="23" l="1"/>
  <c r="Z184" i="23"/>
  <c r="AA184" i="23" s="1"/>
  <c r="Q185" i="23"/>
  <c r="AB185" i="23"/>
  <c r="K179" i="23" l="1"/>
  <c r="H179" i="23"/>
  <c r="I179" i="23" s="1"/>
  <c r="T184" i="23"/>
  <c r="Y184" i="23" s="1"/>
  <c r="B180" i="23" l="1"/>
  <c r="D180" i="23"/>
  <c r="E180" i="23" s="1"/>
  <c r="V184" i="23"/>
  <c r="W184" i="23" s="1"/>
  <c r="R185" i="23" s="1"/>
  <c r="S185" i="23" s="1"/>
  <c r="P185" i="23" l="1"/>
  <c r="L180" i="23"/>
  <c r="M180" i="23" s="1"/>
  <c r="J180" i="23"/>
  <c r="C181" i="23"/>
  <c r="N181" i="23"/>
  <c r="AB186" i="23"/>
  <c r="Z185" i="23"/>
  <c r="AA185" i="23" s="1"/>
  <c r="Q186" i="23"/>
  <c r="F180" i="23" l="1"/>
  <c r="T185" i="23"/>
  <c r="K180" i="23" l="1"/>
  <c r="H180" i="23"/>
  <c r="I180" i="23" s="1"/>
  <c r="Y185" i="23"/>
  <c r="V185" i="23"/>
  <c r="W185" i="23" s="1"/>
  <c r="D181" i="23" l="1"/>
  <c r="E181" i="23" s="1"/>
  <c r="B181" i="23"/>
  <c r="P186" i="23"/>
  <c r="R186" i="23"/>
  <c r="S186" i="23" s="1"/>
  <c r="J181" i="23" l="1"/>
  <c r="C182" i="23"/>
  <c r="N182" i="23"/>
  <c r="L181" i="23"/>
  <c r="M181" i="23" s="1"/>
  <c r="Z186" i="23"/>
  <c r="AA186" i="23" s="1"/>
  <c r="Q187" i="23"/>
  <c r="AB187" i="23"/>
  <c r="T186" i="23" l="1"/>
  <c r="Y186" i="23" s="1"/>
  <c r="F181" i="23"/>
  <c r="K181" i="23" s="1"/>
  <c r="V186" i="23" l="1"/>
  <c r="W186" i="23" s="1"/>
  <c r="R187" i="23" s="1"/>
  <c r="S187" i="23" s="1"/>
  <c r="H181" i="23"/>
  <c r="I181" i="23" s="1"/>
  <c r="B182" i="23" s="1"/>
  <c r="P187" i="23" l="1"/>
  <c r="D182" i="23"/>
  <c r="E182" i="23" s="1"/>
  <c r="N183" i="23" s="1"/>
  <c r="Z187" i="23"/>
  <c r="Q188" i="23"/>
  <c r="AB188" i="23"/>
  <c r="J182" i="23" l="1"/>
  <c r="L182" i="23"/>
  <c r="M182" i="23" s="1"/>
  <c r="C183" i="23"/>
  <c r="AA187" i="23"/>
  <c r="T187" i="23"/>
  <c r="F182" i="23" l="1"/>
  <c r="H182" i="23" s="1"/>
  <c r="I182" i="23" s="1"/>
  <c r="Y187" i="23"/>
  <c r="V187" i="23"/>
  <c r="W187" i="23" s="1"/>
  <c r="K182" i="23" l="1"/>
  <c r="B183" i="23"/>
  <c r="D183" i="23"/>
  <c r="E183" i="23" s="1"/>
  <c r="P188" i="23"/>
  <c r="R188" i="23"/>
  <c r="S188" i="23" s="1"/>
  <c r="N184" i="23" l="1"/>
  <c r="L183" i="23"/>
  <c r="M183" i="23" s="1"/>
  <c r="J183" i="23"/>
  <c r="C184" i="23"/>
  <c r="Q189" i="23"/>
  <c r="Z188" i="23"/>
  <c r="AB189" i="23"/>
  <c r="F183" i="23" l="1"/>
  <c r="AA188" i="23"/>
  <c r="T188" i="23"/>
  <c r="K183" i="23" l="1"/>
  <c r="H183" i="23"/>
  <c r="I183" i="23" s="1"/>
  <c r="Y188" i="23"/>
  <c r="V188" i="23"/>
  <c r="W188" i="23" s="1"/>
  <c r="D184" i="23" l="1"/>
  <c r="E184" i="23" s="1"/>
  <c r="B184" i="23"/>
  <c r="R189" i="23"/>
  <c r="S189" i="23" s="1"/>
  <c r="P189" i="23"/>
  <c r="J184" i="23" l="1"/>
  <c r="C185" i="23"/>
  <c r="L184" i="23"/>
  <c r="M184" i="23" s="1"/>
  <c r="N185" i="23"/>
  <c r="Q190" i="23"/>
  <c r="Z189" i="23"/>
  <c r="AB190" i="23"/>
  <c r="F184" i="23" l="1"/>
  <c r="K184" i="23" s="1"/>
  <c r="AA189" i="23"/>
  <c r="T189" i="23"/>
  <c r="H184" i="23" l="1"/>
  <c r="I184" i="23" s="1"/>
  <c r="B185" i="23"/>
  <c r="D185" i="23"/>
  <c r="E185" i="23" s="1"/>
  <c r="V189" i="23"/>
  <c r="W189" i="23" s="1"/>
  <c r="Y189" i="23"/>
  <c r="N186" i="23" l="1"/>
  <c r="J185" i="23"/>
  <c r="L185" i="23"/>
  <c r="M185" i="23" s="1"/>
  <c r="C186" i="23"/>
  <c r="P190" i="23"/>
  <c r="R190" i="23"/>
  <c r="S190" i="23" s="1"/>
  <c r="F185" i="23" l="1"/>
  <c r="Z190" i="23"/>
  <c r="Q191" i="23"/>
  <c r="AB191" i="23"/>
  <c r="K185" i="23" l="1"/>
  <c r="H185" i="23"/>
  <c r="I185" i="23" s="1"/>
  <c r="AA190" i="23"/>
  <c r="T190" i="23"/>
  <c r="B186" i="23" l="1"/>
  <c r="D186" i="23"/>
  <c r="E186" i="23" s="1"/>
  <c r="V190" i="23"/>
  <c r="W190" i="23" s="1"/>
  <c r="Y190" i="23"/>
  <c r="L186" i="23" l="1"/>
  <c r="M186" i="23" s="1"/>
  <c r="J186" i="23"/>
  <c r="N187" i="23"/>
  <c r="C187" i="23"/>
  <c r="F186" i="23"/>
  <c r="K186" i="23" s="1"/>
  <c r="P191" i="23"/>
  <c r="R191" i="23"/>
  <c r="S191" i="23" s="1"/>
  <c r="H186" i="23" l="1"/>
  <c r="I186" i="23" s="1"/>
  <c r="AB192" i="23"/>
  <c r="Q192" i="23"/>
  <c r="Z191" i="23"/>
  <c r="B187" i="23" l="1"/>
  <c r="D187" i="23"/>
  <c r="E187" i="23" s="1"/>
  <c r="AA191" i="23"/>
  <c r="T191" i="23"/>
  <c r="L187" i="23" l="1"/>
  <c r="M187" i="23" s="1"/>
  <c r="J187" i="23"/>
  <c r="N188" i="23"/>
  <c r="C188" i="23"/>
  <c r="F187" i="23"/>
  <c r="K187" i="23" s="1"/>
  <c r="V191" i="23"/>
  <c r="W191" i="23" s="1"/>
  <c r="Y191" i="23"/>
  <c r="H187" i="23" l="1"/>
  <c r="I187" i="23" s="1"/>
  <c r="R192" i="23"/>
  <c r="S192" i="23" s="1"/>
  <c r="P192" i="23"/>
  <c r="B188" i="23" l="1"/>
  <c r="D188" i="23"/>
  <c r="E188" i="23" s="1"/>
  <c r="Z192" i="23"/>
  <c r="AA192" i="23" s="1"/>
  <c r="Q193" i="23"/>
  <c r="AB193" i="23"/>
  <c r="N189" i="23" l="1"/>
  <c r="L188" i="23"/>
  <c r="M188" i="23" s="1"/>
  <c r="F188" i="23"/>
  <c r="K188" i="23" s="1"/>
  <c r="C189" i="23"/>
  <c r="J188" i="23"/>
  <c r="T192" i="23"/>
  <c r="Y192" i="23" s="1"/>
  <c r="H188" i="23" l="1"/>
  <c r="I188" i="23" s="1"/>
  <c r="V192" i="23"/>
  <c r="W192" i="23" s="1"/>
  <c r="P193" i="23" s="1"/>
  <c r="D189" i="23" l="1"/>
  <c r="E189" i="23" s="1"/>
  <c r="B189" i="23"/>
  <c r="R193" i="23"/>
  <c r="S193" i="23" s="1"/>
  <c r="Q194" i="23" s="1"/>
  <c r="Z193" i="23" l="1"/>
  <c r="AA193" i="23" s="1"/>
  <c r="AB194" i="23"/>
  <c r="C190" i="23"/>
  <c r="J189" i="23"/>
  <c r="L189" i="23"/>
  <c r="M189" i="23" s="1"/>
  <c r="N190" i="23"/>
  <c r="T193" i="23" l="1"/>
  <c r="Y193" i="23" s="1"/>
  <c r="F189" i="23"/>
  <c r="V193" i="23" l="1"/>
  <c r="W193" i="23" s="1"/>
  <c r="P194" i="23" s="1"/>
  <c r="K189" i="23"/>
  <c r="H189" i="23"/>
  <c r="I189" i="23" s="1"/>
  <c r="R194" i="23" l="1"/>
  <c r="S194" i="23" s="1"/>
  <c r="B190" i="23"/>
  <c r="D190" i="23"/>
  <c r="E190" i="23" s="1"/>
  <c r="Q195" i="23" l="1"/>
  <c r="AB195" i="23"/>
  <c r="Z194" i="23"/>
  <c r="L190" i="23"/>
  <c r="M190" i="23" s="1"/>
  <c r="J190" i="23"/>
  <c r="N191" i="23"/>
  <c r="C191" i="23"/>
  <c r="F190" i="23" l="1"/>
  <c r="K190" i="23" s="1"/>
  <c r="AA194" i="23"/>
  <c r="T194" i="23"/>
  <c r="H190" i="23"/>
  <c r="I190" i="23" s="1"/>
  <c r="Y194" i="23" l="1"/>
  <c r="V194" i="23"/>
  <c r="W194" i="23" s="1"/>
  <c r="D191" i="23"/>
  <c r="E191" i="23" s="1"/>
  <c r="B191" i="23"/>
  <c r="P195" i="23" l="1"/>
  <c r="R195" i="23"/>
  <c r="S195" i="23" s="1"/>
  <c r="C192" i="23"/>
  <c r="N192" i="23"/>
  <c r="J191" i="23"/>
  <c r="L191" i="23"/>
  <c r="M191" i="23" s="1"/>
  <c r="Q196" i="23" l="1"/>
  <c r="AB196" i="23"/>
  <c r="Z195" i="23"/>
  <c r="AA195" i="23" s="1"/>
  <c r="F191" i="23"/>
  <c r="K191" i="23" s="1"/>
  <c r="H191" i="23" l="1"/>
  <c r="I191" i="23" s="1"/>
  <c r="B192" i="23" s="1"/>
  <c r="T195" i="23"/>
  <c r="D192" i="23" l="1"/>
  <c r="E192" i="23" s="1"/>
  <c r="V195" i="23"/>
  <c r="W195" i="23" s="1"/>
  <c r="Y195" i="23"/>
  <c r="N193" i="23"/>
  <c r="L192" i="23"/>
  <c r="M192" i="23" s="1"/>
  <c r="J192" i="23"/>
  <c r="C193" i="23"/>
  <c r="P196" i="23" l="1"/>
  <c r="R196" i="23"/>
  <c r="S196" i="23" s="1"/>
  <c r="F192" i="23"/>
  <c r="Z196" i="23" l="1"/>
  <c r="AA196" i="23" s="1"/>
  <c r="Q197" i="23"/>
  <c r="AB197" i="23"/>
  <c r="T196" i="23"/>
  <c r="K192" i="23"/>
  <c r="H192" i="23"/>
  <c r="I192" i="23" s="1"/>
  <c r="Y196" i="23" l="1"/>
  <c r="V196" i="23"/>
  <c r="W196" i="23" s="1"/>
  <c r="B193" i="23"/>
  <c r="D193" i="23"/>
  <c r="E193" i="23" s="1"/>
  <c r="P197" i="23" l="1"/>
  <c r="R197" i="23"/>
  <c r="S197" i="23" s="1"/>
  <c r="C194" i="23"/>
  <c r="J193" i="23"/>
  <c r="N194" i="23"/>
  <c r="L193" i="23"/>
  <c r="M193" i="23" s="1"/>
  <c r="AB198" i="23" l="1"/>
  <c r="Q198" i="23"/>
  <c r="Z197" i="23"/>
  <c r="F193" i="23"/>
  <c r="AA197" i="23" l="1"/>
  <c r="T197" i="23"/>
  <c r="K193" i="23"/>
  <c r="H193" i="23"/>
  <c r="I193" i="23" s="1"/>
  <c r="Y197" i="23" l="1"/>
  <c r="V197" i="23"/>
  <c r="W197" i="23" s="1"/>
  <c r="D194" i="23"/>
  <c r="E194" i="23" s="1"/>
  <c r="B194" i="23"/>
  <c r="P198" i="23" l="1"/>
  <c r="R198" i="23"/>
  <c r="S198" i="23" s="1"/>
  <c r="N195" i="23"/>
  <c r="J194" i="23"/>
  <c r="C195" i="23"/>
  <c r="L194" i="23"/>
  <c r="M194" i="23" s="1"/>
  <c r="Q199" i="23" l="1"/>
  <c r="AB199" i="23"/>
  <c r="Z198" i="23"/>
  <c r="F194" i="23"/>
  <c r="AA198" i="23" l="1"/>
  <c r="T198" i="23"/>
  <c r="K194" i="23"/>
  <c r="H194" i="23"/>
  <c r="I194" i="23" s="1"/>
  <c r="V198" i="23" l="1"/>
  <c r="W198" i="23" s="1"/>
  <c r="Y198" i="23"/>
  <c r="D195" i="23"/>
  <c r="E195" i="23" s="1"/>
  <c r="B195" i="23"/>
  <c r="R199" i="23" l="1"/>
  <c r="S199" i="23" s="1"/>
  <c r="P199" i="23"/>
  <c r="N196" i="23"/>
  <c r="L195" i="23"/>
  <c r="M195" i="23" s="1"/>
  <c r="C196" i="23"/>
  <c r="J195" i="23"/>
  <c r="F195" i="23" l="1"/>
  <c r="K195" i="23" s="1"/>
  <c r="AB200" i="23"/>
  <c r="Q200" i="23"/>
  <c r="Z199" i="23"/>
  <c r="AA199" i="23" s="1"/>
  <c r="T199" i="23" l="1"/>
  <c r="Y199" i="23" s="1"/>
  <c r="H195" i="23"/>
  <c r="I195" i="23" s="1"/>
  <c r="V199" i="23"/>
  <c r="W199" i="23" s="1"/>
  <c r="B196" i="23"/>
  <c r="D196" i="23"/>
  <c r="E196" i="23" s="1"/>
  <c r="R200" i="23" l="1"/>
  <c r="S200" i="23" s="1"/>
  <c r="P200" i="23"/>
  <c r="L196" i="23"/>
  <c r="M196" i="23" s="1"/>
  <c r="J196" i="23"/>
  <c r="N197" i="23"/>
  <c r="C197" i="23"/>
  <c r="F196" i="23"/>
  <c r="K196" i="23" s="1"/>
  <c r="Z200" i="23" l="1"/>
  <c r="AB201" i="23"/>
  <c r="Q201" i="23"/>
  <c r="H196" i="23"/>
  <c r="I196" i="23" s="1"/>
  <c r="AA200" i="23" l="1"/>
  <c r="T200" i="23"/>
  <c r="D197" i="23"/>
  <c r="E197" i="23" s="1"/>
  <c r="B197" i="23"/>
  <c r="Y200" i="23" l="1"/>
  <c r="V200" i="23"/>
  <c r="W200" i="23" s="1"/>
  <c r="L197" i="23"/>
  <c r="M197" i="23" s="1"/>
  <c r="J197" i="23"/>
  <c r="C198" i="23"/>
  <c r="N198" i="23"/>
  <c r="P201" i="23" l="1"/>
  <c r="R201" i="23"/>
  <c r="S201" i="23" s="1"/>
  <c r="F197" i="23"/>
  <c r="AB202" i="23" l="1"/>
  <c r="Q202" i="23"/>
  <c r="Z201" i="23"/>
  <c r="AA201" i="23" s="1"/>
  <c r="K197" i="23"/>
  <c r="H197" i="23"/>
  <c r="I197" i="23" s="1"/>
  <c r="T201" i="23" l="1"/>
  <c r="B198" i="23"/>
  <c r="D198" i="23"/>
  <c r="E198" i="23" s="1"/>
  <c r="Y201" i="23" l="1"/>
  <c r="V201" i="23"/>
  <c r="W201" i="23" s="1"/>
  <c r="J198" i="23"/>
  <c r="L198" i="23"/>
  <c r="M198" i="23" s="1"/>
  <c r="N199" i="23"/>
  <c r="C199" i="23"/>
  <c r="R202" i="23" l="1"/>
  <c r="S202" i="23" s="1"/>
  <c r="P202" i="23"/>
  <c r="F198" i="23"/>
  <c r="Z202" i="23" l="1"/>
  <c r="AA202" i="23" s="1"/>
  <c r="Q203" i="23"/>
  <c r="AB203" i="23"/>
  <c r="K198" i="23"/>
  <c r="H198" i="23"/>
  <c r="I198" i="23" s="1"/>
  <c r="T202" i="23" l="1"/>
  <c r="V202" i="23" s="1"/>
  <c r="W202" i="23" s="1"/>
  <c r="B199" i="23"/>
  <c r="D199" i="23"/>
  <c r="E199" i="23" s="1"/>
  <c r="Y202" i="23" l="1"/>
  <c r="R203" i="23"/>
  <c r="S203" i="23" s="1"/>
  <c r="P203" i="23"/>
  <c r="L199" i="23"/>
  <c r="M199" i="23" s="1"/>
  <c r="N200" i="23"/>
  <c r="J199" i="23"/>
  <c r="C200" i="23"/>
  <c r="F199" i="23" l="1"/>
  <c r="K199" i="23" s="1"/>
  <c r="Q204" i="23"/>
  <c r="Z203" i="23"/>
  <c r="AB204" i="23"/>
  <c r="H199" i="23" l="1"/>
  <c r="I199" i="23" s="1"/>
  <c r="D200" i="23" s="1"/>
  <c r="E200" i="23" s="1"/>
  <c r="J200" i="23" s="1"/>
  <c r="T203" i="23"/>
  <c r="AA203" i="23"/>
  <c r="L200" i="23" l="1"/>
  <c r="M200" i="23" s="1"/>
  <c r="C201" i="23"/>
  <c r="N201" i="23"/>
  <c r="B200" i="23"/>
  <c r="Y203" i="23"/>
  <c r="V203" i="23"/>
  <c r="W203" i="23" s="1"/>
  <c r="F200" i="23" l="1"/>
  <c r="R204" i="23"/>
  <c r="S204" i="23" s="1"/>
  <c r="P204" i="23"/>
  <c r="K200" i="23" l="1"/>
  <c r="H200" i="23"/>
  <c r="I200" i="23" s="1"/>
  <c r="Q205" i="23"/>
  <c r="AB205" i="23"/>
  <c r="Z204" i="23"/>
  <c r="D201" i="23" l="1"/>
  <c r="E201" i="23" s="1"/>
  <c r="B201" i="23"/>
  <c r="AA204" i="23"/>
  <c r="T204" i="23"/>
  <c r="J201" i="23" l="1"/>
  <c r="C202" i="23"/>
  <c r="L201" i="23"/>
  <c r="M201" i="23" s="1"/>
  <c r="N202" i="23"/>
  <c r="Y204" i="23"/>
  <c r="V204" i="23"/>
  <c r="W204" i="23" s="1"/>
  <c r="F201" i="23" l="1"/>
  <c r="P205" i="23"/>
  <c r="R205" i="23"/>
  <c r="S205" i="23" s="1"/>
  <c r="K201" i="23" l="1"/>
  <c r="H201" i="23"/>
  <c r="I201" i="23" s="1"/>
  <c r="Q206" i="23"/>
  <c r="Z205" i="23"/>
  <c r="AB206" i="23"/>
  <c r="D202" i="23" l="1"/>
  <c r="E202" i="23" s="1"/>
  <c r="B202" i="23"/>
  <c r="AA205" i="23"/>
  <c r="T205" i="23"/>
  <c r="N203" i="23" l="1"/>
  <c r="C203" i="23"/>
  <c r="J202" i="23"/>
  <c r="L202" i="23"/>
  <c r="M202" i="23" s="1"/>
  <c r="Y205" i="23"/>
  <c r="V205" i="23"/>
  <c r="W205" i="23" s="1"/>
  <c r="F202" i="23" l="1"/>
  <c r="R206" i="23"/>
  <c r="S206" i="23" s="1"/>
  <c r="P206" i="23"/>
  <c r="K202" i="23" l="1"/>
  <c r="H202" i="23"/>
  <c r="I202" i="23" s="1"/>
  <c r="Z206" i="23"/>
  <c r="AB207" i="23"/>
  <c r="Q207" i="23"/>
  <c r="B203" i="23" l="1"/>
  <c r="D203" i="23"/>
  <c r="E203" i="23" s="1"/>
  <c r="T206" i="23"/>
  <c r="AA206" i="23"/>
  <c r="N204" i="23" l="1"/>
  <c r="J203" i="23"/>
  <c r="L203" i="23"/>
  <c r="M203" i="23" s="1"/>
  <c r="C204" i="23"/>
  <c r="Y206" i="23"/>
  <c r="V206" i="23"/>
  <c r="W206" i="23" s="1"/>
  <c r="F203" i="23" l="1"/>
  <c r="P207" i="23"/>
  <c r="R207" i="23"/>
  <c r="S207" i="23" s="1"/>
  <c r="K203" i="23" l="1"/>
  <c r="H203" i="23"/>
  <c r="I203" i="23" s="1"/>
  <c r="Z207" i="23"/>
  <c r="AA207" i="23" s="1"/>
  <c r="AB208" i="23"/>
  <c r="Q208" i="23"/>
  <c r="B204" i="23" l="1"/>
  <c r="D204" i="23"/>
  <c r="E204" i="23" s="1"/>
  <c r="T207" i="23"/>
  <c r="Y207" i="23" s="1"/>
  <c r="V207" i="23" l="1"/>
  <c r="W207" i="23" s="1"/>
  <c r="P208" i="23" s="1"/>
  <c r="L204" i="23"/>
  <c r="M204" i="23" s="1"/>
  <c r="C205" i="23"/>
  <c r="J204" i="23"/>
  <c r="N205" i="23"/>
  <c r="F204" i="23"/>
  <c r="K204" i="23" s="1"/>
  <c r="R208" i="23"/>
  <c r="S208" i="23" s="1"/>
  <c r="Z208" i="23" s="1"/>
  <c r="AB209" i="23" l="1"/>
  <c r="Q209" i="23"/>
  <c r="H204" i="23"/>
  <c r="I204" i="23" s="1"/>
  <c r="AA208" i="23"/>
  <c r="T208" i="23"/>
  <c r="D205" i="23" l="1"/>
  <c r="E205" i="23" s="1"/>
  <c r="B205" i="23"/>
  <c r="Y208" i="23"/>
  <c r="V208" i="23"/>
  <c r="W208" i="23" s="1"/>
  <c r="J205" i="23" l="1"/>
  <c r="C206" i="23"/>
  <c r="L205" i="23"/>
  <c r="M205" i="23" s="1"/>
  <c r="N206" i="23"/>
  <c r="P209" i="23"/>
  <c r="R209" i="23"/>
  <c r="S209" i="23" s="1"/>
  <c r="F205" i="23" l="1"/>
  <c r="Q210" i="23"/>
  <c r="AB210" i="23"/>
  <c r="Z209" i="23"/>
  <c r="AA209" i="23" s="1"/>
  <c r="K205" i="23" l="1"/>
  <c r="H205" i="23"/>
  <c r="I205" i="23" s="1"/>
  <c r="T209" i="23"/>
  <c r="B206" i="23" l="1"/>
  <c r="D206" i="23"/>
  <c r="E206" i="23" s="1"/>
  <c r="Y209" i="23"/>
  <c r="V209" i="23"/>
  <c r="W209" i="23" s="1"/>
  <c r="L206" i="23" l="1"/>
  <c r="M206" i="23" s="1"/>
  <c r="C207" i="23"/>
  <c r="J206" i="23"/>
  <c r="N207" i="23"/>
  <c r="P210" i="23"/>
  <c r="R210" i="23"/>
  <c r="S210" i="23" s="1"/>
  <c r="F206" i="23" l="1"/>
  <c r="Z210" i="23"/>
  <c r="AA210" i="23" s="1"/>
  <c r="Q211" i="23"/>
  <c r="AB211" i="23"/>
  <c r="K206" i="23" l="1"/>
  <c r="H206" i="23"/>
  <c r="I206" i="23" s="1"/>
  <c r="T210" i="23"/>
  <c r="Y210" i="23" s="1"/>
  <c r="D207" i="23" l="1"/>
  <c r="E207" i="23" s="1"/>
  <c r="B207" i="23"/>
  <c r="V210" i="23"/>
  <c r="W210" i="23" s="1"/>
  <c r="P211" i="23" s="1"/>
  <c r="R211" i="23" l="1"/>
  <c r="S211" i="23" s="1"/>
  <c r="C208" i="23"/>
  <c r="L207" i="23"/>
  <c r="M207" i="23" s="1"/>
  <c r="J207" i="23"/>
  <c r="N208" i="23"/>
  <c r="Z211" i="23"/>
  <c r="AA211" i="23" s="1"/>
  <c r="AB212" i="23"/>
  <c r="Q212" i="23"/>
  <c r="F207" i="23" l="1"/>
  <c r="T211" i="23"/>
  <c r="Y211" i="23" s="1"/>
  <c r="K207" i="23" l="1"/>
  <c r="H207" i="23"/>
  <c r="I207" i="23" s="1"/>
  <c r="V211" i="23"/>
  <c r="W211" i="23" s="1"/>
  <c r="P212" i="23" s="1"/>
  <c r="R212" i="23" l="1"/>
  <c r="S212" i="23" s="1"/>
  <c r="D208" i="23"/>
  <c r="E208" i="23" s="1"/>
  <c r="B208" i="23"/>
  <c r="Z212" i="23"/>
  <c r="AA212" i="23" s="1"/>
  <c r="Q213" i="23"/>
  <c r="AB213" i="23"/>
  <c r="C209" i="23" l="1"/>
  <c r="J208" i="23"/>
  <c r="N209" i="23"/>
  <c r="L208" i="23"/>
  <c r="M208" i="23" s="1"/>
  <c r="T212" i="23"/>
  <c r="Y212" i="23" s="1"/>
  <c r="F208" i="23" l="1"/>
  <c r="K208" i="23" s="1"/>
  <c r="V212" i="23"/>
  <c r="W212" i="23" s="1"/>
  <c r="R213" i="23" s="1"/>
  <c r="S213" i="23" s="1"/>
  <c r="H208" i="23" l="1"/>
  <c r="I208" i="23" s="1"/>
  <c r="B209" i="23" s="1"/>
  <c r="D209" i="23"/>
  <c r="E209" i="23" s="1"/>
  <c r="P213" i="23"/>
  <c r="Q214" i="23"/>
  <c r="Z213" i="23"/>
  <c r="AB214" i="23"/>
  <c r="L209" i="23" l="1"/>
  <c r="M209" i="23" s="1"/>
  <c r="N210" i="23"/>
  <c r="C210" i="23"/>
  <c r="F209" i="23"/>
  <c r="K209" i="23" s="1"/>
  <c r="J209" i="23"/>
  <c r="AA213" i="23"/>
  <c r="T213" i="23"/>
  <c r="H209" i="23" l="1"/>
  <c r="I209" i="23" s="1"/>
  <c r="Y213" i="23"/>
  <c r="V213" i="23"/>
  <c r="W213" i="23" s="1"/>
  <c r="B210" i="23" l="1"/>
  <c r="D210" i="23"/>
  <c r="E210" i="23" s="1"/>
  <c r="R214" i="23"/>
  <c r="S214" i="23" s="1"/>
  <c r="P214" i="23"/>
  <c r="N211" i="23" l="1"/>
  <c r="J210" i="23"/>
  <c r="L210" i="23"/>
  <c r="M210" i="23" s="1"/>
  <c r="C211" i="23"/>
  <c r="Q215" i="23"/>
  <c r="Z214" i="23"/>
  <c r="AB215" i="23"/>
  <c r="F210" i="23" l="1"/>
  <c r="K210" i="23" s="1"/>
  <c r="AA214" i="23"/>
  <c r="T214" i="23"/>
  <c r="H210" i="23" l="1"/>
  <c r="I210" i="23" s="1"/>
  <c r="Y214" i="23"/>
  <c r="V214" i="23"/>
  <c r="W214" i="23" s="1"/>
  <c r="B211" i="23" l="1"/>
  <c r="D211" i="23"/>
  <c r="E211" i="23" s="1"/>
  <c r="R215" i="23"/>
  <c r="S215" i="23" s="1"/>
  <c r="P215" i="23"/>
  <c r="C212" i="23" l="1"/>
  <c r="J211" i="23"/>
  <c r="L211" i="23"/>
  <c r="M211" i="23" s="1"/>
  <c r="N212" i="23"/>
  <c r="Z215" i="23"/>
  <c r="AA215" i="23" s="1"/>
  <c r="Q216" i="23"/>
  <c r="AB216" i="23"/>
  <c r="F211" i="23" l="1"/>
  <c r="T215" i="23"/>
  <c r="H211" i="23" l="1"/>
  <c r="I211" i="23" s="1"/>
  <c r="K211" i="23"/>
  <c r="V215" i="23"/>
  <c r="W215" i="23" s="1"/>
  <c r="Y215" i="23"/>
  <c r="B212" i="23" l="1"/>
  <c r="D212" i="23"/>
  <c r="E212" i="23" s="1"/>
  <c r="P216" i="23"/>
  <c r="R216" i="23"/>
  <c r="S216" i="23" s="1"/>
  <c r="L212" i="23" l="1"/>
  <c r="M212" i="23" s="1"/>
  <c r="C213" i="23"/>
  <c r="J212" i="23"/>
  <c r="N213" i="23"/>
  <c r="Q217" i="23"/>
  <c r="AB217" i="23"/>
  <c r="Z216" i="23"/>
  <c r="AA216" i="23" s="1"/>
  <c r="F212" i="23" l="1"/>
  <c r="T216" i="23"/>
  <c r="H212" i="23" l="1"/>
  <c r="I212" i="23" s="1"/>
  <c r="K212" i="23"/>
  <c r="Y216" i="23"/>
  <c r="V216" i="23"/>
  <c r="W216" i="23" s="1"/>
  <c r="D213" i="23" l="1"/>
  <c r="E213" i="23" s="1"/>
  <c r="B213" i="23"/>
  <c r="R217" i="23"/>
  <c r="S217" i="23" s="1"/>
  <c r="P217" i="23"/>
  <c r="C214" i="23" l="1"/>
  <c r="J213" i="23"/>
  <c r="L213" i="23"/>
  <c r="M213" i="23" s="1"/>
  <c r="N214" i="23"/>
  <c r="Z217" i="23"/>
  <c r="AA217" i="23" s="1"/>
  <c r="AB218" i="23"/>
  <c r="Q218" i="23"/>
  <c r="F213" i="23" l="1"/>
  <c r="T217" i="23"/>
  <c r="Y217" i="23" s="1"/>
  <c r="K213" i="23" l="1"/>
  <c r="H213" i="23"/>
  <c r="I213" i="23" s="1"/>
  <c r="V217" i="23"/>
  <c r="W217" i="23" s="1"/>
  <c r="R218" i="23" s="1"/>
  <c r="S218" i="23" s="1"/>
  <c r="B214" i="23" l="1"/>
  <c r="D214" i="23"/>
  <c r="E214" i="23" s="1"/>
  <c r="P218" i="23"/>
  <c r="AB219" i="23"/>
  <c r="Q219" i="23"/>
  <c r="Z218" i="23"/>
  <c r="AA218" i="23" s="1"/>
  <c r="L214" i="23" l="1"/>
  <c r="M214" i="23" s="1"/>
  <c r="C215" i="23"/>
  <c r="N215" i="23"/>
  <c r="J214" i="23"/>
  <c r="F214" i="23"/>
  <c r="T218" i="23"/>
  <c r="V218" i="23" s="1"/>
  <c r="W218" i="23" s="1"/>
  <c r="H214" i="23" l="1"/>
  <c r="I214" i="23" s="1"/>
  <c r="K214" i="23"/>
  <c r="Y218" i="23"/>
  <c r="R219" i="23"/>
  <c r="S219" i="23" s="1"/>
  <c r="P219" i="23"/>
  <c r="D215" i="23" l="1"/>
  <c r="E215" i="23" s="1"/>
  <c r="B215" i="23"/>
  <c r="Z219" i="23"/>
  <c r="AB220" i="23"/>
  <c r="Q220" i="23"/>
  <c r="C216" i="23" l="1"/>
  <c r="N216" i="23"/>
  <c r="J215" i="23"/>
  <c r="L215" i="23"/>
  <c r="M215" i="23" s="1"/>
  <c r="AA219" i="23"/>
  <c r="T219" i="23"/>
  <c r="F215" i="23" l="1"/>
  <c r="V219" i="23"/>
  <c r="W219" i="23" s="1"/>
  <c r="Y219" i="23"/>
  <c r="K215" i="23" l="1"/>
  <c r="H215" i="23"/>
  <c r="I215" i="23" s="1"/>
  <c r="R220" i="23"/>
  <c r="S220" i="23" s="1"/>
  <c r="P220" i="23"/>
  <c r="D216" i="23" l="1"/>
  <c r="E216" i="23" s="1"/>
  <c r="B216" i="23"/>
  <c r="Z220" i="23"/>
  <c r="AB221" i="23"/>
  <c r="Q221" i="23"/>
  <c r="N217" i="23" l="1"/>
  <c r="C217" i="23"/>
  <c r="J216" i="23"/>
  <c r="L216" i="23"/>
  <c r="M216" i="23" s="1"/>
  <c r="AA220" i="23"/>
  <c r="T220" i="23"/>
  <c r="F216" i="23" l="1"/>
  <c r="Y220" i="23"/>
  <c r="V220" i="23"/>
  <c r="W220" i="23" s="1"/>
  <c r="H216" i="23" l="1"/>
  <c r="I216" i="23" s="1"/>
  <c r="K216" i="23"/>
  <c r="P221" i="23"/>
  <c r="R221" i="23"/>
  <c r="S221" i="23" s="1"/>
  <c r="D217" i="23" l="1"/>
  <c r="E217" i="23" s="1"/>
  <c r="B217" i="23"/>
  <c r="Q222" i="23"/>
  <c r="AB222" i="23"/>
  <c r="Z221" i="23"/>
  <c r="AA221" i="23" s="1"/>
  <c r="C218" i="23" l="1"/>
  <c r="L217" i="23"/>
  <c r="M217" i="23" s="1"/>
  <c r="F217" i="23"/>
  <c r="K217" i="23" s="1"/>
  <c r="N218" i="23"/>
  <c r="J217" i="23"/>
  <c r="T221" i="23"/>
  <c r="H217" i="23" l="1"/>
  <c r="I217" i="23" s="1"/>
  <c r="Y221" i="23"/>
  <c r="V221" i="23"/>
  <c r="W221" i="23" s="1"/>
  <c r="B218" i="23" l="1"/>
  <c r="D218" i="23"/>
  <c r="E218" i="23" s="1"/>
  <c r="R222" i="23"/>
  <c r="S222" i="23" s="1"/>
  <c r="P222" i="23"/>
  <c r="J218" i="23" l="1"/>
  <c r="C219" i="23"/>
  <c r="L218" i="23"/>
  <c r="M218" i="23" s="1"/>
  <c r="N219" i="23"/>
  <c r="AB223" i="23"/>
  <c r="Z222" i="23"/>
  <c r="AA222" i="23" s="1"/>
  <c r="Q223" i="23"/>
  <c r="F218" i="23" l="1"/>
  <c r="K218" i="23" s="1"/>
  <c r="H218" i="23"/>
  <c r="I218" i="23" s="1"/>
  <c r="T222" i="23"/>
  <c r="Y222" i="23" s="1"/>
  <c r="D219" i="23" l="1"/>
  <c r="E219" i="23" s="1"/>
  <c r="B219" i="23"/>
  <c r="V222" i="23"/>
  <c r="W222" i="23" s="1"/>
  <c r="P223" i="23" s="1"/>
  <c r="N220" i="23" l="1"/>
  <c r="L219" i="23"/>
  <c r="M219" i="23" s="1"/>
  <c r="J219" i="23"/>
  <c r="C220" i="23"/>
  <c r="R223" i="23"/>
  <c r="S223" i="23" s="1"/>
  <c r="Z223" i="23" s="1"/>
  <c r="AA223" i="23" s="1"/>
  <c r="F219" i="23" l="1"/>
  <c r="AB224" i="23"/>
  <c r="Q224" i="23"/>
  <c r="T223" i="23"/>
  <c r="Y223" i="23" s="1"/>
  <c r="K219" i="23" l="1"/>
  <c r="H219" i="23"/>
  <c r="I219" i="23" s="1"/>
  <c r="V223" i="23"/>
  <c r="W223" i="23" s="1"/>
  <c r="P224" i="23" s="1"/>
  <c r="D220" i="23" l="1"/>
  <c r="E220" i="23" s="1"/>
  <c r="B220" i="23"/>
  <c r="R224" i="23"/>
  <c r="S224" i="23" s="1"/>
  <c r="Q225" i="23" s="1"/>
  <c r="AB225" i="23" l="1"/>
  <c r="Z224" i="23"/>
  <c r="AA224" i="23" s="1"/>
  <c r="C221" i="23"/>
  <c r="J220" i="23"/>
  <c r="N221" i="23"/>
  <c r="L220" i="23"/>
  <c r="M220" i="23" s="1"/>
  <c r="F220" i="23"/>
  <c r="K220" i="23" s="1"/>
  <c r="T224" i="23"/>
  <c r="Y224" i="23" s="1"/>
  <c r="H220" i="23" l="1"/>
  <c r="I220" i="23" s="1"/>
  <c r="V224" i="23"/>
  <c r="W224" i="23" s="1"/>
  <c r="P225" i="23" s="1"/>
  <c r="D221" i="23" l="1"/>
  <c r="E221" i="23" s="1"/>
  <c r="B221" i="23"/>
  <c r="R225" i="23"/>
  <c r="S225" i="23" s="1"/>
  <c r="AB226" i="23" s="1"/>
  <c r="C222" i="23" l="1"/>
  <c r="N222" i="23"/>
  <c r="L221" i="23"/>
  <c r="M221" i="23" s="1"/>
  <c r="J221" i="23"/>
  <c r="Q226" i="23"/>
  <c r="Z225" i="23"/>
  <c r="T225" i="23" s="1"/>
  <c r="V225" i="23" s="1"/>
  <c r="W225" i="23" s="1"/>
  <c r="F221" i="23" l="1"/>
  <c r="AA225" i="23"/>
  <c r="Y225" i="23"/>
  <c r="P226" i="23"/>
  <c r="R226" i="23"/>
  <c r="S226" i="23" s="1"/>
  <c r="K221" i="23" l="1"/>
  <c r="H221" i="23"/>
  <c r="I221" i="23" s="1"/>
  <c r="AB227" i="23"/>
  <c r="Q227" i="23"/>
  <c r="Z226" i="23"/>
  <c r="B222" i="23" l="1"/>
  <c r="D222" i="23"/>
  <c r="E222" i="23" s="1"/>
  <c r="AA226" i="23"/>
  <c r="T226" i="23"/>
  <c r="N223" i="23" l="1"/>
  <c r="C223" i="23"/>
  <c r="J222" i="23"/>
  <c r="L222" i="23"/>
  <c r="M222" i="23" s="1"/>
  <c r="Y226" i="23"/>
  <c r="V226" i="23"/>
  <c r="W226" i="23" s="1"/>
  <c r="F222" i="23" l="1"/>
  <c r="R227" i="23"/>
  <c r="S227" i="23" s="1"/>
  <c r="P227" i="23"/>
  <c r="K222" i="23" l="1"/>
  <c r="H222" i="23"/>
  <c r="I222" i="23" s="1"/>
  <c r="Z227" i="23"/>
  <c r="Q228" i="23"/>
  <c r="AB228" i="23"/>
  <c r="B223" i="23" l="1"/>
  <c r="D223" i="23"/>
  <c r="E223" i="23" s="1"/>
  <c r="AA227" i="23"/>
  <c r="T227" i="23"/>
  <c r="C224" i="23" l="1"/>
  <c r="J223" i="23"/>
  <c r="L223" i="23"/>
  <c r="M223" i="23" s="1"/>
  <c r="N224" i="23"/>
  <c r="Y227" i="23"/>
  <c r="V227" i="23"/>
  <c r="W227" i="23" s="1"/>
  <c r="F223" i="23" l="1"/>
  <c r="P228" i="23"/>
  <c r="R228" i="23"/>
  <c r="S228" i="23" s="1"/>
  <c r="K223" i="23" l="1"/>
  <c r="H223" i="23"/>
  <c r="I223" i="23" s="1"/>
  <c r="AB229" i="23"/>
  <c r="Q229" i="23"/>
  <c r="Z228" i="23"/>
  <c r="AA228" i="23" s="1"/>
  <c r="D224" i="23" l="1"/>
  <c r="E224" i="23" s="1"/>
  <c r="B224" i="23"/>
  <c r="T228" i="23"/>
  <c r="Y228" i="23" s="1"/>
  <c r="J224" i="23" l="1"/>
  <c r="C225" i="23"/>
  <c r="L224" i="23"/>
  <c r="M224" i="23" s="1"/>
  <c r="N225" i="23"/>
  <c r="V228" i="23"/>
  <c r="W228" i="23" s="1"/>
  <c r="R229" i="23" s="1"/>
  <c r="S229" i="23" s="1"/>
  <c r="F224" i="23" l="1"/>
  <c r="P229" i="23"/>
  <c r="AB230" i="23"/>
  <c r="Z229" i="23"/>
  <c r="AA229" i="23" s="1"/>
  <c r="Q230" i="23"/>
  <c r="K224" i="23" l="1"/>
  <c r="H224" i="23"/>
  <c r="I224" i="23" s="1"/>
  <c r="T229" i="23"/>
  <c r="Y229" i="23" s="1"/>
  <c r="B225" i="23" l="1"/>
  <c r="D225" i="23"/>
  <c r="E225" i="23" s="1"/>
  <c r="V229" i="23"/>
  <c r="W229" i="23" s="1"/>
  <c r="R230" i="23" s="1"/>
  <c r="S230" i="23" s="1"/>
  <c r="C226" i="23" l="1"/>
  <c r="L225" i="23"/>
  <c r="M225" i="23" s="1"/>
  <c r="J225" i="23"/>
  <c r="N226" i="23"/>
  <c r="P230" i="23"/>
  <c r="Q231" i="23"/>
  <c r="Z230" i="23"/>
  <c r="AA230" i="23" s="1"/>
  <c r="AB231" i="23"/>
  <c r="F225" i="23" l="1"/>
  <c r="T230" i="23"/>
  <c r="K225" i="23" l="1"/>
  <c r="H225" i="23"/>
  <c r="I225" i="23" s="1"/>
  <c r="Y230" i="23"/>
  <c r="V230" i="23"/>
  <c r="W230" i="23" s="1"/>
  <c r="B226" i="23" l="1"/>
  <c r="D226" i="23"/>
  <c r="E226" i="23" s="1"/>
  <c r="R231" i="23"/>
  <c r="S231" i="23" s="1"/>
  <c r="P231" i="23"/>
  <c r="N227" i="23" l="1"/>
  <c r="C227" i="23"/>
  <c r="J226" i="23"/>
  <c r="L226" i="23"/>
  <c r="M226" i="23" s="1"/>
  <c r="AB232" i="23"/>
  <c r="Z231" i="23"/>
  <c r="AA231" i="23" s="1"/>
  <c r="Q232" i="23"/>
  <c r="F226" i="23" l="1"/>
  <c r="T231" i="23"/>
  <c r="Y231" i="23" s="1"/>
  <c r="K226" i="23" l="1"/>
  <c r="H226" i="23"/>
  <c r="I226" i="23" s="1"/>
  <c r="V231" i="23"/>
  <c r="W231" i="23" s="1"/>
  <c r="P232" i="23" s="1"/>
  <c r="B227" i="23" l="1"/>
  <c r="D227" i="23"/>
  <c r="E227" i="23" s="1"/>
  <c r="R232" i="23"/>
  <c r="S232" i="23" s="1"/>
  <c r="Q233" i="23" s="1"/>
  <c r="J227" i="23" l="1"/>
  <c r="N228" i="23"/>
  <c r="C228" i="23"/>
  <c r="L227" i="23"/>
  <c r="M227" i="23" s="1"/>
  <c r="Z232" i="23"/>
  <c r="AA232" i="23" s="1"/>
  <c r="AB233" i="23"/>
  <c r="F227" i="23" l="1"/>
  <c r="T232" i="23"/>
  <c r="Y232" i="23" s="1"/>
  <c r="K227" i="23" l="1"/>
  <c r="H227" i="23"/>
  <c r="I227" i="23" s="1"/>
  <c r="V232" i="23"/>
  <c r="W232" i="23" s="1"/>
  <c r="R233" i="23" s="1"/>
  <c r="S233" i="23" s="1"/>
  <c r="P233" i="23"/>
  <c r="D228" i="23" l="1"/>
  <c r="E228" i="23" s="1"/>
  <c r="B228" i="23"/>
  <c r="Z233" i="23"/>
  <c r="AA233" i="23" s="1"/>
  <c r="AB234" i="23"/>
  <c r="Q234" i="23"/>
  <c r="L228" i="23" l="1"/>
  <c r="M228" i="23" s="1"/>
  <c r="N229" i="23"/>
  <c r="J228" i="23"/>
  <c r="C229" i="23"/>
  <c r="F228" i="23"/>
  <c r="K228" i="23" s="1"/>
  <c r="T233" i="23"/>
  <c r="Y233" i="23" s="1"/>
  <c r="H228" i="23" l="1"/>
  <c r="I228" i="23" s="1"/>
  <c r="V233" i="23"/>
  <c r="W233" i="23" s="1"/>
  <c r="R234" i="23" s="1"/>
  <c r="S234" i="23" s="1"/>
  <c r="AB235" i="23" s="1"/>
  <c r="D229" i="23" l="1"/>
  <c r="E229" i="23" s="1"/>
  <c r="B229" i="23"/>
  <c r="P234" i="23"/>
  <c r="Z234" i="23"/>
  <c r="AA234" i="23" s="1"/>
  <c r="Q235" i="23"/>
  <c r="L229" i="23" l="1"/>
  <c r="M229" i="23" s="1"/>
  <c r="C230" i="23"/>
  <c r="N230" i="23"/>
  <c r="J229" i="23"/>
  <c r="F229" i="23"/>
  <c r="T234" i="23"/>
  <c r="Y234" i="23" s="1"/>
  <c r="K229" i="23" l="1"/>
  <c r="H229" i="23"/>
  <c r="I229" i="23" s="1"/>
  <c r="V234" i="23"/>
  <c r="W234" i="23" s="1"/>
  <c r="P235" i="23" s="1"/>
  <c r="B230" i="23" l="1"/>
  <c r="D230" i="23"/>
  <c r="E230" i="23" s="1"/>
  <c r="R235" i="23"/>
  <c r="S235" i="23" s="1"/>
  <c r="AB236" i="23" s="1"/>
  <c r="C231" i="23" l="1"/>
  <c r="L230" i="23"/>
  <c r="N231" i="23"/>
  <c r="J230" i="23"/>
  <c r="Q236" i="23"/>
  <c r="Z235" i="23"/>
  <c r="AA235" i="23" s="1"/>
  <c r="M230" i="23" l="1"/>
  <c r="F230" i="23"/>
  <c r="T235" i="23"/>
  <c r="Y235" i="23" s="1"/>
  <c r="K230" i="23" l="1"/>
  <c r="H230" i="23"/>
  <c r="I230" i="23" s="1"/>
  <c r="V235" i="23"/>
  <c r="W235" i="23" s="1"/>
  <c r="R236" i="23" s="1"/>
  <c r="S236" i="23" s="1"/>
  <c r="Q237" i="23" s="1"/>
  <c r="Z236" i="23" l="1"/>
  <c r="AA236" i="23" s="1"/>
  <c r="P236" i="23"/>
  <c r="AB237" i="23"/>
  <c r="D231" i="23"/>
  <c r="E231" i="23" s="1"/>
  <c r="B231" i="23"/>
  <c r="T236" i="23"/>
  <c r="Y236" i="23" s="1"/>
  <c r="N232" i="23" l="1"/>
  <c r="J231" i="23"/>
  <c r="L231" i="23"/>
  <c r="C232" i="23"/>
  <c r="V236" i="23"/>
  <c r="W236" i="23" s="1"/>
  <c r="R237" i="23" s="1"/>
  <c r="S237" i="23" s="1"/>
  <c r="M231" i="23" l="1"/>
  <c r="F231" i="23"/>
  <c r="P237" i="23"/>
  <c r="Q238" i="23"/>
  <c r="Z237" i="23"/>
  <c r="AA237" i="23" s="1"/>
  <c r="AB238" i="23"/>
  <c r="K231" i="23" l="1"/>
  <c r="H231" i="23"/>
  <c r="I231" i="23" s="1"/>
  <c r="T237" i="23"/>
  <c r="V237" i="23" s="1"/>
  <c r="W237" i="23" s="1"/>
  <c r="D232" i="23" l="1"/>
  <c r="E232" i="23" s="1"/>
  <c r="B232" i="23"/>
  <c r="Y237" i="23"/>
  <c r="P238" i="23"/>
  <c r="R238" i="23"/>
  <c r="S238" i="23" s="1"/>
  <c r="J232" i="23" l="1"/>
  <c r="N233" i="23"/>
  <c r="C233" i="23"/>
  <c r="L232" i="23"/>
  <c r="AB239" i="23"/>
  <c r="Q239" i="23"/>
  <c r="Z238" i="23"/>
  <c r="AA238" i="23" s="1"/>
  <c r="M232" i="23" l="1"/>
  <c r="F232" i="23"/>
  <c r="T238" i="23"/>
  <c r="K232" i="23" l="1"/>
  <c r="H232" i="23"/>
  <c r="I232" i="23" s="1"/>
  <c r="Y238" i="23"/>
  <c r="V238" i="23"/>
  <c r="W238" i="23" s="1"/>
  <c r="D233" i="23" l="1"/>
  <c r="E233" i="23" s="1"/>
  <c r="B233" i="23"/>
  <c r="R239" i="23"/>
  <c r="S239" i="23" s="1"/>
  <c r="P239" i="23"/>
  <c r="N234" i="23" l="1"/>
  <c r="L233" i="23"/>
  <c r="C234" i="23"/>
  <c r="J233" i="23"/>
  <c r="AB240" i="23"/>
  <c r="Z239" i="23"/>
  <c r="AA239" i="23" s="1"/>
  <c r="Q240" i="23"/>
  <c r="M233" i="23" l="1"/>
  <c r="F233" i="23"/>
  <c r="T239" i="23"/>
  <c r="Y239" i="23" s="1"/>
  <c r="K233" i="23" l="1"/>
  <c r="H233" i="23"/>
  <c r="I233" i="23" s="1"/>
  <c r="V239" i="23"/>
  <c r="W239" i="23" s="1"/>
  <c r="P240" i="23" s="1"/>
  <c r="B234" i="23" l="1"/>
  <c r="D234" i="23"/>
  <c r="E234" i="23" s="1"/>
  <c r="R240" i="23"/>
  <c r="S240" i="23" s="1"/>
  <c r="AB241" i="23" s="1"/>
  <c r="C235" i="23" l="1"/>
  <c r="N235" i="23"/>
  <c r="L234" i="23"/>
  <c r="J234" i="23"/>
  <c r="Q241" i="23"/>
  <c r="Z240" i="23"/>
  <c r="AA240" i="23" s="1"/>
  <c r="T240" i="23" l="1"/>
  <c r="M234" i="23"/>
  <c r="F234" i="23"/>
  <c r="Y240" i="23"/>
  <c r="V240" i="23"/>
  <c r="W240" i="23" s="1"/>
  <c r="K234" i="23" l="1"/>
  <c r="H234" i="23"/>
  <c r="I234" i="23" s="1"/>
  <c r="R241" i="23"/>
  <c r="S241" i="23" s="1"/>
  <c r="P241" i="23"/>
  <c r="B235" i="23" l="1"/>
  <c r="D235" i="23"/>
  <c r="E235" i="23" s="1"/>
  <c r="Q242" i="23"/>
  <c r="Z241" i="23"/>
  <c r="AB242" i="23"/>
  <c r="L235" i="23" l="1"/>
  <c r="C236" i="23"/>
  <c r="J235" i="23"/>
  <c r="N236" i="23"/>
  <c r="AA241" i="23"/>
  <c r="T241" i="23"/>
  <c r="M235" i="23" l="1"/>
  <c r="F235" i="23"/>
  <c r="Y241" i="23"/>
  <c r="V241" i="23"/>
  <c r="W241" i="23" s="1"/>
  <c r="K235" i="23" l="1"/>
  <c r="H235" i="23"/>
  <c r="I235" i="23" s="1"/>
  <c r="P242" i="23"/>
  <c r="R242" i="23"/>
  <c r="S242" i="23" s="1"/>
  <c r="B236" i="23" l="1"/>
  <c r="D236" i="23"/>
  <c r="E236" i="23" s="1"/>
  <c r="Z242" i="23"/>
  <c r="AA242" i="23" s="1"/>
  <c r="Q243" i="23"/>
  <c r="AB243" i="23"/>
  <c r="J236" i="23" l="1"/>
  <c r="C237" i="23"/>
  <c r="N237" i="23"/>
  <c r="L236" i="23"/>
  <c r="M236" i="23" s="1"/>
  <c r="T242" i="23"/>
  <c r="Y242" i="23" s="1"/>
  <c r="F236" i="23" l="1"/>
  <c r="K236" i="23" s="1"/>
  <c r="V242" i="23"/>
  <c r="W242" i="23" s="1"/>
  <c r="R243" i="23" s="1"/>
  <c r="S243" i="23" s="1"/>
  <c r="H236" i="23" l="1"/>
  <c r="I236" i="23" s="1"/>
  <c r="D237" i="23"/>
  <c r="E237" i="23" s="1"/>
  <c r="B237" i="23"/>
  <c r="P243" i="23"/>
  <c r="Q244" i="23"/>
  <c r="AB244" i="23"/>
  <c r="Z243" i="23"/>
  <c r="AA243" i="23" s="1"/>
  <c r="L237" i="23" l="1"/>
  <c r="M237" i="23" s="1"/>
  <c r="J237" i="23"/>
  <c r="C238" i="23"/>
  <c r="N238" i="23"/>
  <c r="T243" i="23"/>
  <c r="Y243" i="23" s="1"/>
  <c r="F237" i="23" l="1"/>
  <c r="V243" i="23"/>
  <c r="W243" i="23" s="1"/>
  <c r="R244" i="23" s="1"/>
  <c r="S244" i="23" s="1"/>
  <c r="K237" i="23" l="1"/>
  <c r="H237" i="23"/>
  <c r="I237" i="23" s="1"/>
  <c r="P244" i="23"/>
  <c r="AB245" i="23"/>
  <c r="Z244" i="23"/>
  <c r="Q245" i="23"/>
  <c r="B238" i="23" l="1"/>
  <c r="D238" i="23"/>
  <c r="E238" i="23" s="1"/>
  <c r="AA244" i="23"/>
  <c r="T244" i="23"/>
  <c r="J238" i="23" l="1"/>
  <c r="L238" i="23"/>
  <c r="M238" i="23" s="1"/>
  <c r="N239" i="23"/>
  <c r="C239" i="23"/>
  <c r="Y244" i="23"/>
  <c r="V244" i="23"/>
  <c r="W244" i="23" s="1"/>
  <c r="F238" i="23" l="1"/>
  <c r="K238" i="23" s="1"/>
  <c r="R245" i="23"/>
  <c r="S245" i="23" s="1"/>
  <c r="P245" i="23"/>
  <c r="H238" i="23" l="1"/>
  <c r="I238" i="23" s="1"/>
  <c r="D239" i="23"/>
  <c r="E239" i="23" s="1"/>
  <c r="B239" i="23"/>
  <c r="AB246" i="23"/>
  <c r="Z245" i="23"/>
  <c r="Q246" i="23"/>
  <c r="J239" i="23" l="1"/>
  <c r="C240" i="23"/>
  <c r="L239" i="23"/>
  <c r="N240" i="23"/>
  <c r="AA245" i="23"/>
  <c r="T245" i="23"/>
  <c r="M239" i="23" l="1"/>
  <c r="F239" i="23"/>
  <c r="V245" i="23"/>
  <c r="W245" i="23" s="1"/>
  <c r="Y245" i="23"/>
  <c r="K239" i="23" l="1"/>
  <c r="H239" i="23"/>
  <c r="I239" i="23" s="1"/>
  <c r="P246" i="23"/>
  <c r="R246" i="23"/>
  <c r="S246" i="23" s="1"/>
  <c r="B240" i="23" l="1"/>
  <c r="D240" i="23"/>
  <c r="E240" i="23" s="1"/>
  <c r="Q247" i="23"/>
  <c r="AB247" i="23"/>
  <c r="Z246" i="23"/>
  <c r="AA246" i="23" s="1"/>
  <c r="N241" i="23" l="1"/>
  <c r="C241" i="23"/>
  <c r="J240" i="23"/>
  <c r="L240" i="23"/>
  <c r="M240" i="23" s="1"/>
  <c r="T246" i="23"/>
  <c r="F240" i="23" l="1"/>
  <c r="K240" i="23" s="1"/>
  <c r="H240" i="23"/>
  <c r="I240" i="23" s="1"/>
  <c r="Y246" i="23"/>
  <c r="V246" i="23"/>
  <c r="W246" i="23" s="1"/>
  <c r="B241" i="23" l="1"/>
  <c r="D241" i="23"/>
  <c r="E241" i="23" s="1"/>
  <c r="P247" i="23"/>
  <c r="R247" i="23"/>
  <c r="S247" i="23" s="1"/>
  <c r="C242" i="23" l="1"/>
  <c r="N242" i="23"/>
  <c r="L241" i="23"/>
  <c r="M241" i="23" s="1"/>
  <c r="J241" i="23"/>
  <c r="AB248" i="23"/>
  <c r="Q248" i="23"/>
  <c r="Z247" i="23"/>
  <c r="AA247" i="23" s="1"/>
  <c r="F241" i="23" l="1"/>
  <c r="T247" i="23"/>
  <c r="Y247" i="23" s="1"/>
  <c r="K241" i="23" l="1"/>
  <c r="H241" i="23"/>
  <c r="I241" i="23" s="1"/>
  <c r="V247" i="23"/>
  <c r="W247" i="23" s="1"/>
  <c r="R248" i="23" s="1"/>
  <c r="S248" i="23" s="1"/>
  <c r="D242" i="23" l="1"/>
  <c r="E242" i="23" s="1"/>
  <c r="B242" i="23"/>
  <c r="P248" i="23"/>
  <c r="Z248" i="23"/>
  <c r="AB249" i="23"/>
  <c r="Q249" i="23"/>
  <c r="N243" i="23" l="1"/>
  <c r="L242" i="23"/>
  <c r="M242" i="23" s="1"/>
  <c r="J242" i="23"/>
  <c r="C243" i="23"/>
  <c r="AA248" i="23"/>
  <c r="T248" i="23"/>
  <c r="F242" i="23" l="1"/>
  <c r="V248" i="23"/>
  <c r="W248" i="23" s="1"/>
  <c r="Y248" i="23"/>
  <c r="K242" i="23" l="1"/>
  <c r="H242" i="23"/>
  <c r="I242" i="23" s="1"/>
  <c r="P249" i="23"/>
  <c r="R249" i="23"/>
  <c r="S249" i="23" s="1"/>
  <c r="B243" i="23" l="1"/>
  <c r="D243" i="23"/>
  <c r="E243" i="23" s="1"/>
  <c r="AB250" i="23"/>
  <c r="Q250" i="23"/>
  <c r="Z249" i="23"/>
  <c r="L243" i="23" l="1"/>
  <c r="M243" i="23" s="1"/>
  <c r="J243" i="23"/>
  <c r="C244" i="23"/>
  <c r="N244" i="23"/>
  <c r="F243" i="23"/>
  <c r="K243" i="23" s="1"/>
  <c r="AA249" i="23"/>
  <c r="T249" i="23"/>
  <c r="H243" i="23" l="1"/>
  <c r="I243" i="23" s="1"/>
  <c r="Y249" i="23"/>
  <c r="V249" i="23"/>
  <c r="W249" i="23" s="1"/>
  <c r="D244" i="23" l="1"/>
  <c r="E244" i="23" s="1"/>
  <c r="B244" i="23"/>
  <c r="R250" i="23"/>
  <c r="S250" i="23" s="1"/>
  <c r="P250" i="23"/>
  <c r="L244" i="23" l="1"/>
  <c r="M244" i="23" s="1"/>
  <c r="J244" i="23"/>
  <c r="C245" i="23"/>
  <c r="N245" i="23"/>
  <c r="F244" i="23"/>
  <c r="K244" i="23" s="1"/>
  <c r="Z250" i="23"/>
  <c r="AA250" i="23" s="1"/>
  <c r="AB251" i="23"/>
  <c r="Q251" i="23"/>
  <c r="H244" i="23" l="1"/>
  <c r="I244" i="23" s="1"/>
  <c r="T250" i="23"/>
  <c r="D245" i="23" l="1"/>
  <c r="E245" i="23" s="1"/>
  <c r="B245" i="23"/>
  <c r="Y250" i="23"/>
  <c r="V250" i="23"/>
  <c r="W250" i="23" s="1"/>
  <c r="L245" i="23" l="1"/>
  <c r="M245" i="23" s="1"/>
  <c r="N246" i="23"/>
  <c r="J245" i="23"/>
  <c r="C246" i="23"/>
  <c r="R251" i="23"/>
  <c r="S251" i="23" s="1"/>
  <c r="P251" i="23"/>
  <c r="F245" i="23" l="1"/>
  <c r="K245" i="23" s="1"/>
  <c r="H245" i="23"/>
  <c r="I245" i="23" s="1"/>
  <c r="Z251" i="23"/>
  <c r="AA251" i="23" s="1"/>
  <c r="Q252" i="23"/>
  <c r="AB252" i="23"/>
  <c r="D246" i="23" l="1"/>
  <c r="E246" i="23" s="1"/>
  <c r="B246" i="23"/>
  <c r="T251" i="23"/>
  <c r="Y251" i="23" s="1"/>
  <c r="J246" i="23" l="1"/>
  <c r="L246" i="23"/>
  <c r="N247" i="23"/>
  <c r="C247" i="23"/>
  <c r="V251" i="23"/>
  <c r="W251" i="23" s="1"/>
  <c r="P252" i="23" s="1"/>
  <c r="M246" i="23" l="1"/>
  <c r="F246" i="23"/>
  <c r="R252" i="23"/>
  <c r="S252" i="23" s="1"/>
  <c r="AB253" i="23" s="1"/>
  <c r="K246" i="23" l="1"/>
  <c r="H246" i="23"/>
  <c r="I246" i="23" s="1"/>
  <c r="Q253" i="23"/>
  <c r="Z252" i="23"/>
  <c r="AA252" i="23" s="1"/>
  <c r="D247" i="23" l="1"/>
  <c r="E247" i="23" s="1"/>
  <c r="B247" i="23"/>
  <c r="T252" i="23"/>
  <c r="V252" i="23" s="1"/>
  <c r="W252" i="23" s="1"/>
  <c r="Y252" i="23" l="1"/>
  <c r="L247" i="23"/>
  <c r="J247" i="23"/>
  <c r="C248" i="23"/>
  <c r="N248" i="23"/>
  <c r="R253" i="23"/>
  <c r="S253" i="23" s="1"/>
  <c r="P253" i="23"/>
  <c r="M247" i="23" l="1"/>
  <c r="F247" i="23"/>
  <c r="Q254" i="23"/>
  <c r="Z253" i="23"/>
  <c r="AB254" i="23"/>
  <c r="H247" i="23" l="1"/>
  <c r="I247" i="23" s="1"/>
  <c r="K247" i="23"/>
  <c r="T253" i="23"/>
  <c r="AA253" i="23"/>
  <c r="B248" i="23" l="1"/>
  <c r="D248" i="23"/>
  <c r="E248" i="23" s="1"/>
  <c r="V253" i="23"/>
  <c r="W253" i="23" s="1"/>
  <c r="Y253" i="23"/>
  <c r="C249" i="23" l="1"/>
  <c r="L248" i="23"/>
  <c r="M248" i="23" s="1"/>
  <c r="N249" i="23"/>
  <c r="J248" i="23"/>
  <c r="P254" i="23"/>
  <c r="R254" i="23"/>
  <c r="S254" i="23" s="1"/>
  <c r="F248" i="23" l="1"/>
  <c r="AB255" i="23"/>
  <c r="Z254" i="23"/>
  <c r="Q255" i="23"/>
  <c r="K248" i="23" l="1"/>
  <c r="H248" i="23"/>
  <c r="I248" i="23" s="1"/>
  <c r="AA254" i="23"/>
  <c r="T254" i="23"/>
  <c r="D249" i="23" l="1"/>
  <c r="E249" i="23" s="1"/>
  <c r="B249" i="23"/>
  <c r="Y254" i="23"/>
  <c r="V254" i="23"/>
  <c r="W254" i="23" s="1"/>
  <c r="N250" i="23" l="1"/>
  <c r="J249" i="23"/>
  <c r="C250" i="23"/>
  <c r="L249" i="23"/>
  <c r="R255" i="23"/>
  <c r="S255" i="23" s="1"/>
  <c r="P255" i="23"/>
  <c r="M249" i="23" l="1"/>
  <c r="F249" i="23"/>
  <c r="AB256" i="23"/>
  <c r="Q256" i="23"/>
  <c r="Z255" i="23"/>
  <c r="K249" i="23" l="1"/>
  <c r="H249" i="23"/>
  <c r="I249" i="23" s="1"/>
  <c r="AA255" i="23"/>
  <c r="T255" i="23"/>
  <c r="D250" i="23" l="1"/>
  <c r="E250" i="23" s="1"/>
  <c r="B250" i="23"/>
  <c r="V255" i="23"/>
  <c r="W255" i="23" s="1"/>
  <c r="Y255" i="23"/>
  <c r="N251" i="23" l="1"/>
  <c r="C251" i="23"/>
  <c r="L250" i="23"/>
  <c r="J250" i="23"/>
  <c r="P256" i="23"/>
  <c r="R256" i="23"/>
  <c r="S256" i="23" s="1"/>
  <c r="M250" i="23" l="1"/>
  <c r="F250" i="23"/>
  <c r="Q257" i="23"/>
  <c r="Z256" i="23"/>
  <c r="AB257" i="23"/>
  <c r="K250" i="23" l="1"/>
  <c r="H250" i="23"/>
  <c r="I250" i="23" s="1"/>
  <c r="AA256" i="23"/>
  <c r="T256" i="23"/>
  <c r="B251" i="23" l="1"/>
  <c r="D251" i="23"/>
  <c r="E251" i="23" s="1"/>
  <c r="Y256" i="23"/>
  <c r="V256" i="23"/>
  <c r="W256" i="23" s="1"/>
  <c r="N252" i="23" l="1"/>
  <c r="L251" i="23"/>
  <c r="M251" i="23" s="1"/>
  <c r="C252" i="23"/>
  <c r="J251" i="23"/>
  <c r="R257" i="23"/>
  <c r="S257" i="23" s="1"/>
  <c r="P257" i="23"/>
  <c r="F251" i="23" l="1"/>
  <c r="AB258" i="23"/>
  <c r="Q258" i="23"/>
  <c r="Z257" i="23"/>
  <c r="K251" i="23" l="1"/>
  <c r="H251" i="23"/>
  <c r="I251" i="23" s="1"/>
  <c r="AA257" i="23"/>
  <c r="T257" i="23"/>
  <c r="D252" i="23" l="1"/>
  <c r="E252" i="23" s="1"/>
  <c r="B252" i="23"/>
  <c r="V257" i="23"/>
  <c r="W257" i="23" s="1"/>
  <c r="Y257" i="23"/>
  <c r="L252" i="23" l="1"/>
  <c r="M252" i="23" s="1"/>
  <c r="N253" i="23"/>
  <c r="C253" i="23"/>
  <c r="J252" i="23"/>
  <c r="F252" i="23"/>
  <c r="P258" i="23"/>
  <c r="R258" i="23"/>
  <c r="S258" i="23" s="1"/>
  <c r="K252" i="23" l="1"/>
  <c r="H252" i="23"/>
  <c r="I252" i="23" s="1"/>
  <c r="AB259" i="23"/>
  <c r="Q259" i="23"/>
  <c r="Z258" i="23"/>
  <c r="B253" i="23" l="1"/>
  <c r="D253" i="23"/>
  <c r="E253" i="23" s="1"/>
  <c r="AA258" i="23"/>
  <c r="T258" i="23"/>
  <c r="N254" i="23" l="1"/>
  <c r="C254" i="23"/>
  <c r="J253" i="23"/>
  <c r="L253" i="23"/>
  <c r="M253" i="23" s="1"/>
  <c r="Y258" i="23"/>
  <c r="V258" i="23"/>
  <c r="W258" i="23" s="1"/>
  <c r="F253" i="23" l="1"/>
  <c r="R259" i="23"/>
  <c r="S259" i="23" s="1"/>
  <c r="P259" i="23"/>
  <c r="K253" i="23" l="1"/>
  <c r="H253" i="23"/>
  <c r="I253" i="23" s="1"/>
  <c r="Q260" i="23"/>
  <c r="AB260" i="23"/>
  <c r="Z259" i="23"/>
  <c r="AA259" i="23" s="1"/>
  <c r="B254" i="23" l="1"/>
  <c r="D254" i="23"/>
  <c r="E254" i="23" s="1"/>
  <c r="T259" i="23"/>
  <c r="Y259" i="23" s="1"/>
  <c r="N255" i="23" l="1"/>
  <c r="C255" i="23"/>
  <c r="L254" i="23"/>
  <c r="M254" i="23" s="1"/>
  <c r="J254" i="23"/>
  <c r="V259" i="23"/>
  <c r="W259" i="23" s="1"/>
  <c r="P260" i="23" s="1"/>
  <c r="R260" i="23" l="1"/>
  <c r="S260" i="23" s="1"/>
  <c r="Q261" i="23" s="1"/>
  <c r="F254" i="23"/>
  <c r="Z260" i="23"/>
  <c r="AA260" i="23" s="1"/>
  <c r="AB261" i="23"/>
  <c r="K254" i="23" l="1"/>
  <c r="H254" i="23"/>
  <c r="I254" i="23" s="1"/>
  <c r="T260" i="23"/>
  <c r="Y260" i="23" s="1"/>
  <c r="D255" i="23" l="1"/>
  <c r="E255" i="23" s="1"/>
  <c r="B255" i="23"/>
  <c r="V260" i="23"/>
  <c r="W260" i="23" s="1"/>
  <c r="P261" i="23" s="1"/>
  <c r="C256" i="23" l="1"/>
  <c r="J255" i="23"/>
  <c r="N256" i="23"/>
  <c r="L255" i="23"/>
  <c r="M255" i="23" s="1"/>
  <c r="R261" i="23"/>
  <c r="S261" i="23" s="1"/>
  <c r="Z261" i="23" s="1"/>
  <c r="AA261" i="23" s="1"/>
  <c r="F255" i="23" l="1"/>
  <c r="AB262" i="23"/>
  <c r="Q262" i="23"/>
  <c r="T261" i="23"/>
  <c r="Y261" i="23" s="1"/>
  <c r="K255" i="23" l="1"/>
  <c r="H255" i="23"/>
  <c r="I255" i="23" s="1"/>
  <c r="V261" i="23"/>
  <c r="W261" i="23" s="1"/>
  <c r="P262" i="23" s="1"/>
  <c r="B256" i="23" l="1"/>
  <c r="D256" i="23"/>
  <c r="E256" i="23" s="1"/>
  <c r="R262" i="23"/>
  <c r="S262" i="23" s="1"/>
  <c r="AB263" i="23" s="1"/>
  <c r="N257" i="23" l="1"/>
  <c r="C257" i="23"/>
  <c r="J256" i="23"/>
  <c r="L256" i="23"/>
  <c r="M256" i="23" s="1"/>
  <c r="Z262" i="23"/>
  <c r="AA262" i="23" s="1"/>
  <c r="Q263" i="23"/>
  <c r="T262" i="23"/>
  <c r="F256" i="23" l="1"/>
  <c r="V262" i="23"/>
  <c r="W262" i="23" s="1"/>
  <c r="Y262" i="23"/>
  <c r="K256" i="23" l="1"/>
  <c r="H256" i="23"/>
  <c r="I256" i="23" s="1"/>
  <c r="P263" i="23"/>
  <c r="R263" i="23"/>
  <c r="S263" i="23" s="1"/>
  <c r="B257" i="23" l="1"/>
  <c r="D257" i="23"/>
  <c r="E257" i="23" s="1"/>
  <c r="AB264" i="23"/>
  <c r="Z263" i="23"/>
  <c r="Q264" i="23"/>
  <c r="C258" i="23" l="1"/>
  <c r="N258" i="23"/>
  <c r="L257" i="23"/>
  <c r="M257" i="23" s="1"/>
  <c r="J257" i="23"/>
  <c r="AA263" i="23"/>
  <c r="T263" i="23"/>
  <c r="F257" i="23" l="1"/>
  <c r="K257" i="23" s="1"/>
  <c r="Y263" i="23"/>
  <c r="V263" i="23"/>
  <c r="W263" i="23" s="1"/>
  <c r="H257" i="23" l="1"/>
  <c r="I257" i="23" s="1"/>
  <c r="D258" i="23" s="1"/>
  <c r="E258" i="23" s="1"/>
  <c r="B258" i="23"/>
  <c r="P264" i="23"/>
  <c r="R264" i="23"/>
  <c r="S264" i="23" s="1"/>
  <c r="C259" i="23" l="1"/>
  <c r="N259" i="23"/>
  <c r="J258" i="23"/>
  <c r="L258" i="23"/>
  <c r="Q265" i="23"/>
  <c r="Z264" i="23"/>
  <c r="AB265" i="23"/>
  <c r="M258" i="23" l="1"/>
  <c r="F258" i="23"/>
  <c r="T264" i="23"/>
  <c r="AA264" i="23"/>
  <c r="K258" i="23" l="1"/>
  <c r="H258" i="23"/>
  <c r="I258" i="23" s="1"/>
  <c r="Y264" i="23"/>
  <c r="V264" i="23"/>
  <c r="W264" i="23" s="1"/>
  <c r="B259" i="23" l="1"/>
  <c r="D259" i="23"/>
  <c r="E259" i="23" s="1"/>
  <c r="R265" i="23"/>
  <c r="S265" i="23" s="1"/>
  <c r="P265" i="23"/>
  <c r="L259" i="23" l="1"/>
  <c r="J259" i="23"/>
  <c r="C260" i="23"/>
  <c r="N260" i="23"/>
  <c r="Q266" i="23"/>
  <c r="Z265" i="23"/>
  <c r="AB266" i="23"/>
  <c r="M259" i="23" l="1"/>
  <c r="F259" i="23"/>
  <c r="AA265" i="23"/>
  <c r="T265" i="23"/>
  <c r="K259" i="23" l="1"/>
  <c r="H259" i="23"/>
  <c r="I259" i="23" s="1"/>
  <c r="Y265" i="23"/>
  <c r="V265" i="23"/>
  <c r="W265" i="23" s="1"/>
  <c r="B260" i="23" l="1"/>
  <c r="D260" i="23"/>
  <c r="E260" i="23" s="1"/>
  <c r="R266" i="23"/>
  <c r="S266" i="23" s="1"/>
  <c r="P266" i="23"/>
  <c r="N261" i="23" l="1"/>
  <c r="J260" i="23"/>
  <c r="L260" i="23"/>
  <c r="M260" i="23" s="1"/>
  <c r="C261" i="23"/>
  <c r="Q267" i="23"/>
  <c r="AB267" i="23"/>
  <c r="Z266" i="23"/>
  <c r="F260" i="23" l="1"/>
  <c r="AA266" i="23"/>
  <c r="T266" i="23"/>
  <c r="K260" i="23" l="1"/>
  <c r="H260" i="23"/>
  <c r="I260" i="23" s="1"/>
  <c r="V266" i="23"/>
  <c r="W266" i="23" s="1"/>
  <c r="Y266" i="23"/>
  <c r="B261" i="23" l="1"/>
  <c r="D261" i="23"/>
  <c r="E261" i="23" s="1"/>
  <c r="P267" i="23"/>
  <c r="R267" i="23"/>
  <c r="S267" i="23" s="1"/>
  <c r="L261" i="23" l="1"/>
  <c r="M261" i="23" s="1"/>
  <c r="C262" i="23"/>
  <c r="J261" i="23"/>
  <c r="N262" i="23"/>
  <c r="F261" i="23"/>
  <c r="AB268" i="23"/>
  <c r="Z267" i="23"/>
  <c r="Q268" i="23"/>
  <c r="K261" i="23" l="1"/>
  <c r="H261" i="23"/>
  <c r="I261" i="23" s="1"/>
  <c r="T267" i="23"/>
  <c r="AA267" i="23"/>
  <c r="D262" i="23" l="1"/>
  <c r="E262" i="23" s="1"/>
  <c r="B262" i="23"/>
  <c r="V267" i="23"/>
  <c r="W267" i="23" s="1"/>
  <c r="Y267" i="23"/>
  <c r="N263" i="23" l="1"/>
  <c r="C263" i="23"/>
  <c r="J262" i="23"/>
  <c r="L262" i="23"/>
  <c r="M262" i="23" s="1"/>
  <c r="P268" i="23"/>
  <c r="R268" i="23"/>
  <c r="S268" i="23" s="1"/>
  <c r="F262" i="23" l="1"/>
  <c r="Z268" i="23"/>
  <c r="Q269" i="23"/>
  <c r="AB269" i="23"/>
  <c r="K262" i="23" l="1"/>
  <c r="H262" i="23"/>
  <c r="I262" i="23" s="1"/>
  <c r="T268" i="23"/>
  <c r="AA268" i="23"/>
  <c r="D263" i="23" l="1"/>
  <c r="E263" i="23" s="1"/>
  <c r="B263" i="23"/>
  <c r="V268" i="23"/>
  <c r="W268" i="23" s="1"/>
  <c r="Y268" i="23"/>
  <c r="C264" i="23" l="1"/>
  <c r="L263" i="23"/>
  <c r="M263" i="23" s="1"/>
  <c r="J263" i="23"/>
  <c r="N264" i="23"/>
  <c r="P269" i="23"/>
  <c r="R269" i="23"/>
  <c r="S269" i="23" s="1"/>
  <c r="F263" i="23" l="1"/>
  <c r="Z269" i="23"/>
  <c r="AB270" i="23"/>
  <c r="Q270" i="23"/>
  <c r="K263" i="23" l="1"/>
  <c r="H263" i="23"/>
  <c r="I263" i="23" s="1"/>
  <c r="T269" i="23"/>
  <c r="AA269" i="23"/>
  <c r="D264" i="23" l="1"/>
  <c r="E264" i="23" s="1"/>
  <c r="B264" i="23"/>
  <c r="V269" i="23"/>
  <c r="W269" i="23" s="1"/>
  <c r="Y269" i="23"/>
  <c r="N265" i="23" l="1"/>
  <c r="J264" i="23"/>
  <c r="C265" i="23"/>
  <c r="L264" i="23"/>
  <c r="M264" i="23" s="1"/>
  <c r="P270" i="23"/>
  <c r="R270" i="23"/>
  <c r="S270" i="23" s="1"/>
  <c r="F264" i="23" l="1"/>
  <c r="AB271" i="23"/>
  <c r="Q271" i="23"/>
  <c r="Z270" i="23"/>
  <c r="H264" i="23" l="1"/>
  <c r="I264" i="23" s="1"/>
  <c r="K264" i="23"/>
  <c r="T270" i="23"/>
  <c r="AA270" i="23"/>
  <c r="B265" i="23" l="1"/>
  <c r="D265" i="23"/>
  <c r="E265" i="23" s="1"/>
  <c r="Y270" i="23"/>
  <c r="V270" i="23"/>
  <c r="W270" i="23" s="1"/>
  <c r="C266" i="23" l="1"/>
  <c r="L265" i="23"/>
  <c r="M265" i="23" s="1"/>
  <c r="N266" i="23"/>
  <c r="J265" i="23"/>
  <c r="P271" i="23"/>
  <c r="R271" i="23"/>
  <c r="S271" i="23" s="1"/>
  <c r="F265" i="23" l="1"/>
  <c r="Z271" i="23"/>
  <c r="AB272" i="23"/>
  <c r="Q272" i="23"/>
  <c r="K265" i="23" l="1"/>
  <c r="H265" i="23"/>
  <c r="I265" i="23" s="1"/>
  <c r="T271" i="23"/>
  <c r="AA271" i="23"/>
  <c r="D266" i="23" l="1"/>
  <c r="E266" i="23" s="1"/>
  <c r="B266" i="23"/>
  <c r="V271" i="23"/>
  <c r="W271" i="23" s="1"/>
  <c r="Y271" i="23"/>
  <c r="N267" i="23" l="1"/>
  <c r="C267" i="23"/>
  <c r="L266" i="23"/>
  <c r="M266" i="23" s="1"/>
  <c r="J266" i="23"/>
  <c r="P272" i="23"/>
  <c r="R272" i="23"/>
  <c r="S272" i="23" s="1"/>
  <c r="F266" i="23" l="1"/>
  <c r="Z272" i="23"/>
  <c r="AB273" i="23"/>
  <c r="Q273" i="23"/>
  <c r="H266" i="23" l="1"/>
  <c r="I266" i="23" s="1"/>
  <c r="K266" i="23"/>
  <c r="T272" i="23"/>
  <c r="AA272" i="23"/>
  <c r="B267" i="23" l="1"/>
  <c r="D267" i="23"/>
  <c r="E267" i="23" s="1"/>
  <c r="Y272" i="23"/>
  <c r="V272" i="23"/>
  <c r="W272" i="23" s="1"/>
  <c r="J267" i="23" l="1"/>
  <c r="N268" i="23"/>
  <c r="C268" i="23"/>
  <c r="L267" i="23"/>
  <c r="M267" i="23" s="1"/>
  <c r="R273" i="23"/>
  <c r="S273" i="23" s="1"/>
  <c r="P273" i="23"/>
  <c r="F267" i="23" l="1"/>
  <c r="Z273" i="23"/>
  <c r="AA273" i="23" s="1"/>
  <c r="Q274" i="23"/>
  <c r="AB274" i="23"/>
  <c r="K267" i="23" l="1"/>
  <c r="H267" i="23"/>
  <c r="I267" i="23" s="1"/>
  <c r="T273" i="23"/>
  <c r="Y273" i="23" s="1"/>
  <c r="B268" i="23" l="1"/>
  <c r="D268" i="23"/>
  <c r="E268" i="23" s="1"/>
  <c r="V273" i="23"/>
  <c r="W273" i="23" s="1"/>
  <c r="R274" i="23" s="1"/>
  <c r="S274" i="23" s="1"/>
  <c r="L268" i="23" l="1"/>
  <c r="M268" i="23" s="1"/>
  <c r="J268" i="23"/>
  <c r="C269" i="23"/>
  <c r="N269" i="23"/>
  <c r="F268" i="23"/>
  <c r="P274" i="23"/>
  <c r="Q275" i="23"/>
  <c r="Z274" i="23"/>
  <c r="AB275" i="23"/>
  <c r="H268" i="23" l="1"/>
  <c r="I268" i="23" s="1"/>
  <c r="K268" i="23"/>
  <c r="AA274" i="23"/>
  <c r="T274" i="23"/>
  <c r="B269" i="23" l="1"/>
  <c r="D269" i="23"/>
  <c r="E269" i="23" s="1"/>
  <c r="Y274" i="23"/>
  <c r="V274" i="23"/>
  <c r="W274" i="23" s="1"/>
  <c r="C270" i="23" l="1"/>
  <c r="J269" i="23"/>
  <c r="N270" i="23"/>
  <c r="L269" i="23"/>
  <c r="R275" i="23"/>
  <c r="S275" i="23" s="1"/>
  <c r="P275" i="23"/>
  <c r="M269" i="23" l="1"/>
  <c r="F269" i="23"/>
  <c r="AB276" i="23"/>
  <c r="Z275" i="23"/>
  <c r="Q276" i="23"/>
  <c r="K269" i="23" l="1"/>
  <c r="H269" i="23"/>
  <c r="I269" i="23" s="1"/>
  <c r="AA275" i="23"/>
  <c r="T275" i="23"/>
  <c r="B270" i="23" l="1"/>
  <c r="D270" i="23"/>
  <c r="E270" i="23" s="1"/>
  <c r="Y275" i="23"/>
  <c r="V275" i="23"/>
  <c r="W275" i="23" s="1"/>
  <c r="L270" i="23" l="1"/>
  <c r="M270" i="23" s="1"/>
  <c r="J270" i="23"/>
  <c r="C271" i="23"/>
  <c r="N271" i="23"/>
  <c r="F270" i="23"/>
  <c r="H270" i="23" s="1"/>
  <c r="I270" i="23" s="1"/>
  <c r="P276" i="23"/>
  <c r="R276" i="23"/>
  <c r="S276" i="23" s="1"/>
  <c r="K270" i="23" l="1"/>
  <c r="D271" i="23"/>
  <c r="E271" i="23" s="1"/>
  <c r="B271" i="23"/>
  <c r="Q277" i="23"/>
  <c r="AB277" i="23"/>
  <c r="Z276" i="23"/>
  <c r="L271" i="23" l="1"/>
  <c r="M271" i="23" s="1"/>
  <c r="J271" i="23"/>
  <c r="C272" i="23"/>
  <c r="N272" i="23"/>
  <c r="F271" i="23"/>
  <c r="K271" i="23" s="1"/>
  <c r="AA276" i="23"/>
  <c r="T276" i="23"/>
  <c r="H271" i="23" l="1"/>
  <c r="I271" i="23" s="1"/>
  <c r="V276" i="23"/>
  <c r="W276" i="23" s="1"/>
  <c r="Y276" i="23"/>
  <c r="D272" i="23" l="1"/>
  <c r="E272" i="23" s="1"/>
  <c r="B272" i="23"/>
  <c r="P277" i="23"/>
  <c r="R277" i="23"/>
  <c r="S277" i="23" s="1"/>
  <c r="J272" i="23" l="1"/>
  <c r="N273" i="23"/>
  <c r="L272" i="23"/>
  <c r="M272" i="23" s="1"/>
  <c r="C273" i="23"/>
  <c r="Q278" i="23"/>
  <c r="AB278" i="23"/>
  <c r="Z277" i="23"/>
  <c r="F272" i="23" l="1"/>
  <c r="T277" i="23"/>
  <c r="AA277" i="23"/>
  <c r="K272" i="23" l="1"/>
  <c r="H272" i="23"/>
  <c r="I272" i="23" s="1"/>
  <c r="Y277" i="23"/>
  <c r="V277" i="23"/>
  <c r="W277" i="23" s="1"/>
  <c r="D273" i="23" l="1"/>
  <c r="E273" i="23" s="1"/>
  <c r="B273" i="23"/>
  <c r="R278" i="23"/>
  <c r="S278" i="23" s="1"/>
  <c r="P278" i="23"/>
  <c r="C274" i="23" l="1"/>
  <c r="L273" i="23"/>
  <c r="M273" i="23" s="1"/>
  <c r="N274" i="23"/>
  <c r="J273" i="23"/>
  <c r="AB279" i="23"/>
  <c r="Q279" i="23"/>
  <c r="Z278" i="23"/>
  <c r="AA278" i="23" s="1"/>
  <c r="F273" i="23" l="1"/>
  <c r="K273" i="23" s="1"/>
  <c r="H273" i="23"/>
  <c r="I273" i="23" s="1"/>
  <c r="T278" i="23"/>
  <c r="Y278" i="23" s="1"/>
  <c r="D274" i="23" l="1"/>
  <c r="E274" i="23" s="1"/>
  <c r="B274" i="23"/>
  <c r="V278" i="23"/>
  <c r="W278" i="23" s="1"/>
  <c r="R279" i="23" s="1"/>
  <c r="S279" i="23" s="1"/>
  <c r="AB280" i="23" s="1"/>
  <c r="N275" i="23" l="1"/>
  <c r="C275" i="23"/>
  <c r="L274" i="23"/>
  <c r="M274" i="23" s="1"/>
  <c r="J274" i="23"/>
  <c r="Z279" i="23"/>
  <c r="AA279" i="23" s="1"/>
  <c r="Q280" i="23"/>
  <c r="P279" i="23"/>
  <c r="T279" i="23" l="1"/>
  <c r="F274" i="23"/>
  <c r="Y279" i="23"/>
  <c r="V279" i="23"/>
  <c r="W279" i="23" s="1"/>
  <c r="K274" i="23" l="1"/>
  <c r="H274" i="23"/>
  <c r="I274" i="23" s="1"/>
  <c r="P280" i="23"/>
  <c r="R280" i="23"/>
  <c r="S280" i="23" s="1"/>
  <c r="B275" i="23" l="1"/>
  <c r="D275" i="23"/>
  <c r="E275" i="23" s="1"/>
  <c r="AB281" i="23"/>
  <c r="Q281" i="23"/>
  <c r="Z280" i="23"/>
  <c r="N276" i="23" l="1"/>
  <c r="L275" i="23"/>
  <c r="M275" i="23" s="1"/>
  <c r="J275" i="23"/>
  <c r="C276" i="23"/>
  <c r="AA280" i="23"/>
  <c r="T280" i="23"/>
  <c r="F275" i="23" l="1"/>
  <c r="K275" i="23" s="1"/>
  <c r="Y280" i="23"/>
  <c r="V280" i="23"/>
  <c r="W280" i="23" s="1"/>
  <c r="H275" i="23" l="1"/>
  <c r="I275" i="23" s="1"/>
  <c r="D276" i="23"/>
  <c r="E276" i="23" s="1"/>
  <c r="B276" i="23"/>
  <c r="P281" i="23"/>
  <c r="R281" i="23"/>
  <c r="S281" i="23" s="1"/>
  <c r="J276" i="23" l="1"/>
  <c r="L276" i="23"/>
  <c r="M276" i="23" s="1"/>
  <c r="N277" i="23"/>
  <c r="C277" i="23"/>
  <c r="Z281" i="23"/>
  <c r="AB282" i="23"/>
  <c r="Q282" i="23"/>
  <c r="F276" i="23" l="1"/>
  <c r="AA281" i="23"/>
  <c r="T281" i="23"/>
  <c r="K276" i="23" l="1"/>
  <c r="H276" i="23"/>
  <c r="I276" i="23" s="1"/>
  <c r="Y281" i="23"/>
  <c r="V281" i="23"/>
  <c r="W281" i="23" s="1"/>
  <c r="D277" i="23" l="1"/>
  <c r="E277" i="23" s="1"/>
  <c r="B277" i="23"/>
  <c r="R282" i="23"/>
  <c r="S282" i="23" s="1"/>
  <c r="P282" i="23"/>
  <c r="N278" i="23" l="1"/>
  <c r="C278" i="23"/>
  <c r="J277" i="23"/>
  <c r="L277" i="23"/>
  <c r="M277" i="23" s="1"/>
  <c r="AB283" i="23"/>
  <c r="Z282" i="23"/>
  <c r="AA282" i="23" s="1"/>
  <c r="Q283" i="23"/>
  <c r="F277" i="23" l="1"/>
  <c r="T282" i="23"/>
  <c r="K277" i="23" l="1"/>
  <c r="H277" i="23"/>
  <c r="I277" i="23" s="1"/>
  <c r="Y282" i="23"/>
  <c r="V282" i="23"/>
  <c r="W282" i="23" s="1"/>
  <c r="D278" i="23" l="1"/>
  <c r="E278" i="23" s="1"/>
  <c r="B278" i="23"/>
  <c r="R283" i="23"/>
  <c r="S283" i="23" s="1"/>
  <c r="P283" i="23"/>
  <c r="N279" i="23" l="1"/>
  <c r="J278" i="23"/>
  <c r="L278" i="23"/>
  <c r="M278" i="23" s="1"/>
  <c r="C279" i="23"/>
  <c r="AB284" i="23"/>
  <c r="Z283" i="23"/>
  <c r="AA283" i="23" s="1"/>
  <c r="Q284" i="23"/>
  <c r="T283" i="23" l="1"/>
  <c r="Y283" i="23" s="1"/>
  <c r="F278" i="23"/>
  <c r="V283" i="23" l="1"/>
  <c r="W283" i="23" s="1"/>
  <c r="K278" i="23"/>
  <c r="H278" i="23"/>
  <c r="I278" i="23" s="1"/>
  <c r="R284" i="23"/>
  <c r="S284" i="23" s="1"/>
  <c r="P284" i="23"/>
  <c r="D279" i="23" l="1"/>
  <c r="E279" i="23" s="1"/>
  <c r="B279" i="23"/>
  <c r="Z284" i="23"/>
  <c r="AA284" i="23" s="1"/>
  <c r="Q285" i="23"/>
  <c r="AB285" i="23"/>
  <c r="N280" i="23" l="1"/>
  <c r="C280" i="23"/>
  <c r="L279" i="23"/>
  <c r="M279" i="23" s="1"/>
  <c r="J279" i="23"/>
  <c r="T284" i="23"/>
  <c r="Y284" i="23" s="1"/>
  <c r="F279" i="23" l="1"/>
  <c r="V284" i="23"/>
  <c r="W284" i="23" s="1"/>
  <c r="P285" i="23" s="1"/>
  <c r="K279" i="23" l="1"/>
  <c r="H279" i="23"/>
  <c r="I279" i="23" s="1"/>
  <c r="R285" i="23"/>
  <c r="S285" i="23" s="1"/>
  <c r="Q286" i="23" s="1"/>
  <c r="B280" i="23" l="1"/>
  <c r="D280" i="23"/>
  <c r="E280" i="23" s="1"/>
  <c r="AB286" i="23"/>
  <c r="Z285" i="23"/>
  <c r="AA285" i="23" s="1"/>
  <c r="C281" i="23" l="1"/>
  <c r="L280" i="23"/>
  <c r="M280" i="23" s="1"/>
  <c r="J280" i="23"/>
  <c r="N281" i="23"/>
  <c r="T285" i="23"/>
  <c r="V285" i="23" s="1"/>
  <c r="W285" i="23" s="1"/>
  <c r="P286" i="23" s="1"/>
  <c r="F280" i="23" l="1"/>
  <c r="R286" i="23"/>
  <c r="S286" i="23" s="1"/>
  <c r="Z286" i="23" s="1"/>
  <c r="Y285" i="23"/>
  <c r="K280" i="23" l="1"/>
  <c r="H280" i="23"/>
  <c r="I280" i="23" s="1"/>
  <c r="Q287" i="23"/>
  <c r="AB287" i="23"/>
  <c r="AA286" i="23"/>
  <c r="T286" i="23"/>
  <c r="D281" i="23" l="1"/>
  <c r="E281" i="23" s="1"/>
  <c r="B281" i="23"/>
  <c r="V286" i="23"/>
  <c r="W286" i="23" s="1"/>
  <c r="Y286" i="23"/>
  <c r="N282" i="23" l="1"/>
  <c r="J281" i="23"/>
  <c r="C282" i="23"/>
  <c r="L281" i="23"/>
  <c r="M281" i="23" s="1"/>
  <c r="R287" i="23"/>
  <c r="S287" i="23" s="1"/>
  <c r="P287" i="23"/>
  <c r="F281" i="23" l="1"/>
  <c r="K281" i="23" s="1"/>
  <c r="Q288" i="23"/>
  <c r="Z287" i="23"/>
  <c r="AB288" i="23"/>
  <c r="H281" i="23" l="1"/>
  <c r="I281" i="23" s="1"/>
  <c r="B282" i="23"/>
  <c r="D282" i="23"/>
  <c r="E282" i="23" s="1"/>
  <c r="AA287" i="23"/>
  <c r="T287" i="23"/>
  <c r="C283" i="23" l="1"/>
  <c r="N283" i="23"/>
  <c r="L282" i="23"/>
  <c r="M282" i="23" s="1"/>
  <c r="J282" i="23"/>
  <c r="Y287" i="23"/>
  <c r="V287" i="23"/>
  <c r="W287" i="23" s="1"/>
  <c r="F282" i="23" l="1"/>
  <c r="R288" i="23"/>
  <c r="S288" i="23" s="1"/>
  <c r="P288" i="23"/>
  <c r="K282" i="23" l="1"/>
  <c r="H282" i="23"/>
  <c r="I282" i="23" s="1"/>
  <c r="Z288" i="23"/>
  <c r="AA288" i="23" s="1"/>
  <c r="Q289" i="23"/>
  <c r="AB289" i="23"/>
  <c r="B283" i="23" l="1"/>
  <c r="D283" i="23"/>
  <c r="E283" i="23" s="1"/>
  <c r="T288" i="23"/>
  <c r="Y288" i="23" s="1"/>
  <c r="J283" i="23" l="1"/>
  <c r="C284" i="23"/>
  <c r="N284" i="23"/>
  <c r="L283" i="23"/>
  <c r="M283" i="23" s="1"/>
  <c r="V288" i="23"/>
  <c r="W288" i="23" s="1"/>
  <c r="P289" i="23" s="1"/>
  <c r="F283" i="23" l="1"/>
  <c r="R289" i="23"/>
  <c r="S289" i="23" s="1"/>
  <c r="AB290" i="23" s="1"/>
  <c r="K283" i="23" l="1"/>
  <c r="H283" i="23"/>
  <c r="I283" i="23" s="1"/>
  <c r="Q290" i="23"/>
  <c r="Z289" i="23"/>
  <c r="AA289" i="23" s="1"/>
  <c r="B284" i="23" l="1"/>
  <c r="D284" i="23"/>
  <c r="E284" i="23" s="1"/>
  <c r="T289" i="23"/>
  <c r="N285" i="23" l="1"/>
  <c r="J284" i="23"/>
  <c r="L284" i="23"/>
  <c r="M284" i="23" s="1"/>
  <c r="C285" i="23"/>
  <c r="V289" i="23"/>
  <c r="W289" i="23" s="1"/>
  <c r="Y289" i="23"/>
  <c r="F284" i="23" l="1"/>
  <c r="R290" i="23"/>
  <c r="S290" i="23" s="1"/>
  <c r="P290" i="23"/>
  <c r="K284" i="23" l="1"/>
  <c r="H284" i="23"/>
  <c r="I284" i="23" s="1"/>
  <c r="Q291" i="23"/>
  <c r="Z290" i="23"/>
  <c r="AA290" i="23" s="1"/>
  <c r="AB291" i="23"/>
  <c r="B285" i="23" l="1"/>
  <c r="D285" i="23"/>
  <c r="E285" i="23" s="1"/>
  <c r="T290" i="23"/>
  <c r="C286" i="23" l="1"/>
  <c r="N286" i="23"/>
  <c r="L285" i="23"/>
  <c r="M285" i="23" s="1"/>
  <c r="J285" i="23"/>
  <c r="Y290" i="23"/>
  <c r="V290" i="23"/>
  <c r="W290" i="23" s="1"/>
  <c r="F285" i="23" l="1"/>
  <c r="K285" i="23" s="1"/>
  <c r="P291" i="23"/>
  <c r="R291" i="23"/>
  <c r="S291" i="23" s="1"/>
  <c r="H285" i="23" l="1"/>
  <c r="I285" i="23" s="1"/>
  <c r="D286" i="23"/>
  <c r="E286" i="23" s="1"/>
  <c r="B286" i="23"/>
  <c r="AB292" i="23"/>
  <c r="Q292" i="23"/>
  <c r="Z291" i="23"/>
  <c r="AA291" i="23" s="1"/>
  <c r="N287" i="23" l="1"/>
  <c r="J286" i="23"/>
  <c r="C287" i="23"/>
  <c r="L286" i="23"/>
  <c r="M286" i="23" s="1"/>
  <c r="T291" i="23"/>
  <c r="F286" i="23" l="1"/>
  <c r="Y291" i="23"/>
  <c r="V291" i="23"/>
  <c r="W291" i="23" s="1"/>
  <c r="K286" i="23" l="1"/>
  <c r="H286" i="23"/>
  <c r="I286" i="23" s="1"/>
  <c r="P292" i="23"/>
  <c r="R292" i="23"/>
  <c r="S292" i="23" s="1"/>
  <c r="B287" i="23" l="1"/>
  <c r="D287" i="23"/>
  <c r="E287" i="23" s="1"/>
  <c r="AB293" i="23"/>
  <c r="Q293" i="23"/>
  <c r="Z292" i="23"/>
  <c r="AA292" i="23" s="1"/>
  <c r="J287" i="23" l="1"/>
  <c r="N288" i="23"/>
  <c r="C288" i="23"/>
  <c r="L287" i="23"/>
  <c r="M287" i="23" s="1"/>
  <c r="T292" i="23"/>
  <c r="F287" i="23" l="1"/>
  <c r="Y292" i="23"/>
  <c r="V292" i="23"/>
  <c r="W292" i="23" s="1"/>
  <c r="K287" i="23" l="1"/>
  <c r="H287" i="23"/>
  <c r="I287" i="23" s="1"/>
  <c r="P293" i="23"/>
  <c r="R293" i="23"/>
  <c r="S293" i="23" s="1"/>
  <c r="D288" i="23" l="1"/>
  <c r="E288" i="23" s="1"/>
  <c r="B288" i="23"/>
  <c r="Q294" i="23"/>
  <c r="AB294" i="23"/>
  <c r="Z293" i="23"/>
  <c r="AA293" i="23" s="1"/>
  <c r="L288" i="23" l="1"/>
  <c r="M288" i="23" s="1"/>
  <c r="N289" i="23"/>
  <c r="J288" i="23"/>
  <c r="C289" i="23"/>
  <c r="F288" i="23"/>
  <c r="K288" i="23" s="1"/>
  <c r="T293" i="23"/>
  <c r="H288" i="23" l="1"/>
  <c r="I288" i="23" s="1"/>
  <c r="Y293" i="23"/>
  <c r="V293" i="23"/>
  <c r="W293" i="23" s="1"/>
  <c r="D289" i="23" l="1"/>
  <c r="E289" i="23" s="1"/>
  <c r="B289" i="23"/>
  <c r="R294" i="23"/>
  <c r="S294" i="23" s="1"/>
  <c r="P294" i="23"/>
  <c r="C290" i="23" l="1"/>
  <c r="N290" i="23"/>
  <c r="L289" i="23"/>
  <c r="M289" i="23" s="1"/>
  <c r="J289" i="23"/>
  <c r="AB295" i="23"/>
  <c r="Z294" i="23"/>
  <c r="AA294" i="23" s="1"/>
  <c r="Q295" i="23"/>
  <c r="F289" i="23" l="1"/>
  <c r="T294" i="23"/>
  <c r="K289" i="23" l="1"/>
  <c r="H289" i="23"/>
  <c r="I289" i="23" s="1"/>
  <c r="Y294" i="23"/>
  <c r="V294" i="23"/>
  <c r="W294" i="23" s="1"/>
  <c r="D290" i="23" l="1"/>
  <c r="E290" i="23" s="1"/>
  <c r="B290" i="23"/>
  <c r="R295" i="23"/>
  <c r="S295" i="23" s="1"/>
  <c r="P295" i="23"/>
  <c r="J290" i="23" l="1"/>
  <c r="C291" i="23"/>
  <c r="L290" i="23"/>
  <c r="M290" i="23" s="1"/>
  <c r="N291" i="23"/>
  <c r="Q296" i="23"/>
  <c r="Z295" i="23"/>
  <c r="AA295" i="23" s="1"/>
  <c r="AB296" i="23"/>
  <c r="F290" i="23" l="1"/>
  <c r="T295" i="23"/>
  <c r="Y295" i="23" s="1"/>
  <c r="K290" i="23" l="1"/>
  <c r="H290" i="23"/>
  <c r="I290" i="23" s="1"/>
  <c r="V295" i="23"/>
  <c r="W295" i="23" s="1"/>
  <c r="P296" i="23" s="1"/>
  <c r="B291" i="23" l="1"/>
  <c r="D291" i="23"/>
  <c r="E291" i="23" s="1"/>
  <c r="R296" i="23"/>
  <c r="S296" i="23" s="1"/>
  <c r="AB297" i="23" s="1"/>
  <c r="Z296" i="23" l="1"/>
  <c r="AA296" i="23" s="1"/>
  <c r="Q297" i="23"/>
  <c r="C292" i="23"/>
  <c r="J291" i="23"/>
  <c r="L291" i="23"/>
  <c r="M291" i="23" s="1"/>
  <c r="N292" i="23"/>
  <c r="T296" i="23"/>
  <c r="F291" i="23" l="1"/>
  <c r="V296" i="23"/>
  <c r="W296" i="23" s="1"/>
  <c r="Y296" i="23"/>
  <c r="K291" i="23" l="1"/>
  <c r="H291" i="23"/>
  <c r="I291" i="23" s="1"/>
  <c r="P297" i="23"/>
  <c r="R297" i="23"/>
  <c r="S297" i="23" s="1"/>
  <c r="D292" i="23" l="1"/>
  <c r="E292" i="23" s="1"/>
  <c r="B292" i="23"/>
  <c r="AB298" i="23"/>
  <c r="Z297" i="23"/>
  <c r="AA297" i="23" s="1"/>
  <c r="Q298" i="23"/>
  <c r="J292" i="23" l="1"/>
  <c r="L292" i="23"/>
  <c r="M292" i="23" s="1"/>
  <c r="C293" i="23"/>
  <c r="N293" i="23"/>
  <c r="T297" i="23"/>
  <c r="F292" i="23" l="1"/>
  <c r="K292" i="23" s="1"/>
  <c r="H292" i="23"/>
  <c r="I292" i="23" s="1"/>
  <c r="Y297" i="23"/>
  <c r="V297" i="23"/>
  <c r="W297" i="23" s="1"/>
  <c r="B293" i="23" l="1"/>
  <c r="D293" i="23"/>
  <c r="E293" i="23" s="1"/>
  <c r="P298" i="23"/>
  <c r="R298" i="23"/>
  <c r="S298" i="23" s="1"/>
  <c r="J293" i="23" l="1"/>
  <c r="N294" i="23"/>
  <c r="C294" i="23"/>
  <c r="L293" i="23"/>
  <c r="M293" i="23" s="1"/>
  <c r="Q299" i="23"/>
  <c r="AB299" i="23"/>
  <c r="Z298" i="23"/>
  <c r="AA298" i="23" s="1"/>
  <c r="F293" i="23" l="1"/>
  <c r="K293" i="23" s="1"/>
  <c r="T298" i="23"/>
  <c r="H293" i="23" l="1"/>
  <c r="I293" i="23" s="1"/>
  <c r="D294" i="23" s="1"/>
  <c r="E294" i="23" s="1"/>
  <c r="B294" i="23"/>
  <c r="Y298" i="23"/>
  <c r="V298" i="23"/>
  <c r="W298" i="23" s="1"/>
  <c r="L294" i="23" l="1"/>
  <c r="M294" i="23" s="1"/>
  <c r="N295" i="23"/>
  <c r="J294" i="23"/>
  <c r="C295" i="23"/>
  <c r="R299" i="23"/>
  <c r="S299" i="23" s="1"/>
  <c r="P299" i="23"/>
  <c r="F294" i="23" l="1"/>
  <c r="AB300" i="23"/>
  <c r="Z299" i="23"/>
  <c r="AA299" i="23" s="1"/>
  <c r="Q300" i="23"/>
  <c r="K294" i="23" l="1"/>
  <c r="H294" i="23"/>
  <c r="I294" i="23" s="1"/>
  <c r="T299" i="23"/>
  <c r="Y299" i="23" s="1"/>
  <c r="B295" i="23" l="1"/>
  <c r="D295" i="23"/>
  <c r="E295" i="23" s="1"/>
  <c r="V299" i="23"/>
  <c r="W299" i="23" s="1"/>
  <c r="P300" i="23" s="1"/>
  <c r="R300" i="23" l="1"/>
  <c r="S300" i="23" s="1"/>
  <c r="AB301" i="23" s="1"/>
  <c r="C296" i="23"/>
  <c r="J295" i="23"/>
  <c r="L295" i="23"/>
  <c r="M295" i="23" s="1"/>
  <c r="N296" i="23"/>
  <c r="Z300" i="23"/>
  <c r="AA300" i="23" s="1"/>
  <c r="Q301" i="23"/>
  <c r="F295" i="23" l="1"/>
  <c r="T300" i="23"/>
  <c r="Y300" i="23" s="1"/>
  <c r="L17" i="18" s="1"/>
  <c r="A33" i="18" s="1"/>
  <c r="K295" i="23" l="1"/>
  <c r="H295" i="23"/>
  <c r="I295" i="23" s="1"/>
  <c r="H33" i="18"/>
  <c r="B6" i="27"/>
  <c r="V300" i="23"/>
  <c r="W300" i="23" s="1"/>
  <c r="R301" i="23" s="1"/>
  <c r="S301" i="23" s="1"/>
  <c r="D296" i="23" l="1"/>
  <c r="E296" i="23" s="1"/>
  <c r="B296" i="23"/>
  <c r="B14" i="27"/>
  <c r="B47" i="18" s="1"/>
  <c r="D14" i="27"/>
  <c r="D47" i="18" s="1"/>
  <c r="E14" i="27"/>
  <c r="E47" i="18" s="1"/>
  <c r="G14" i="27"/>
  <c r="G47" i="18" s="1"/>
  <c r="H14" i="27"/>
  <c r="H47" i="18" s="1"/>
  <c r="I14" i="27"/>
  <c r="I47" i="18" s="1"/>
  <c r="C14" i="27"/>
  <c r="C47" i="18" s="1"/>
  <c r="F14" i="27"/>
  <c r="F47" i="18" s="1"/>
  <c r="P301" i="23"/>
  <c r="Q302" i="23"/>
  <c r="Z301" i="23"/>
  <c r="AA301" i="23" s="1"/>
  <c r="AB302" i="23"/>
  <c r="L296" i="23" l="1"/>
  <c r="M296" i="23" s="1"/>
  <c r="N297" i="23"/>
  <c r="J296" i="23"/>
  <c r="C297" i="23"/>
  <c r="F296" i="23"/>
  <c r="K296" i="23" s="1"/>
  <c r="T301" i="23"/>
  <c r="H296" i="23" l="1"/>
  <c r="I296" i="23" s="1"/>
  <c r="Y301" i="23"/>
  <c r="V301" i="23"/>
  <c r="W301" i="23" s="1"/>
  <c r="D297" i="23" l="1"/>
  <c r="E297" i="23" s="1"/>
  <c r="B297" i="23"/>
  <c r="P302" i="23"/>
  <c r="R302" i="23"/>
  <c r="S302" i="23" s="1"/>
  <c r="C298" i="23" l="1"/>
  <c r="N298" i="23"/>
  <c r="L297" i="23"/>
  <c r="M297" i="23" s="1"/>
  <c r="J297" i="23"/>
  <c r="Z302" i="23"/>
  <c r="AA302" i="23" s="1"/>
  <c r="AB303" i="23"/>
  <c r="Q303" i="23"/>
  <c r="F297" i="23" l="1"/>
  <c r="T302" i="23"/>
  <c r="K297" i="23" l="1"/>
  <c r="H297" i="23"/>
  <c r="I297" i="23" s="1"/>
  <c r="Y302" i="23"/>
  <c r="V302" i="23"/>
  <c r="W302" i="23" s="1"/>
  <c r="B298" i="23" l="1"/>
  <c r="D298" i="23"/>
  <c r="E298" i="23" s="1"/>
  <c r="P303" i="23"/>
  <c r="R303" i="23"/>
  <c r="S303" i="23" s="1"/>
  <c r="J298" i="23" l="1"/>
  <c r="N299" i="23"/>
  <c r="C299" i="23"/>
  <c r="L298" i="23"/>
  <c r="M298" i="23" s="1"/>
  <c r="AB304" i="23"/>
  <c r="Q304" i="23"/>
  <c r="Z303" i="23"/>
  <c r="AA303" i="23" s="1"/>
  <c r="T303" i="23" l="1"/>
  <c r="Y303" i="23" s="1"/>
  <c r="F298" i="23"/>
  <c r="K298" i="23" s="1"/>
  <c r="V303" i="23"/>
  <c r="W303" i="23" s="1"/>
  <c r="H298" i="23" l="1"/>
  <c r="I298" i="23" s="1"/>
  <c r="D299" i="23" s="1"/>
  <c r="E299" i="23" s="1"/>
  <c r="B299" i="23"/>
  <c r="R304" i="23"/>
  <c r="S304" i="23" s="1"/>
  <c r="P304" i="23"/>
  <c r="L299" i="23" l="1"/>
  <c r="M299" i="23" s="1"/>
  <c r="J299" i="23"/>
  <c r="N300" i="23"/>
  <c r="C300" i="23"/>
  <c r="F299" i="23"/>
  <c r="K299" i="23" s="1"/>
  <c r="AB305" i="23"/>
  <c r="Q305" i="23"/>
  <c r="Z304" i="23"/>
  <c r="AA304" i="23" s="1"/>
  <c r="H299" i="23" l="1"/>
  <c r="I299" i="23" s="1"/>
  <c r="T304" i="23"/>
  <c r="B300" i="23" l="1"/>
  <c r="D300" i="23"/>
  <c r="E300" i="23" s="1"/>
  <c r="Y304" i="23"/>
  <c r="V304" i="23"/>
  <c r="W304" i="23" s="1"/>
  <c r="J300" i="23" l="1"/>
  <c r="L300" i="23"/>
  <c r="M300" i="23" s="1"/>
  <c r="C301" i="23"/>
  <c r="N301" i="23"/>
  <c r="R305" i="23"/>
  <c r="S305" i="23" s="1"/>
  <c r="P305" i="23"/>
  <c r="F300" i="23" l="1"/>
  <c r="K300" i="23" s="1"/>
  <c r="K17" i="18"/>
  <c r="A31" i="18" s="1"/>
  <c r="AB306" i="23"/>
  <c r="Z305" i="23"/>
  <c r="AA305" i="23" s="1"/>
  <c r="Q306" i="23"/>
  <c r="H300" i="23" l="1"/>
  <c r="I300" i="23" s="1"/>
  <c r="H31" i="18"/>
  <c r="B5" i="27"/>
  <c r="B301" i="23"/>
  <c r="D301" i="23"/>
  <c r="E301" i="23" s="1"/>
  <c r="T305" i="23"/>
  <c r="Y305" i="23" s="1"/>
  <c r="V305" i="23" l="1"/>
  <c r="W305" i="23" s="1"/>
  <c r="L301" i="23"/>
  <c r="M301" i="23" s="1"/>
  <c r="C302" i="23"/>
  <c r="N302" i="23"/>
  <c r="J301" i="23"/>
  <c r="F301" i="23"/>
  <c r="K301" i="23" s="1"/>
  <c r="B13" i="27"/>
  <c r="B46" i="18" s="1"/>
  <c r="C13" i="27"/>
  <c r="C46" i="18" s="1"/>
  <c r="I13" i="27"/>
  <c r="I46" i="18" s="1"/>
  <c r="D13" i="27"/>
  <c r="D46" i="18" s="1"/>
  <c r="F13" i="27"/>
  <c r="F46" i="18" s="1"/>
  <c r="G13" i="27"/>
  <c r="G46" i="18" s="1"/>
  <c r="H13" i="27"/>
  <c r="H46" i="18" s="1"/>
  <c r="E13" i="27"/>
  <c r="E46" i="18" s="1"/>
  <c r="R306" i="23"/>
  <c r="S306" i="23" s="1"/>
  <c r="P306" i="23"/>
  <c r="H301" i="23" l="1"/>
  <c r="I301" i="23" s="1"/>
  <c r="AB307" i="23"/>
  <c r="Z306" i="23"/>
  <c r="AA306" i="23" s="1"/>
  <c r="Q307" i="23"/>
  <c r="B302" i="23" l="1"/>
  <c r="D302" i="23"/>
  <c r="E302" i="23" s="1"/>
  <c r="T306" i="23"/>
  <c r="N303" i="23" l="1"/>
  <c r="C303" i="23"/>
  <c r="L302" i="23"/>
  <c r="M302" i="23" s="1"/>
  <c r="J302" i="23"/>
  <c r="Y306" i="23"/>
  <c r="V306" i="23"/>
  <c r="W306" i="23" s="1"/>
  <c r="F302" i="23" l="1"/>
  <c r="R307" i="23"/>
  <c r="S307" i="23" s="1"/>
  <c r="P307" i="23"/>
  <c r="K302" i="23" l="1"/>
  <c r="H302" i="23"/>
  <c r="I302" i="23" s="1"/>
  <c r="Z307" i="23"/>
  <c r="AA307" i="23" s="1"/>
  <c r="Q308" i="23"/>
  <c r="AB308" i="23"/>
  <c r="D303" i="23" l="1"/>
  <c r="E303" i="23" s="1"/>
  <c r="B303" i="23"/>
  <c r="T307" i="23"/>
  <c r="N304" i="23" l="1"/>
  <c r="L303" i="23"/>
  <c r="M303" i="23" s="1"/>
  <c r="C304" i="23"/>
  <c r="J303" i="23"/>
  <c r="Y307" i="23"/>
  <c r="V307" i="23"/>
  <c r="W307" i="23" s="1"/>
  <c r="F303" i="23" l="1"/>
  <c r="P308" i="23"/>
  <c r="R308" i="23"/>
  <c r="S308" i="23" s="1"/>
  <c r="K303" i="23" l="1"/>
  <c r="H303" i="23"/>
  <c r="I303" i="23" s="1"/>
  <c r="Z308" i="23"/>
  <c r="AA308" i="23" s="1"/>
  <c r="Q309" i="23"/>
  <c r="AB309" i="23"/>
  <c r="B304" i="23" l="1"/>
  <c r="D304" i="23"/>
  <c r="E304" i="23" s="1"/>
  <c r="T308" i="23"/>
  <c r="Y308" i="23" s="1"/>
  <c r="J304" i="23" l="1"/>
  <c r="L304" i="23"/>
  <c r="M304" i="23" s="1"/>
  <c r="C305" i="23"/>
  <c r="N305" i="23"/>
  <c r="V308" i="23"/>
  <c r="W308" i="23" s="1"/>
  <c r="R309" i="23" s="1"/>
  <c r="S309" i="23" s="1"/>
  <c r="P309" i="23"/>
  <c r="F304" i="23" l="1"/>
  <c r="K304" i="23" s="1"/>
  <c r="H304" i="23"/>
  <c r="I304" i="23" s="1"/>
  <c r="Z309" i="23"/>
  <c r="AA309" i="23" s="1"/>
  <c r="AB310" i="23"/>
  <c r="Q310" i="23"/>
  <c r="D305" i="23" l="1"/>
  <c r="E305" i="23" s="1"/>
  <c r="B305" i="23"/>
  <c r="T309" i="23"/>
  <c r="C306" i="23" l="1"/>
  <c r="L305" i="23"/>
  <c r="M305" i="23" s="1"/>
  <c r="N306" i="23"/>
  <c r="J305" i="23"/>
  <c r="Y309" i="23"/>
  <c r="V309" i="23"/>
  <c r="W309" i="23" s="1"/>
  <c r="F305" i="23" l="1"/>
  <c r="K305" i="23" s="1"/>
  <c r="H305" i="23"/>
  <c r="I305" i="23" s="1"/>
  <c r="R310" i="23"/>
  <c r="S310" i="23" s="1"/>
  <c r="P310" i="23"/>
  <c r="B306" i="23" l="1"/>
  <c r="D306" i="23"/>
  <c r="E306" i="23" s="1"/>
  <c r="Z310" i="23"/>
  <c r="AA310" i="23" s="1"/>
  <c r="Q311" i="23"/>
  <c r="AB311" i="23"/>
  <c r="N307" i="23" l="1"/>
  <c r="L306" i="23"/>
  <c r="M306" i="23" s="1"/>
  <c r="C307" i="23"/>
  <c r="J306" i="23"/>
  <c r="T310" i="23"/>
  <c r="F306" i="23" l="1"/>
  <c r="K306" i="23" s="1"/>
  <c r="Y310" i="23"/>
  <c r="V310" i="23"/>
  <c r="W310" i="23" s="1"/>
  <c r="H306" i="23" l="1"/>
  <c r="I306" i="23" s="1"/>
  <c r="B307" i="23"/>
  <c r="D307" i="23"/>
  <c r="E307" i="23" s="1"/>
  <c r="P311" i="23"/>
  <c r="R311" i="23"/>
  <c r="S311" i="23" s="1"/>
  <c r="C308" i="23" l="1"/>
  <c r="N308" i="23"/>
  <c r="J307" i="23"/>
  <c r="L307" i="23"/>
  <c r="M307" i="23" s="1"/>
  <c r="AB312" i="23"/>
  <c r="Q312" i="23"/>
  <c r="Z311" i="23"/>
  <c r="AA311" i="23" s="1"/>
  <c r="F307" i="23" l="1"/>
  <c r="T311" i="23"/>
  <c r="K307" i="23" l="1"/>
  <c r="H307" i="23"/>
  <c r="I307" i="23" s="1"/>
  <c r="Y311" i="23"/>
  <c r="V311" i="23"/>
  <c r="W311" i="23" s="1"/>
  <c r="B308" i="23" l="1"/>
  <c r="D308" i="23"/>
  <c r="E308" i="23" s="1"/>
  <c r="R312" i="23"/>
  <c r="S312" i="23" s="1"/>
  <c r="P312" i="23"/>
  <c r="N309" i="23" l="1"/>
  <c r="J308" i="23"/>
  <c r="C309" i="23"/>
  <c r="L308" i="23"/>
  <c r="M308" i="23" s="1"/>
  <c r="AB313" i="23"/>
  <c r="Q313" i="23"/>
  <c r="Z312" i="23"/>
  <c r="AA312" i="23" s="1"/>
  <c r="T312" i="23" l="1"/>
  <c r="Y312" i="23" s="1"/>
  <c r="F308" i="23"/>
  <c r="K308" i="23" s="1"/>
  <c r="V312" i="23"/>
  <c r="W312" i="23" s="1"/>
  <c r="R313" i="23" s="1"/>
  <c r="S313" i="23" s="1"/>
  <c r="H308" i="23" l="1"/>
  <c r="I308" i="23" s="1"/>
  <c r="P313" i="23"/>
  <c r="D309" i="23"/>
  <c r="E309" i="23" s="1"/>
  <c r="B309" i="23"/>
  <c r="Z313" i="23"/>
  <c r="AA313" i="23" s="1"/>
  <c r="Q314" i="23"/>
  <c r="AB314" i="23"/>
  <c r="J309" i="23" l="1"/>
  <c r="L309" i="23"/>
  <c r="M309" i="23" s="1"/>
  <c r="N310" i="23"/>
  <c r="C310" i="23"/>
  <c r="T313" i="23"/>
  <c r="F309" i="23" l="1"/>
  <c r="K309" i="23" s="1"/>
  <c r="Y313" i="23"/>
  <c r="V313" i="23"/>
  <c r="W313" i="23" s="1"/>
  <c r="H309" i="23" l="1"/>
  <c r="I309" i="23" s="1"/>
  <c r="D310" i="23"/>
  <c r="E310" i="23" s="1"/>
  <c r="B310" i="23"/>
  <c r="P314" i="23"/>
  <c r="R314" i="23"/>
  <c r="S314" i="23" s="1"/>
  <c r="L310" i="23" l="1"/>
  <c r="M310" i="23" s="1"/>
  <c r="J310" i="23"/>
  <c r="C311" i="23"/>
  <c r="N311" i="23"/>
  <c r="F310" i="23"/>
  <c r="K310" i="23" s="1"/>
  <c r="Q315" i="23"/>
  <c r="AB315" i="23"/>
  <c r="Z314" i="23"/>
  <c r="AA314" i="23" s="1"/>
  <c r="T314" i="23" l="1"/>
  <c r="Y314" i="23" s="1"/>
  <c r="H310" i="23"/>
  <c r="I310" i="23" s="1"/>
  <c r="D311" i="23" l="1"/>
  <c r="E311" i="23" s="1"/>
  <c r="B311" i="23"/>
  <c r="V314" i="23"/>
  <c r="W314" i="23" s="1"/>
  <c r="P315" i="23" s="1"/>
  <c r="R315" i="23" l="1"/>
  <c r="S315" i="23" s="1"/>
  <c r="J311" i="23"/>
  <c r="N312" i="23"/>
  <c r="C312" i="23"/>
  <c r="L311" i="23"/>
  <c r="M311" i="23" s="1"/>
  <c r="F311" i="23"/>
  <c r="K311" i="23" s="1"/>
  <c r="Z315" i="23"/>
  <c r="AA315" i="23" s="1"/>
  <c r="AB316" i="23"/>
  <c r="Q316" i="23"/>
  <c r="H311" i="23" l="1"/>
  <c r="I311" i="23" s="1"/>
  <c r="T315" i="23"/>
  <c r="V315" i="23" s="1"/>
  <c r="W315" i="23" s="1"/>
  <c r="Y315" i="23" l="1"/>
  <c r="B312" i="23"/>
  <c r="D312" i="23"/>
  <c r="E312" i="23" s="1"/>
  <c r="R316" i="23"/>
  <c r="S316" i="23" s="1"/>
  <c r="P316" i="23"/>
  <c r="L312" i="23" l="1"/>
  <c r="M312" i="23" s="1"/>
  <c r="C313" i="23"/>
  <c r="J312" i="23"/>
  <c r="N313" i="23"/>
  <c r="F312" i="23"/>
  <c r="K312" i="23" s="1"/>
  <c r="Z316" i="23"/>
  <c r="AB317" i="23"/>
  <c r="Q317" i="23"/>
  <c r="H312" i="23" l="1"/>
  <c r="I312" i="23" s="1"/>
  <c r="D313" i="23"/>
  <c r="E313" i="23" s="1"/>
  <c r="B313" i="23"/>
  <c r="AA316" i="23"/>
  <c r="T316" i="23"/>
  <c r="L313" i="23" l="1"/>
  <c r="M313" i="23" s="1"/>
  <c r="J313" i="23"/>
  <c r="N314" i="23"/>
  <c r="C314" i="23"/>
  <c r="F313" i="23"/>
  <c r="K313" i="23" s="1"/>
  <c r="V316" i="23"/>
  <c r="W316" i="23" s="1"/>
  <c r="Y316" i="23"/>
  <c r="H313" i="23" l="1"/>
  <c r="I313" i="23" s="1"/>
  <c r="R317" i="23"/>
  <c r="S317" i="23" s="1"/>
  <c r="P317" i="23"/>
  <c r="B314" i="23" l="1"/>
  <c r="D314" i="23"/>
  <c r="E314" i="23" s="1"/>
  <c r="Q318" i="23"/>
  <c r="Z317" i="23"/>
  <c r="AB318" i="23"/>
  <c r="C315" i="23" l="1"/>
  <c r="N315" i="23"/>
  <c r="L314" i="23"/>
  <c r="M314" i="23" s="1"/>
  <c r="J314" i="23"/>
  <c r="AA317" i="23"/>
  <c r="T317" i="23"/>
  <c r="F314" i="23" l="1"/>
  <c r="V317" i="23"/>
  <c r="W317" i="23" s="1"/>
  <c r="Y317" i="23"/>
  <c r="K314" i="23" l="1"/>
  <c r="H314" i="23"/>
  <c r="I314" i="23" s="1"/>
  <c r="P318" i="23"/>
  <c r="R318" i="23"/>
  <c r="S318" i="23" s="1"/>
  <c r="B315" i="23" l="1"/>
  <c r="D315" i="23"/>
  <c r="E315" i="23" s="1"/>
  <c r="Z318" i="23"/>
  <c r="AA318" i="23" s="1"/>
  <c r="AB319" i="23"/>
  <c r="Q319" i="23"/>
  <c r="J315" i="23" l="1"/>
  <c r="L315" i="23"/>
  <c r="M315" i="23" s="1"/>
  <c r="N316" i="23"/>
  <c r="C316" i="23"/>
  <c r="T318" i="23"/>
  <c r="F315" i="23" l="1"/>
  <c r="K315" i="23" s="1"/>
  <c r="Y318" i="23"/>
  <c r="V318" i="23"/>
  <c r="W318" i="23" s="1"/>
  <c r="H315" i="23" l="1"/>
  <c r="I315" i="23" s="1"/>
  <c r="B316" i="23"/>
  <c r="D316" i="23"/>
  <c r="E316" i="23" s="1"/>
  <c r="P319" i="23"/>
  <c r="R319" i="23"/>
  <c r="S319" i="23" s="1"/>
  <c r="L316" i="23" l="1"/>
  <c r="M316" i="23" s="1"/>
  <c r="N317" i="23"/>
  <c r="C317" i="23"/>
  <c r="J316" i="23"/>
  <c r="Z319" i="23"/>
  <c r="AA319" i="23" s="1"/>
  <c r="AB320" i="23"/>
  <c r="Q320" i="23"/>
  <c r="T319" i="23" l="1"/>
  <c r="F316" i="23"/>
  <c r="V319" i="23"/>
  <c r="W319" i="23" s="1"/>
  <c r="Y319" i="23"/>
  <c r="K316" i="23" l="1"/>
  <c r="H316" i="23"/>
  <c r="I316" i="23" s="1"/>
  <c r="R320" i="23"/>
  <c r="S320" i="23" s="1"/>
  <c r="P320" i="23"/>
  <c r="B317" i="23" l="1"/>
  <c r="D317" i="23"/>
  <c r="E317" i="23" s="1"/>
  <c r="AB321" i="23"/>
  <c r="Z320" i="23"/>
  <c r="Q321" i="23"/>
  <c r="J317" i="23" l="1"/>
  <c r="N318" i="23"/>
  <c r="L317" i="23"/>
  <c r="M317" i="23" s="1"/>
  <c r="C318" i="23"/>
  <c r="AA320" i="23"/>
  <c r="T320" i="23"/>
  <c r="F317" i="23" l="1"/>
  <c r="Y320" i="23"/>
  <c r="V320" i="23"/>
  <c r="W320" i="23" s="1"/>
  <c r="K317" i="23" l="1"/>
  <c r="H317" i="23"/>
  <c r="I317" i="23" s="1"/>
  <c r="P321" i="23"/>
  <c r="R321" i="23"/>
  <c r="S321" i="23" s="1"/>
  <c r="B318" i="23" l="1"/>
  <c r="D318" i="23"/>
  <c r="E318" i="23" s="1"/>
  <c r="Z321" i="23"/>
  <c r="AA321" i="23" s="1"/>
  <c r="Q322" i="23"/>
  <c r="AB322" i="23"/>
  <c r="T321" i="23" l="1"/>
  <c r="V321" i="23" s="1"/>
  <c r="W321" i="23" s="1"/>
  <c r="R322" i="23" s="1"/>
  <c r="S322" i="23" s="1"/>
  <c r="N319" i="23"/>
  <c r="L318" i="23"/>
  <c r="M318" i="23" s="1"/>
  <c r="C319" i="23"/>
  <c r="J318" i="23"/>
  <c r="Y321" i="23"/>
  <c r="P322" i="23"/>
  <c r="Q323" i="23"/>
  <c r="AB323" i="23"/>
  <c r="Z322" i="23"/>
  <c r="AA322" i="23" s="1"/>
  <c r="F318" i="23" l="1"/>
  <c r="K318" i="23" s="1"/>
  <c r="H318" i="23"/>
  <c r="I318" i="23" s="1"/>
  <c r="T322" i="23"/>
  <c r="B319" i="23" l="1"/>
  <c r="D319" i="23"/>
  <c r="E319" i="23" s="1"/>
  <c r="Y322" i="23"/>
  <c r="V322" i="23"/>
  <c r="W322" i="23" s="1"/>
  <c r="L319" i="23" l="1"/>
  <c r="M319" i="23" s="1"/>
  <c r="J319" i="23"/>
  <c r="C320" i="23"/>
  <c r="N320" i="23"/>
  <c r="F319" i="23"/>
  <c r="K319" i="23" s="1"/>
  <c r="R323" i="23"/>
  <c r="S323" i="23" s="1"/>
  <c r="P323" i="23"/>
  <c r="H319" i="23" l="1"/>
  <c r="I319" i="23" s="1"/>
  <c r="AB324" i="23"/>
  <c r="Z323" i="23"/>
  <c r="AA323" i="23" s="1"/>
  <c r="Q324" i="23"/>
  <c r="B320" i="23" l="1"/>
  <c r="D320" i="23"/>
  <c r="E320" i="23" s="1"/>
  <c r="T323" i="23"/>
  <c r="L320" i="23" l="1"/>
  <c r="M320" i="23" s="1"/>
  <c r="C321" i="23"/>
  <c r="J320" i="23"/>
  <c r="N321" i="23"/>
  <c r="F320" i="23"/>
  <c r="K320" i="23" s="1"/>
  <c r="Y323" i="23"/>
  <c r="V323" i="23"/>
  <c r="W323" i="23" s="1"/>
  <c r="H320" i="23" l="1"/>
  <c r="I320" i="23" s="1"/>
  <c r="P324" i="23"/>
  <c r="R324" i="23"/>
  <c r="S324" i="23" s="1"/>
  <c r="D321" i="23" l="1"/>
  <c r="E321" i="23" s="1"/>
  <c r="B321" i="23"/>
  <c r="AB325" i="23"/>
  <c r="Q325" i="23"/>
  <c r="Z324" i="23"/>
  <c r="AA324" i="23" s="1"/>
  <c r="J321" i="23" l="1"/>
  <c r="C322" i="23"/>
  <c r="N322" i="23"/>
  <c r="L321" i="23"/>
  <c r="M321" i="23" s="1"/>
  <c r="T324" i="23"/>
  <c r="Y324" i="23" s="1"/>
  <c r="F321" i="23" l="1"/>
  <c r="K321" i="23" s="1"/>
  <c r="V324" i="23"/>
  <c r="W324" i="23" s="1"/>
  <c r="R325" i="23" s="1"/>
  <c r="S325" i="23" s="1"/>
  <c r="H321" i="23" l="1"/>
  <c r="I321" i="23" s="1"/>
  <c r="B322" i="23"/>
  <c r="D322" i="23"/>
  <c r="E322" i="23" s="1"/>
  <c r="P325" i="23"/>
  <c r="Q326" i="23"/>
  <c r="Z325" i="23"/>
  <c r="AA325" i="23" s="1"/>
  <c r="AB326" i="23"/>
  <c r="C323" i="23" l="1"/>
  <c r="L322" i="23"/>
  <c r="M322" i="23" s="1"/>
  <c r="J322" i="23"/>
  <c r="N323" i="23"/>
  <c r="T325" i="23"/>
  <c r="Y325" i="23" s="1"/>
  <c r="F322" i="23" l="1"/>
  <c r="V325" i="23"/>
  <c r="W325" i="23" s="1"/>
  <c r="P326" i="23" s="1"/>
  <c r="R326" i="23" l="1"/>
  <c r="S326" i="23" s="1"/>
  <c r="K322" i="23"/>
  <c r="H322" i="23"/>
  <c r="I322" i="23" s="1"/>
  <c r="AB327" i="23"/>
  <c r="Q327" i="23"/>
  <c r="Z326" i="23"/>
  <c r="AA326" i="23" s="1"/>
  <c r="D323" i="23" l="1"/>
  <c r="E323" i="23" s="1"/>
  <c r="B323" i="23"/>
  <c r="T326" i="23"/>
  <c r="C324" i="23" l="1"/>
  <c r="N324" i="23"/>
  <c r="J323" i="23"/>
  <c r="L323" i="23"/>
  <c r="M323" i="23" s="1"/>
  <c r="Y326" i="23"/>
  <c r="V326" i="23"/>
  <c r="W326" i="23" s="1"/>
  <c r="F323" i="23" l="1"/>
  <c r="K323" i="23" s="1"/>
  <c r="R327" i="23"/>
  <c r="S327" i="23" s="1"/>
  <c r="P327" i="23"/>
  <c r="H323" i="23" l="1"/>
  <c r="I323" i="23" s="1"/>
  <c r="B324" i="23"/>
  <c r="D324" i="23"/>
  <c r="E324" i="23" s="1"/>
  <c r="Z327" i="23"/>
  <c r="AA327" i="23" s="1"/>
  <c r="AB328" i="23"/>
  <c r="Q328" i="23"/>
  <c r="N325" i="23" l="1"/>
  <c r="L324" i="23"/>
  <c r="M324" i="23" s="1"/>
  <c r="C325" i="23"/>
  <c r="J324" i="23"/>
  <c r="T327" i="23"/>
  <c r="Y327" i="23" s="1"/>
  <c r="F324" i="23" l="1"/>
  <c r="V327" i="23"/>
  <c r="W327" i="23" s="1"/>
  <c r="P328" i="23" s="1"/>
  <c r="K324" i="23" l="1"/>
  <c r="H324" i="23"/>
  <c r="I324" i="23" s="1"/>
  <c r="R328" i="23"/>
  <c r="S328" i="23" s="1"/>
  <c r="AB329" i="23" s="1"/>
  <c r="B325" i="23" l="1"/>
  <c r="D325" i="23"/>
  <c r="E325" i="23" s="1"/>
  <c r="Q329" i="23"/>
  <c r="Z328" i="23"/>
  <c r="AA328" i="23" s="1"/>
  <c r="L325" i="23" l="1"/>
  <c r="M325" i="23" s="1"/>
  <c r="C326" i="23"/>
  <c r="J325" i="23"/>
  <c r="N326" i="23"/>
  <c r="F325" i="23"/>
  <c r="K325" i="23" s="1"/>
  <c r="T328" i="23"/>
  <c r="Y328" i="23" s="1"/>
  <c r="H325" i="23" l="1"/>
  <c r="I325" i="23" s="1"/>
  <c r="V328" i="23"/>
  <c r="W328" i="23" s="1"/>
  <c r="P329" i="23" s="1"/>
  <c r="D326" i="23" l="1"/>
  <c r="E326" i="23" s="1"/>
  <c r="B326" i="23"/>
  <c r="R329" i="23"/>
  <c r="S329" i="23" s="1"/>
  <c r="Q330" i="23" s="1"/>
  <c r="J326" i="23" l="1"/>
  <c r="N327" i="23"/>
  <c r="C327" i="23"/>
  <c r="L326" i="23"/>
  <c r="M326" i="23" s="1"/>
  <c r="AB330" i="23"/>
  <c r="Z329" i="23"/>
  <c r="AA329" i="23" s="1"/>
  <c r="F326" i="23" l="1"/>
  <c r="T329" i="23"/>
  <c r="Y329" i="23" s="1"/>
  <c r="K326" i="23" l="1"/>
  <c r="H326" i="23"/>
  <c r="I326" i="23" s="1"/>
  <c r="V329" i="23"/>
  <c r="W329" i="23" s="1"/>
  <c r="R330" i="23" s="1"/>
  <c r="S330" i="23" s="1"/>
  <c r="AB331" i="23" s="1"/>
  <c r="B327" i="23" l="1"/>
  <c r="D327" i="23"/>
  <c r="E327" i="23" s="1"/>
  <c r="Z330" i="23"/>
  <c r="AA330" i="23" s="1"/>
  <c r="P330" i="23"/>
  <c r="Q331" i="23"/>
  <c r="C328" i="23" l="1"/>
  <c r="N328" i="23"/>
  <c r="J327" i="23"/>
  <c r="L327" i="23"/>
  <c r="M327" i="23" s="1"/>
  <c r="T330" i="23"/>
  <c r="F327" i="23" l="1"/>
  <c r="K327" i="23" s="1"/>
  <c r="H327" i="23"/>
  <c r="I327" i="23" s="1"/>
  <c r="V330" i="23"/>
  <c r="W330" i="23" s="1"/>
  <c r="Y330" i="23"/>
  <c r="B328" i="23" l="1"/>
  <c r="D328" i="23"/>
  <c r="E328" i="23" s="1"/>
  <c r="R331" i="23"/>
  <c r="S331" i="23" s="1"/>
  <c r="P331" i="23"/>
  <c r="N329" i="23" l="1"/>
  <c r="C329" i="23"/>
  <c r="L328" i="23"/>
  <c r="M328" i="23" s="1"/>
  <c r="J328" i="23"/>
  <c r="Q332" i="23"/>
  <c r="AB332" i="23"/>
  <c r="Z331" i="23"/>
  <c r="AA331" i="23" s="1"/>
  <c r="F328" i="23" l="1"/>
  <c r="T331" i="23"/>
  <c r="K328" i="23" l="1"/>
  <c r="H328" i="23"/>
  <c r="I328" i="23" s="1"/>
  <c r="V331" i="23"/>
  <c r="W331" i="23" s="1"/>
  <c r="Y331" i="23"/>
  <c r="B329" i="23" l="1"/>
  <c r="D329" i="23"/>
  <c r="E329" i="23" s="1"/>
  <c r="R332" i="23"/>
  <c r="S332" i="23" s="1"/>
  <c r="P332" i="23"/>
  <c r="C330" i="23" l="1"/>
  <c r="L329" i="23"/>
  <c r="M329" i="23" s="1"/>
  <c r="J329" i="23"/>
  <c r="N330" i="23"/>
  <c r="Z332" i="23"/>
  <c r="AA332" i="23" s="1"/>
  <c r="AB333" i="23"/>
  <c r="Q333" i="23"/>
  <c r="F329" i="23" l="1"/>
  <c r="T332" i="23"/>
  <c r="H329" i="23" l="1"/>
  <c r="I329" i="23" s="1"/>
  <c r="K329" i="23"/>
  <c r="Y332" i="23"/>
  <c r="V332" i="23"/>
  <c r="W332" i="23" s="1"/>
  <c r="B330" i="23" l="1"/>
  <c r="D330" i="23"/>
  <c r="E330" i="23" s="1"/>
  <c r="P333" i="23"/>
  <c r="R333" i="23"/>
  <c r="S333" i="23" s="1"/>
  <c r="N331" i="23" l="1"/>
  <c r="L330" i="23"/>
  <c r="M330" i="23" s="1"/>
  <c r="C331" i="23"/>
  <c r="J330" i="23"/>
  <c r="Z333" i="23"/>
  <c r="AA333" i="23" s="1"/>
  <c r="AB334" i="23"/>
  <c r="Q334" i="23"/>
  <c r="T333" i="23" l="1"/>
  <c r="Y333" i="23" s="1"/>
  <c r="F330" i="23"/>
  <c r="V333" i="23"/>
  <c r="W333" i="23" s="1"/>
  <c r="K330" i="23" l="1"/>
  <c r="H330" i="23"/>
  <c r="I330" i="23" s="1"/>
  <c r="P334" i="23"/>
  <c r="R334" i="23"/>
  <c r="S334" i="23" s="1"/>
  <c r="B331" i="23" l="1"/>
  <c r="D331" i="23"/>
  <c r="E331" i="23" s="1"/>
  <c r="Z334" i="23"/>
  <c r="AA334" i="23" s="1"/>
  <c r="Q335" i="23"/>
  <c r="AB335" i="23"/>
  <c r="N332" i="23" l="1"/>
  <c r="J331" i="23"/>
  <c r="L331" i="23"/>
  <c r="M331" i="23" s="1"/>
  <c r="C332" i="23"/>
  <c r="T334" i="23"/>
  <c r="V334" i="23" s="1"/>
  <c r="W334" i="23" s="1"/>
  <c r="Y334" i="23" l="1"/>
  <c r="F331" i="23"/>
  <c r="R335" i="23"/>
  <c r="S335" i="23" s="1"/>
  <c r="P335" i="23"/>
  <c r="K331" i="23" l="1"/>
  <c r="H331" i="23"/>
  <c r="I331" i="23" s="1"/>
  <c r="Z335" i="23"/>
  <c r="AB336" i="23"/>
  <c r="Q336" i="23"/>
  <c r="D332" i="23" l="1"/>
  <c r="E332" i="23" s="1"/>
  <c r="B332" i="23"/>
  <c r="AA335" i="23"/>
  <c r="T335" i="23"/>
  <c r="C333" i="23" l="1"/>
  <c r="N333" i="23"/>
  <c r="J332" i="23"/>
  <c r="L332" i="23"/>
  <c r="M332" i="23" s="1"/>
  <c r="Y335" i="23"/>
  <c r="V335" i="23"/>
  <c r="W335" i="23" s="1"/>
  <c r="F332" i="23" l="1"/>
  <c r="K332" i="23" s="1"/>
  <c r="R336" i="23"/>
  <c r="S336" i="23" s="1"/>
  <c r="P336" i="23"/>
  <c r="H332" i="23" l="1"/>
  <c r="I332" i="23" s="1"/>
  <c r="B333" i="23"/>
  <c r="D333" i="23"/>
  <c r="E333" i="23" s="1"/>
  <c r="Q337" i="23"/>
  <c r="AB337" i="23"/>
  <c r="Z336" i="23"/>
  <c r="AA336" i="23" s="1"/>
  <c r="T336" i="23"/>
  <c r="L333" i="23" l="1"/>
  <c r="M333" i="23" s="1"/>
  <c r="N334" i="23"/>
  <c r="J333" i="23"/>
  <c r="C334" i="23"/>
  <c r="F333" i="23"/>
  <c r="K333" i="23" s="1"/>
  <c r="Y336" i="23"/>
  <c r="V336" i="23"/>
  <c r="W336" i="23" s="1"/>
  <c r="H333" i="23" l="1"/>
  <c r="I333" i="23" s="1"/>
  <c r="P337" i="23"/>
  <c r="R337" i="23"/>
  <c r="S337" i="23" s="1"/>
  <c r="B334" i="23" l="1"/>
  <c r="D334" i="23"/>
  <c r="E334" i="23" s="1"/>
  <c r="Z337" i="23"/>
  <c r="AA337" i="23" s="1"/>
  <c r="AB338" i="23"/>
  <c r="Q338" i="23"/>
  <c r="L334" i="23" l="1"/>
  <c r="M334" i="23" s="1"/>
  <c r="C335" i="23"/>
  <c r="N335" i="23"/>
  <c r="J334" i="23"/>
  <c r="F334" i="23"/>
  <c r="K334" i="23" s="1"/>
  <c r="T337" i="23"/>
  <c r="V337" i="23" s="1"/>
  <c r="W337" i="23" s="1"/>
  <c r="H334" i="23" l="1"/>
  <c r="I334" i="23" s="1"/>
  <c r="D335" i="23"/>
  <c r="E335" i="23" s="1"/>
  <c r="B335" i="23"/>
  <c r="Y337" i="23"/>
  <c r="R338" i="23"/>
  <c r="S338" i="23" s="1"/>
  <c r="P338" i="23"/>
  <c r="C336" i="23" l="1"/>
  <c r="J335" i="23"/>
  <c r="L335" i="23"/>
  <c r="M335" i="23" s="1"/>
  <c r="N336" i="23"/>
  <c r="Z338" i="23"/>
  <c r="AA338" i="23" s="1"/>
  <c r="Q339" i="23"/>
  <c r="AB339" i="23"/>
  <c r="F335" i="23" l="1"/>
  <c r="K335" i="23" s="1"/>
  <c r="T338" i="23"/>
  <c r="V338" i="23" s="1"/>
  <c r="W338" i="23" s="1"/>
  <c r="H335" i="23"/>
  <c r="I335" i="23" s="1"/>
  <c r="Y338" i="23" l="1"/>
  <c r="D336" i="23"/>
  <c r="E336" i="23" s="1"/>
  <c r="B336" i="23"/>
  <c r="R339" i="23"/>
  <c r="S339" i="23" s="1"/>
  <c r="P339" i="23"/>
  <c r="L336" i="23" l="1"/>
  <c r="M336" i="23" s="1"/>
  <c r="N337" i="23"/>
  <c r="J336" i="23"/>
  <c r="C337" i="23"/>
  <c r="F336" i="23"/>
  <c r="K336" i="23" s="1"/>
  <c r="Z339" i="23"/>
  <c r="AA339" i="23" s="1"/>
  <c r="AB340" i="23"/>
  <c r="Q340" i="23"/>
  <c r="H336" i="23" l="1"/>
  <c r="I336" i="23" s="1"/>
  <c r="T339" i="23"/>
  <c r="Y339" i="23" s="1"/>
  <c r="B337" i="23" l="1"/>
  <c r="D337" i="23"/>
  <c r="E337" i="23" s="1"/>
  <c r="V339" i="23"/>
  <c r="W339" i="23" s="1"/>
  <c r="P340" i="23" s="1"/>
  <c r="R340" i="23" l="1"/>
  <c r="S340" i="23" s="1"/>
  <c r="L337" i="23"/>
  <c r="M337" i="23" s="1"/>
  <c r="J337" i="23"/>
  <c r="C338" i="23"/>
  <c r="N338" i="23"/>
  <c r="Q341" i="23"/>
  <c r="Z340" i="23"/>
  <c r="AA340" i="23" s="1"/>
  <c r="AB341" i="23"/>
  <c r="F337" i="23" l="1"/>
  <c r="T340" i="23"/>
  <c r="V340" i="23" s="1"/>
  <c r="W340" i="23" s="1"/>
  <c r="K337" i="23" l="1"/>
  <c r="H337" i="23"/>
  <c r="I337" i="23" s="1"/>
  <c r="Y340" i="23"/>
  <c r="R341" i="23"/>
  <c r="S341" i="23" s="1"/>
  <c r="P341" i="23"/>
  <c r="B338" i="23" l="1"/>
  <c r="D338" i="23"/>
  <c r="E338" i="23" s="1"/>
  <c r="Z341" i="23"/>
  <c r="AA341" i="23" s="1"/>
  <c r="Q342" i="23"/>
  <c r="AB342" i="23"/>
  <c r="T341" i="23" l="1"/>
  <c r="J338" i="23"/>
  <c r="L338" i="23"/>
  <c r="C339" i="23"/>
  <c r="N339" i="23"/>
  <c r="Y341" i="23"/>
  <c r="V341" i="23"/>
  <c r="W341" i="23" s="1"/>
  <c r="M338" i="23" l="1"/>
  <c r="F338" i="23"/>
  <c r="P342" i="23"/>
  <c r="R342" i="23"/>
  <c r="S342" i="23" s="1"/>
  <c r="K338" i="23" l="1"/>
  <c r="H338" i="23"/>
  <c r="I338" i="23" s="1"/>
  <c r="Q343" i="23"/>
  <c r="AB343" i="23"/>
  <c r="Z342" i="23"/>
  <c r="D339" i="23" l="1"/>
  <c r="E339" i="23" s="1"/>
  <c r="B339" i="23"/>
  <c r="AA342" i="23"/>
  <c r="T342" i="23"/>
  <c r="C340" i="23" l="1"/>
  <c r="L339" i="23"/>
  <c r="J339" i="23"/>
  <c r="N340" i="23"/>
  <c r="Y342" i="23"/>
  <c r="V342" i="23"/>
  <c r="W342" i="23" s="1"/>
  <c r="M339" i="23" l="1"/>
  <c r="F339" i="23"/>
  <c r="R343" i="23"/>
  <c r="S343" i="23" s="1"/>
  <c r="P343" i="23"/>
  <c r="K339" i="23" l="1"/>
  <c r="H339" i="23"/>
  <c r="I339" i="23" s="1"/>
  <c r="AB344" i="23"/>
  <c r="Z343" i="23"/>
  <c r="AA343" i="23" s="1"/>
  <c r="Q344" i="23"/>
  <c r="B340" i="23" l="1"/>
  <c r="D340" i="23"/>
  <c r="E340" i="23" s="1"/>
  <c r="T343" i="23"/>
  <c r="L340" i="23" l="1"/>
  <c r="C341" i="23"/>
  <c r="J340" i="23"/>
  <c r="N341" i="23"/>
  <c r="Y343" i="23"/>
  <c r="V343" i="23"/>
  <c r="W343" i="23" s="1"/>
  <c r="M340" i="23" l="1"/>
  <c r="F340" i="23"/>
  <c r="P344" i="23"/>
  <c r="R344" i="23"/>
  <c r="S344" i="23" s="1"/>
  <c r="K340" i="23" l="1"/>
  <c r="H340" i="23"/>
  <c r="I340" i="23" s="1"/>
  <c r="Z344" i="23"/>
  <c r="AA344" i="23" s="1"/>
  <c r="Q345" i="23"/>
  <c r="AB345" i="23"/>
  <c r="B341" i="23" l="1"/>
  <c r="D341" i="23"/>
  <c r="E341" i="23" s="1"/>
  <c r="T344" i="23"/>
  <c r="V344" i="23" s="1"/>
  <c r="W344" i="23" s="1"/>
  <c r="Y344" i="23" l="1"/>
  <c r="N342" i="23"/>
  <c r="L341" i="23"/>
  <c r="C342" i="23"/>
  <c r="J341" i="23"/>
  <c r="P345" i="23"/>
  <c r="R345" i="23"/>
  <c r="S345" i="23" s="1"/>
  <c r="M341" i="23" l="1"/>
  <c r="F341" i="23"/>
  <c r="Q346" i="23"/>
  <c r="Z345" i="23"/>
  <c r="AA345" i="23" s="1"/>
  <c r="AB346" i="23"/>
  <c r="T345" i="23" l="1"/>
  <c r="K341" i="23"/>
  <c r="H341" i="23"/>
  <c r="I341" i="23" s="1"/>
  <c r="Y345" i="23"/>
  <c r="V345" i="23"/>
  <c r="W345" i="23" s="1"/>
  <c r="D342" i="23" l="1"/>
  <c r="E342" i="23" s="1"/>
  <c r="B342" i="23"/>
  <c r="R346" i="23"/>
  <c r="S346" i="23" s="1"/>
  <c r="P346" i="23"/>
  <c r="N343" i="23" l="1"/>
  <c r="L342" i="23"/>
  <c r="M342" i="23" s="1"/>
  <c r="C343" i="23"/>
  <c r="J342" i="23"/>
  <c r="AB347" i="23"/>
  <c r="Z346" i="23"/>
  <c r="Q347" i="23"/>
  <c r="F342" i="23" l="1"/>
  <c r="K342" i="23" s="1"/>
  <c r="AA346" i="23"/>
  <c r="T346" i="23"/>
  <c r="H342" i="23" l="1"/>
  <c r="I342" i="23" s="1"/>
  <c r="B343" i="23" s="1"/>
  <c r="D343" i="23"/>
  <c r="E343" i="23" s="1"/>
  <c r="Y346" i="23"/>
  <c r="V346" i="23"/>
  <c r="W346" i="23" s="1"/>
  <c r="J343" i="23" l="1"/>
  <c r="L343" i="23"/>
  <c r="C344" i="23"/>
  <c r="N344" i="23"/>
  <c r="P347" i="23"/>
  <c r="R347" i="23"/>
  <c r="S347" i="23" s="1"/>
  <c r="M343" i="23" l="1"/>
  <c r="F343" i="23"/>
  <c r="AB348" i="23"/>
  <c r="Z347" i="23"/>
  <c r="AA347" i="23" s="1"/>
  <c r="Q348" i="23"/>
  <c r="H343" i="23" l="1"/>
  <c r="I343" i="23" s="1"/>
  <c r="K343" i="23"/>
  <c r="T347" i="23"/>
  <c r="B344" i="23" l="1"/>
  <c r="D344" i="23"/>
  <c r="E344" i="23" s="1"/>
  <c r="Y347" i="23"/>
  <c r="V347" i="23"/>
  <c r="W347" i="23" s="1"/>
  <c r="N345" i="23" l="1"/>
  <c r="J344" i="23"/>
  <c r="L344" i="23"/>
  <c r="M344" i="23" s="1"/>
  <c r="C345" i="23"/>
  <c r="P348" i="23"/>
  <c r="R348" i="23"/>
  <c r="S348" i="23" s="1"/>
  <c r="F344" i="23" l="1"/>
  <c r="Q349" i="23"/>
  <c r="AB349" i="23"/>
  <c r="Z348" i="23"/>
  <c r="AA348" i="23" s="1"/>
  <c r="T348" i="23" l="1"/>
  <c r="K344" i="23"/>
  <c r="H344" i="23"/>
  <c r="I344" i="23" s="1"/>
  <c r="Y348" i="23"/>
  <c r="V348" i="23"/>
  <c r="W348" i="23" s="1"/>
  <c r="D345" i="23" l="1"/>
  <c r="E345" i="23" s="1"/>
  <c r="B345" i="23"/>
  <c r="P349" i="23"/>
  <c r="R349" i="23"/>
  <c r="S349" i="23" s="1"/>
  <c r="J345" i="23" l="1"/>
  <c r="N346" i="23"/>
  <c r="C346" i="23"/>
  <c r="L345" i="23"/>
  <c r="M345" i="23" s="1"/>
  <c r="Z349" i="23"/>
  <c r="AA349" i="23" s="1"/>
  <c r="Q350" i="23"/>
  <c r="AB350" i="23"/>
  <c r="F345" i="23" l="1"/>
  <c r="K345" i="23" s="1"/>
  <c r="H345" i="23"/>
  <c r="I345" i="23" s="1"/>
  <c r="T349" i="23"/>
  <c r="Y349" i="23" s="1"/>
  <c r="V349" i="23" l="1"/>
  <c r="W349" i="23" s="1"/>
  <c r="B346" i="23"/>
  <c r="D346" i="23"/>
  <c r="E346" i="23" s="1"/>
  <c r="P350" i="23"/>
  <c r="R350" i="23"/>
  <c r="S350" i="23" s="1"/>
  <c r="N347" i="23" l="1"/>
  <c r="L346" i="23"/>
  <c r="M346" i="23" s="1"/>
  <c r="J346" i="23"/>
  <c r="C347" i="23"/>
  <c r="Q351" i="23"/>
  <c r="AB351" i="23"/>
  <c r="Z350" i="23"/>
  <c r="AA350" i="23" s="1"/>
  <c r="F346" i="23" l="1"/>
  <c r="T350" i="23"/>
  <c r="V350" i="23" s="1"/>
  <c r="W350" i="23" s="1"/>
  <c r="R351" i="23" s="1"/>
  <c r="S351" i="23" s="1"/>
  <c r="Y350" i="23" l="1"/>
  <c r="P351" i="23"/>
  <c r="K346" i="23"/>
  <c r="H346" i="23"/>
  <c r="I346" i="23" s="1"/>
  <c r="Q352" i="23"/>
  <c r="Z351" i="23"/>
  <c r="AB352" i="23"/>
  <c r="D347" i="23" l="1"/>
  <c r="E347" i="23" s="1"/>
  <c r="B347" i="23"/>
  <c r="AA351" i="23"/>
  <c r="T351" i="23"/>
  <c r="C348" i="23" l="1"/>
  <c r="L347" i="23"/>
  <c r="M347" i="23" s="1"/>
  <c r="J347" i="23"/>
  <c r="N348" i="23"/>
  <c r="V351" i="23"/>
  <c r="W351" i="23" s="1"/>
  <c r="Y351" i="23"/>
  <c r="F347" i="23" l="1"/>
  <c r="K347" i="23" s="1"/>
  <c r="P352" i="23"/>
  <c r="R352" i="23"/>
  <c r="S352" i="23" s="1"/>
  <c r="H347" i="23" l="1"/>
  <c r="I347" i="23" s="1"/>
  <c r="D348" i="23"/>
  <c r="E348" i="23" s="1"/>
  <c r="B348" i="23"/>
  <c r="Q353" i="23"/>
  <c r="Z352" i="23"/>
  <c r="AA352" i="23" s="1"/>
  <c r="AB353" i="23"/>
  <c r="J348" i="23" l="1"/>
  <c r="L348" i="23"/>
  <c r="C349" i="23"/>
  <c r="N349" i="23"/>
  <c r="T352" i="23"/>
  <c r="Y352" i="23" s="1"/>
  <c r="M348" i="23" l="1"/>
  <c r="F348" i="23"/>
  <c r="V352" i="23"/>
  <c r="W352" i="23" s="1"/>
  <c r="R353" i="23" s="1"/>
  <c r="S353" i="23" s="1"/>
  <c r="K348" i="23" l="1"/>
  <c r="H348" i="23"/>
  <c r="I348" i="23" s="1"/>
  <c r="P353" i="23"/>
  <c r="Q354" i="23"/>
  <c r="AB354" i="23"/>
  <c r="Z353" i="23"/>
  <c r="D349" i="23" l="1"/>
  <c r="E349" i="23" s="1"/>
  <c r="B349" i="23"/>
  <c r="AA353" i="23"/>
  <c r="T353" i="23"/>
  <c r="C350" i="23" l="1"/>
  <c r="J349" i="23"/>
  <c r="N350" i="23"/>
  <c r="L349" i="23"/>
  <c r="M349" i="23" s="1"/>
  <c r="V353" i="23"/>
  <c r="W353" i="23" s="1"/>
  <c r="Y353" i="23"/>
  <c r="F349" i="23" l="1"/>
  <c r="R354" i="23"/>
  <c r="S354" i="23" s="1"/>
  <c r="P354" i="23"/>
  <c r="K349" i="23" l="1"/>
  <c r="H349" i="23"/>
  <c r="I349" i="23" s="1"/>
  <c r="Q355" i="23"/>
  <c r="Z354" i="23"/>
  <c r="AB355" i="23"/>
  <c r="D350" i="23" l="1"/>
  <c r="E350" i="23" s="1"/>
  <c r="B350" i="23"/>
  <c r="AA354" i="23"/>
  <c r="T354" i="23"/>
  <c r="J350" i="23" l="1"/>
  <c r="L350" i="23"/>
  <c r="M350" i="23" s="1"/>
  <c r="N351" i="23"/>
  <c r="F350" i="23"/>
  <c r="K350" i="23" s="1"/>
  <c r="C351" i="23"/>
  <c r="V354" i="23"/>
  <c r="W354" i="23" s="1"/>
  <c r="Y354" i="23"/>
  <c r="H350" i="23" l="1"/>
  <c r="I350" i="23" s="1"/>
  <c r="P355" i="23"/>
  <c r="R355" i="23"/>
  <c r="S355" i="23" s="1"/>
  <c r="B351" i="23" l="1"/>
  <c r="D351" i="23"/>
  <c r="E351" i="23" s="1"/>
  <c r="AB356" i="23"/>
  <c r="Q356" i="23"/>
  <c r="Z355" i="23"/>
  <c r="J351" i="23" l="1"/>
  <c r="N352" i="23"/>
  <c r="L351" i="23"/>
  <c r="M351" i="23" s="1"/>
  <c r="C352" i="23"/>
  <c r="AA355" i="23"/>
  <c r="T355" i="23"/>
  <c r="F351" i="23" l="1"/>
  <c r="K351" i="23" s="1"/>
  <c r="Y355" i="23"/>
  <c r="V355" i="23"/>
  <c r="W355" i="23" s="1"/>
  <c r="H351" i="23" l="1"/>
  <c r="I351" i="23" s="1"/>
  <c r="D352" i="23" s="1"/>
  <c r="E352" i="23" s="1"/>
  <c r="R356" i="23"/>
  <c r="S356" i="23" s="1"/>
  <c r="P356" i="23"/>
  <c r="B352" i="23" l="1"/>
  <c r="C353" i="23"/>
  <c r="N353" i="23"/>
  <c r="L352" i="23"/>
  <c r="M352" i="23" s="1"/>
  <c r="J352" i="23"/>
  <c r="Q357" i="23"/>
  <c r="Z356" i="23"/>
  <c r="AA356" i="23" s="1"/>
  <c r="AB357" i="23"/>
  <c r="F352" i="23" l="1"/>
  <c r="T356" i="23"/>
  <c r="V356" i="23" s="1"/>
  <c r="W356" i="23" s="1"/>
  <c r="K352" i="23" l="1"/>
  <c r="H352" i="23"/>
  <c r="I352" i="23" s="1"/>
  <c r="Y356" i="23"/>
  <c r="P357" i="23"/>
  <c r="R357" i="23"/>
  <c r="S357" i="23" s="1"/>
  <c r="D353" i="23" l="1"/>
  <c r="E353" i="23" s="1"/>
  <c r="B353" i="23"/>
  <c r="AB358" i="23"/>
  <c r="Q358" i="23"/>
  <c r="Z357" i="23"/>
  <c r="C354" i="23" l="1"/>
  <c r="L353" i="23"/>
  <c r="M353" i="23" s="1"/>
  <c r="J353" i="23"/>
  <c r="N354" i="23"/>
  <c r="AA357" i="23"/>
  <c r="T357" i="23"/>
  <c r="F353" i="23" l="1"/>
  <c r="K353" i="23" s="1"/>
  <c r="V357" i="23"/>
  <c r="W357" i="23" s="1"/>
  <c r="Y357" i="23"/>
  <c r="H353" i="23" l="1"/>
  <c r="I353" i="23" s="1"/>
  <c r="D354" i="23" s="1"/>
  <c r="E354" i="23" s="1"/>
  <c r="B354" i="23"/>
  <c r="R358" i="23"/>
  <c r="S358" i="23" s="1"/>
  <c r="P358" i="23"/>
  <c r="J354" i="23" l="1"/>
  <c r="C355" i="23"/>
  <c r="L354" i="23"/>
  <c r="M354" i="23" s="1"/>
  <c r="N355" i="23"/>
  <c r="Z358" i="23"/>
  <c r="Q359" i="23"/>
  <c r="AB359" i="23"/>
  <c r="F354" i="23" l="1"/>
  <c r="H354" i="23" s="1"/>
  <c r="I354" i="23" s="1"/>
  <c r="AA358" i="23"/>
  <c r="T358" i="23"/>
  <c r="K354" i="23" l="1"/>
  <c r="D355" i="23"/>
  <c r="E355" i="23" s="1"/>
  <c r="B355" i="23"/>
  <c r="V358" i="23"/>
  <c r="W358" i="23" s="1"/>
  <c r="Y358" i="23"/>
  <c r="N356" i="23" l="1"/>
  <c r="L355" i="23"/>
  <c r="M355" i="23" s="1"/>
  <c r="C356" i="23"/>
  <c r="J355" i="23"/>
  <c r="P359" i="23"/>
  <c r="R359" i="23"/>
  <c r="S359" i="23" s="1"/>
  <c r="F355" i="23" l="1"/>
  <c r="AB360" i="23"/>
  <c r="Z359" i="23"/>
  <c r="Q360" i="23"/>
  <c r="K355" i="23" l="1"/>
  <c r="H355" i="23"/>
  <c r="I355" i="23" s="1"/>
  <c r="AA359" i="23"/>
  <c r="T359" i="23"/>
  <c r="D356" i="23" l="1"/>
  <c r="E356" i="23" s="1"/>
  <c r="B356" i="23"/>
  <c r="Y359" i="23"/>
  <c r="V359" i="23"/>
  <c r="W359" i="23" s="1"/>
  <c r="L356" i="23" l="1"/>
  <c r="M356" i="23" s="1"/>
  <c r="N357" i="23"/>
  <c r="C357" i="23"/>
  <c r="J356" i="23"/>
  <c r="R360" i="23"/>
  <c r="S360" i="23" s="1"/>
  <c r="P360" i="23"/>
  <c r="F356" i="23" l="1"/>
  <c r="K356" i="23" s="1"/>
  <c r="Q361" i="23"/>
  <c r="AB361" i="23"/>
  <c r="Z360" i="23"/>
  <c r="AA360" i="23" s="1"/>
  <c r="H356" i="23" l="1"/>
  <c r="I356" i="23" s="1"/>
  <c r="D357" i="23" s="1"/>
  <c r="E357" i="23" s="1"/>
  <c r="T360" i="23"/>
  <c r="Y360" i="23" s="1"/>
  <c r="B357" i="23" l="1"/>
  <c r="J357" i="23"/>
  <c r="C358" i="23"/>
  <c r="N358" i="23"/>
  <c r="L357" i="23"/>
  <c r="M357" i="23" s="1"/>
  <c r="V360" i="23"/>
  <c r="W360" i="23" s="1"/>
  <c r="P361" i="23" s="1"/>
  <c r="F357" i="23" l="1"/>
  <c r="H357" i="23" s="1"/>
  <c r="I357" i="23" s="1"/>
  <c r="R361" i="23"/>
  <c r="S361" i="23" s="1"/>
  <c r="Z361" i="23" s="1"/>
  <c r="K357" i="23" l="1"/>
  <c r="D358" i="23"/>
  <c r="E358" i="23" s="1"/>
  <c r="B358" i="23"/>
  <c r="AB362" i="23"/>
  <c r="Q362" i="23"/>
  <c r="AA361" i="23"/>
  <c r="T361" i="23"/>
  <c r="N359" i="23" l="1"/>
  <c r="L358" i="23"/>
  <c r="M358" i="23" s="1"/>
  <c r="F358" i="23"/>
  <c r="C359" i="23"/>
  <c r="J358" i="23"/>
  <c r="V361" i="23"/>
  <c r="W361" i="23" s="1"/>
  <c r="Y361" i="23"/>
  <c r="H358" i="23" l="1"/>
  <c r="I358" i="23" s="1"/>
  <c r="K358" i="23"/>
  <c r="P362" i="23"/>
  <c r="R362" i="23"/>
  <c r="S362" i="23" s="1"/>
  <c r="D359" i="23" l="1"/>
  <c r="E359" i="23" s="1"/>
  <c r="B359" i="23"/>
  <c r="Q363" i="23"/>
  <c r="Z362" i="23"/>
  <c r="AA362" i="23" s="1"/>
  <c r="AB363" i="23"/>
  <c r="L359" i="23" l="1"/>
  <c r="N360" i="23"/>
  <c r="C360" i="23"/>
  <c r="J359" i="23"/>
  <c r="T362" i="23"/>
  <c r="M359" i="23" l="1"/>
  <c r="F359" i="23"/>
  <c r="Y362" i="23"/>
  <c r="V362" i="23"/>
  <c r="W362" i="23" s="1"/>
  <c r="K359" i="23" l="1"/>
  <c r="H359" i="23"/>
  <c r="I359" i="23" s="1"/>
  <c r="P363" i="23"/>
  <c r="R363" i="23"/>
  <c r="S363" i="23" s="1"/>
  <c r="D360" i="23" l="1"/>
  <c r="E360" i="23" s="1"/>
  <c r="B360" i="23"/>
  <c r="Z363" i="23"/>
  <c r="AA363" i="23" s="1"/>
  <c r="AB364" i="23"/>
  <c r="Q364" i="23"/>
  <c r="L360" i="23" l="1"/>
  <c r="J360" i="23"/>
  <c r="C361" i="23"/>
  <c r="N361" i="23"/>
  <c r="T363" i="23"/>
  <c r="M360" i="23" l="1"/>
  <c r="F360" i="23"/>
  <c r="Y363" i="23"/>
  <c r="V363" i="23"/>
  <c r="W363" i="23" s="1"/>
  <c r="K360" i="23" l="1"/>
  <c r="H360" i="23"/>
  <c r="I360" i="23" s="1"/>
  <c r="R364" i="23"/>
  <c r="S364" i="23" s="1"/>
  <c r="P364" i="23"/>
  <c r="B361" i="23" l="1"/>
  <c r="D361" i="23"/>
  <c r="E361" i="23" s="1"/>
  <c r="AB365" i="23"/>
  <c r="Q365" i="23"/>
  <c r="Z364" i="23"/>
  <c r="AA364" i="23" s="1"/>
  <c r="N362" i="23" l="1"/>
  <c r="L361" i="23"/>
  <c r="M361" i="23" s="1"/>
  <c r="C362" i="23"/>
  <c r="J361" i="23"/>
  <c r="T364" i="23"/>
  <c r="F361" i="23" l="1"/>
  <c r="K361" i="23" s="1"/>
  <c r="Y364" i="23"/>
  <c r="V364" i="23"/>
  <c r="W364" i="23" s="1"/>
  <c r="H361" i="23" l="1"/>
  <c r="I361" i="23" s="1"/>
  <c r="B362" i="23"/>
  <c r="D362" i="23"/>
  <c r="E362" i="23" s="1"/>
  <c r="P365" i="23"/>
  <c r="R365" i="23"/>
  <c r="S365" i="23" s="1"/>
  <c r="J362" i="23" l="1"/>
  <c r="N363" i="23"/>
  <c r="L362" i="23"/>
  <c r="M362" i="23" s="1"/>
  <c r="C363" i="23"/>
  <c r="AB366" i="23"/>
  <c r="Q366" i="23"/>
  <c r="Z365" i="23"/>
  <c r="AA365" i="23" s="1"/>
  <c r="F362" i="23" l="1"/>
  <c r="K362" i="23" s="1"/>
  <c r="T365" i="23"/>
  <c r="Y365" i="23" s="1"/>
  <c r="H362" i="23" l="1"/>
  <c r="I362" i="23" s="1"/>
  <c r="D363" i="23" s="1"/>
  <c r="E363" i="23" s="1"/>
  <c r="V365" i="23"/>
  <c r="W365" i="23" s="1"/>
  <c r="P366" i="23" s="1"/>
  <c r="B363" i="23" l="1"/>
  <c r="N364" i="23"/>
  <c r="C364" i="23"/>
  <c r="L363" i="23"/>
  <c r="J363" i="23"/>
  <c r="R366" i="23"/>
  <c r="S366" i="23" s="1"/>
  <c r="AB367" i="23" s="1"/>
  <c r="F363" i="23" l="1"/>
  <c r="M363" i="23"/>
  <c r="Q367" i="23"/>
  <c r="Z366" i="23"/>
  <c r="AA366" i="23" s="1"/>
  <c r="K363" i="23" l="1"/>
  <c r="H363" i="23"/>
  <c r="I363" i="23" s="1"/>
  <c r="T366" i="23"/>
  <c r="Y366" i="23" s="1"/>
  <c r="B364" i="23" l="1"/>
  <c r="D364" i="23"/>
  <c r="E364" i="23" s="1"/>
  <c r="V366" i="23"/>
  <c r="W366" i="23" s="1"/>
  <c r="R367" i="23" s="1"/>
  <c r="S367" i="23" s="1"/>
  <c r="AB368" i="23" s="1"/>
  <c r="J364" i="23" l="1"/>
  <c r="L364" i="23"/>
  <c r="N365" i="23"/>
  <c r="C365" i="23"/>
  <c r="Z367" i="23"/>
  <c r="AA367" i="23" s="1"/>
  <c r="Q368" i="23"/>
  <c r="P367" i="23"/>
  <c r="M364" i="23" l="1"/>
  <c r="F364" i="23"/>
  <c r="T367" i="23"/>
  <c r="Y367" i="23" s="1"/>
  <c r="V367" i="23" l="1"/>
  <c r="W367" i="23" s="1"/>
  <c r="P368" i="23" s="1"/>
  <c r="K364" i="23"/>
  <c r="H364" i="23"/>
  <c r="I364" i="23" s="1"/>
  <c r="R368" i="23"/>
  <c r="S368" i="23" s="1"/>
  <c r="Z368" i="23" s="1"/>
  <c r="AA368" i="23" s="1"/>
  <c r="B365" i="23" l="1"/>
  <c r="D365" i="23"/>
  <c r="E365" i="23" s="1"/>
  <c r="AB369" i="23"/>
  <c r="Q369" i="23"/>
  <c r="T368" i="23"/>
  <c r="V368" i="23" s="1"/>
  <c r="W368" i="23" s="1"/>
  <c r="L365" i="23" l="1"/>
  <c r="N366" i="23"/>
  <c r="J365" i="23"/>
  <c r="C366" i="23"/>
  <c r="Y368" i="23"/>
  <c r="R369" i="23"/>
  <c r="S369" i="23" s="1"/>
  <c r="P369" i="23"/>
  <c r="M365" i="23" l="1"/>
  <c r="F365" i="23"/>
  <c r="AB370" i="23"/>
  <c r="Z369" i="23"/>
  <c r="AA369" i="23" s="1"/>
  <c r="Q370" i="23"/>
  <c r="K365" i="23" l="1"/>
  <c r="H365" i="23"/>
  <c r="I365" i="23" s="1"/>
  <c r="T369" i="23"/>
  <c r="Y369" i="23" s="1"/>
  <c r="B366" i="23" l="1"/>
  <c r="D366" i="23"/>
  <c r="E366" i="23" s="1"/>
  <c r="V369" i="23"/>
  <c r="W369" i="23" s="1"/>
  <c r="R370" i="23" s="1"/>
  <c r="S370" i="23" s="1"/>
  <c r="J366" i="23" l="1"/>
  <c r="C367" i="23"/>
  <c r="N367" i="23"/>
  <c r="L366" i="23"/>
  <c r="M366" i="23" s="1"/>
  <c r="P370" i="23"/>
  <c r="Q371" i="23"/>
  <c r="AB371" i="23"/>
  <c r="Z370" i="23"/>
  <c r="AA370" i="23" s="1"/>
  <c r="F366" i="23" l="1"/>
  <c r="T370" i="23"/>
  <c r="K366" i="23" l="1"/>
  <c r="H366" i="23"/>
  <c r="I366" i="23" s="1"/>
  <c r="Y370" i="23"/>
  <c r="V370" i="23"/>
  <c r="W370" i="23" s="1"/>
  <c r="B367" i="23" l="1"/>
  <c r="D367" i="23"/>
  <c r="E367" i="23" s="1"/>
  <c r="P371" i="23"/>
  <c r="R371" i="23"/>
  <c r="S371" i="23" s="1"/>
  <c r="N368" i="23" l="1"/>
  <c r="J367" i="23"/>
  <c r="C368" i="23"/>
  <c r="L367" i="23"/>
  <c r="M367" i="23" s="1"/>
  <c r="AB372" i="23"/>
  <c r="Q372" i="23"/>
  <c r="Z371" i="23"/>
  <c r="AA371" i="23" s="1"/>
  <c r="F367" i="23" l="1"/>
  <c r="T371" i="23"/>
  <c r="Y371" i="23" s="1"/>
  <c r="K367" i="23" l="1"/>
  <c r="H367" i="23"/>
  <c r="I367" i="23" s="1"/>
  <c r="V371" i="23"/>
  <c r="W371" i="23" s="1"/>
  <c r="R372" i="23" s="1"/>
  <c r="S372" i="23" s="1"/>
  <c r="D368" i="23" l="1"/>
  <c r="E368" i="23" s="1"/>
  <c r="B368" i="23"/>
  <c r="P372" i="23"/>
  <c r="Z372" i="23"/>
  <c r="AA372" i="23" s="1"/>
  <c r="AB373" i="23"/>
  <c r="Q373" i="23"/>
  <c r="C369" i="23" l="1"/>
  <c r="J368" i="23"/>
  <c r="N369" i="23"/>
  <c r="L368" i="23"/>
  <c r="M368" i="23" s="1"/>
  <c r="T372" i="23"/>
  <c r="V372" i="23" s="1"/>
  <c r="W372" i="23" s="1"/>
  <c r="F368" i="23" l="1"/>
  <c r="Y372" i="23"/>
  <c r="P373" i="23"/>
  <c r="R373" i="23"/>
  <c r="S373" i="23" s="1"/>
  <c r="K368" i="23" l="1"/>
  <c r="H368" i="23"/>
  <c r="I368" i="23" s="1"/>
  <c r="Q374" i="23"/>
  <c r="Z373" i="23"/>
  <c r="AB374" i="23"/>
  <c r="D369" i="23" l="1"/>
  <c r="E369" i="23" s="1"/>
  <c r="B369" i="23"/>
  <c r="AA373" i="23"/>
  <c r="T373" i="23"/>
  <c r="J369" i="23" l="1"/>
  <c r="L369" i="23"/>
  <c r="M369" i="23" s="1"/>
  <c r="N370" i="23"/>
  <c r="C370" i="23"/>
  <c r="V373" i="23"/>
  <c r="W373" i="23" s="1"/>
  <c r="Y373" i="23"/>
  <c r="F369" i="23" l="1"/>
  <c r="K369" i="23" s="1"/>
  <c r="P374" i="23"/>
  <c r="R374" i="23"/>
  <c r="S374" i="23" s="1"/>
  <c r="H369" i="23" l="1"/>
  <c r="I369" i="23" s="1"/>
  <c r="D370" i="23"/>
  <c r="E370" i="23" s="1"/>
  <c r="B370" i="23"/>
  <c r="AB375" i="23"/>
  <c r="Q375" i="23"/>
  <c r="Z374" i="23"/>
  <c r="AA374" i="23" s="1"/>
  <c r="N371" i="23" l="1"/>
  <c r="C371" i="23"/>
  <c r="J370" i="23"/>
  <c r="L370" i="23"/>
  <c r="M370" i="23" s="1"/>
  <c r="T374" i="23"/>
  <c r="Y374" i="23" s="1"/>
  <c r="F370" i="23" l="1"/>
  <c r="V374" i="23"/>
  <c r="W374" i="23" s="1"/>
  <c r="P375" i="23" s="1"/>
  <c r="K370" i="23" l="1"/>
  <c r="H370" i="23"/>
  <c r="I370" i="23" s="1"/>
  <c r="R375" i="23"/>
  <c r="S375" i="23" s="1"/>
  <c r="AB376" i="23" s="1"/>
  <c r="B371" i="23" l="1"/>
  <c r="D371" i="23"/>
  <c r="E371" i="23" s="1"/>
  <c r="Q376" i="23"/>
  <c r="Z375" i="23"/>
  <c r="AA375" i="23" s="1"/>
  <c r="C372" i="23" l="1"/>
  <c r="J371" i="23"/>
  <c r="N372" i="23"/>
  <c r="L371" i="23"/>
  <c r="M371" i="23" s="1"/>
  <c r="T375" i="23"/>
  <c r="Y375" i="23" s="1"/>
  <c r="F371" i="23" l="1"/>
  <c r="K371" i="23" s="1"/>
  <c r="V375" i="23"/>
  <c r="W375" i="23" s="1"/>
  <c r="P376" i="23" s="1"/>
  <c r="R376" i="23" l="1"/>
  <c r="S376" i="23" s="1"/>
  <c r="H371" i="23"/>
  <c r="I371" i="23" s="1"/>
  <c r="B372" i="23"/>
  <c r="D372" i="23"/>
  <c r="E372" i="23" s="1"/>
  <c r="AB377" i="23"/>
  <c r="Z376" i="23"/>
  <c r="Q377" i="23"/>
  <c r="N373" i="23" l="1"/>
  <c r="L372" i="23"/>
  <c r="M372" i="23" s="1"/>
  <c r="C373" i="23"/>
  <c r="J372" i="23"/>
  <c r="AA376" i="23"/>
  <c r="T376" i="23"/>
  <c r="F372" i="23" l="1"/>
  <c r="K372" i="23" s="1"/>
  <c r="Y376" i="23"/>
  <c r="V376" i="23"/>
  <c r="W376" i="23" s="1"/>
  <c r="H372" i="23" l="1"/>
  <c r="I372" i="23" s="1"/>
  <c r="B373" i="23"/>
  <c r="D373" i="23"/>
  <c r="E373" i="23" s="1"/>
  <c r="R377" i="23"/>
  <c r="S377" i="23" s="1"/>
  <c r="P377" i="23"/>
  <c r="J373" i="23" l="1"/>
  <c r="L373" i="23"/>
  <c r="M373" i="23" s="1"/>
  <c r="N374" i="23"/>
  <c r="C374" i="23"/>
  <c r="Q378" i="23"/>
  <c r="AB378" i="23"/>
  <c r="Z377" i="23"/>
  <c r="AA377" i="23" s="1"/>
  <c r="F373" i="23" l="1"/>
  <c r="K373" i="23" s="1"/>
  <c r="T377" i="23"/>
  <c r="Y377" i="23" s="1"/>
  <c r="H373" i="23" l="1"/>
  <c r="I373" i="23" s="1"/>
  <c r="D374" i="23" s="1"/>
  <c r="E374" i="23" s="1"/>
  <c r="B374" i="23"/>
  <c r="V377" i="23"/>
  <c r="W377" i="23" s="1"/>
  <c r="R378" i="23" s="1"/>
  <c r="S378" i="23" s="1"/>
  <c r="J374" i="23" l="1"/>
  <c r="L374" i="23"/>
  <c r="M374" i="23" s="1"/>
  <c r="C375" i="23"/>
  <c r="N375" i="23"/>
  <c r="P378" i="23"/>
  <c r="Q379" i="23"/>
  <c r="Z378" i="23"/>
  <c r="AA378" i="23" s="1"/>
  <c r="AB379" i="23"/>
  <c r="F374" i="23" l="1"/>
  <c r="K374" i="23" s="1"/>
  <c r="T378" i="23"/>
  <c r="H374" i="23" l="1"/>
  <c r="I374" i="23" s="1"/>
  <c r="B375" i="23"/>
  <c r="D375" i="23"/>
  <c r="E375" i="23" s="1"/>
  <c r="Y378" i="23"/>
  <c r="V378" i="23"/>
  <c r="W378" i="23" s="1"/>
  <c r="J375" i="23" l="1"/>
  <c r="C376" i="23"/>
  <c r="L375" i="23"/>
  <c r="M375" i="23" s="1"/>
  <c r="N376" i="23"/>
  <c r="P379" i="23"/>
  <c r="R379" i="23"/>
  <c r="S379" i="23" s="1"/>
  <c r="F375" i="23" l="1"/>
  <c r="H375" i="23" s="1"/>
  <c r="I375" i="23" s="1"/>
  <c r="Z379" i="23"/>
  <c r="AA379" i="23" s="1"/>
  <c r="Q380" i="23"/>
  <c r="AB380" i="23"/>
  <c r="K375" i="23" l="1"/>
  <c r="D376" i="23"/>
  <c r="E376" i="23" s="1"/>
  <c r="B376" i="23"/>
  <c r="T379" i="23"/>
  <c r="Y379" i="23" s="1"/>
  <c r="N377" i="23" l="1"/>
  <c r="L376" i="23"/>
  <c r="M376" i="23" s="1"/>
  <c r="J376" i="23"/>
  <c r="C377" i="23"/>
  <c r="V379" i="23"/>
  <c r="W379" i="23" s="1"/>
  <c r="R380" i="23" s="1"/>
  <c r="S380" i="23" s="1"/>
  <c r="F376" i="23" l="1"/>
  <c r="K376" i="23" s="1"/>
  <c r="P380" i="23"/>
  <c r="AB381" i="23"/>
  <c r="Z380" i="23"/>
  <c r="Q381" i="23"/>
  <c r="H376" i="23" l="1"/>
  <c r="I376" i="23" s="1"/>
  <c r="B377" i="23"/>
  <c r="D377" i="23"/>
  <c r="E377" i="23" s="1"/>
  <c r="AA380" i="23"/>
  <c r="T380" i="23"/>
  <c r="N378" i="23" l="1"/>
  <c r="L377" i="23"/>
  <c r="C378" i="23"/>
  <c r="J377" i="23"/>
  <c r="Y380" i="23"/>
  <c r="V380" i="23"/>
  <c r="W380" i="23" s="1"/>
  <c r="F377" i="23" l="1"/>
  <c r="M377" i="23"/>
  <c r="P381" i="23"/>
  <c r="R381" i="23"/>
  <c r="S381" i="23" s="1"/>
  <c r="H377" i="23" l="1"/>
  <c r="I377" i="23" s="1"/>
  <c r="K377" i="23"/>
  <c r="AB382" i="23"/>
  <c r="Q382" i="23"/>
  <c r="Z381" i="23"/>
  <c r="AA381" i="23" s="1"/>
  <c r="D378" i="23" l="1"/>
  <c r="E378" i="23" s="1"/>
  <c r="B378" i="23"/>
  <c r="T381" i="23"/>
  <c r="Y381" i="23" s="1"/>
  <c r="C379" i="23" l="1"/>
  <c r="J378" i="23"/>
  <c r="N379" i="23"/>
  <c r="L378" i="23"/>
  <c r="M378" i="23" s="1"/>
  <c r="V381" i="23"/>
  <c r="W381" i="23" s="1"/>
  <c r="R382" i="23" s="1"/>
  <c r="S382" i="23" s="1"/>
  <c r="P382" i="23" l="1"/>
  <c r="F378" i="23"/>
  <c r="Q383" i="23"/>
  <c r="Z382" i="23"/>
  <c r="AB383" i="23"/>
  <c r="H378" i="23" l="1"/>
  <c r="I378" i="23" s="1"/>
  <c r="K378" i="23"/>
  <c r="AA382" i="23"/>
  <c r="T382" i="23"/>
  <c r="D379" i="23" l="1"/>
  <c r="E379" i="23" s="1"/>
  <c r="B379" i="23"/>
  <c r="Y382" i="23"/>
  <c r="V382" i="23"/>
  <c r="W382" i="23" s="1"/>
  <c r="C380" i="23" l="1"/>
  <c r="J379" i="23"/>
  <c r="L379" i="23"/>
  <c r="N380" i="23"/>
  <c r="P383" i="23"/>
  <c r="R383" i="23"/>
  <c r="S383" i="23" s="1"/>
  <c r="M379" i="23" l="1"/>
  <c r="F379" i="23"/>
  <c r="Z383" i="23"/>
  <c r="AA383" i="23" s="1"/>
  <c r="AB384" i="23"/>
  <c r="Q384" i="23"/>
  <c r="K379" i="23" l="1"/>
  <c r="H379" i="23"/>
  <c r="I379" i="23" s="1"/>
  <c r="T383" i="23"/>
  <c r="D380" i="23" l="1"/>
  <c r="E380" i="23" s="1"/>
  <c r="B380" i="23"/>
  <c r="Y383" i="23"/>
  <c r="V383" i="23"/>
  <c r="W383" i="23" s="1"/>
  <c r="C381" i="23" l="1"/>
  <c r="J380" i="23"/>
  <c r="L380" i="23"/>
  <c r="N381" i="23"/>
  <c r="P384" i="23"/>
  <c r="R384" i="23"/>
  <c r="S384" i="23" s="1"/>
  <c r="M380" i="23" l="1"/>
  <c r="F380" i="23"/>
  <c r="Z384" i="23"/>
  <c r="AA384" i="23" s="1"/>
  <c r="Q385" i="23"/>
  <c r="AB385" i="23"/>
  <c r="K380" i="23" l="1"/>
  <c r="H380" i="23"/>
  <c r="I380" i="23" s="1"/>
  <c r="T384" i="23"/>
  <c r="Y384" i="23" s="1"/>
  <c r="D381" i="23" l="1"/>
  <c r="E381" i="23" s="1"/>
  <c r="B381" i="23"/>
  <c r="V384" i="23"/>
  <c r="W384" i="23" s="1"/>
  <c r="P385" i="23" s="1"/>
  <c r="C382" i="23" l="1"/>
  <c r="N382" i="23"/>
  <c r="J381" i="23"/>
  <c r="L381" i="23"/>
  <c r="R385" i="23"/>
  <c r="S385" i="23" s="1"/>
  <c r="Q386" i="23" s="1"/>
  <c r="Z385" i="23" l="1"/>
  <c r="AA385" i="23" s="1"/>
  <c r="AB386" i="23"/>
  <c r="M381" i="23"/>
  <c r="F381" i="23"/>
  <c r="T385" i="23"/>
  <c r="H381" i="23" l="1"/>
  <c r="I381" i="23" s="1"/>
  <c r="K381" i="23"/>
  <c r="Y385" i="23"/>
  <c r="V385" i="23"/>
  <c r="W385" i="23" s="1"/>
  <c r="B382" i="23" l="1"/>
  <c r="D382" i="23"/>
  <c r="E382" i="23" s="1"/>
  <c r="R386" i="23"/>
  <c r="S386" i="23" s="1"/>
  <c r="P386" i="23"/>
  <c r="L382" i="23" l="1"/>
  <c r="M382" i="23" s="1"/>
  <c r="N383" i="23"/>
  <c r="J382" i="23"/>
  <c r="C383" i="23"/>
  <c r="F382" i="23"/>
  <c r="Q387" i="23"/>
  <c r="AB387" i="23"/>
  <c r="Z386" i="23"/>
  <c r="AA386" i="23" s="1"/>
  <c r="K382" i="23" l="1"/>
  <c r="H382" i="23"/>
  <c r="I382" i="23" s="1"/>
  <c r="T386" i="23"/>
  <c r="Y386" i="23" s="1"/>
  <c r="B383" i="23" l="1"/>
  <c r="D383" i="23"/>
  <c r="E383" i="23" s="1"/>
  <c r="V386" i="23"/>
  <c r="W386" i="23" s="1"/>
  <c r="P387" i="23" s="1"/>
  <c r="L383" i="23" l="1"/>
  <c r="C384" i="23"/>
  <c r="N384" i="23"/>
  <c r="J383" i="23"/>
  <c r="R387" i="23"/>
  <c r="S387" i="23" s="1"/>
  <c r="AB388" i="23" s="1"/>
  <c r="Q388" i="23" l="1"/>
  <c r="Z387" i="23"/>
  <c r="AA387" i="23" s="1"/>
  <c r="M383" i="23"/>
  <c r="F383" i="23"/>
  <c r="T387" i="23" l="1"/>
  <c r="Y387" i="23" s="1"/>
  <c r="H383" i="23"/>
  <c r="I383" i="23" s="1"/>
  <c r="K383" i="23"/>
  <c r="V387" i="23"/>
  <c r="W387" i="23" s="1"/>
  <c r="R388" i="23" s="1"/>
  <c r="S388" i="23" s="1"/>
  <c r="P388" i="23" l="1"/>
  <c r="B384" i="23"/>
  <c r="D384" i="23"/>
  <c r="E384" i="23" s="1"/>
  <c r="AB389" i="23"/>
  <c r="Q389" i="23"/>
  <c r="Z388" i="23"/>
  <c r="AA388" i="23" s="1"/>
  <c r="L384" i="23" l="1"/>
  <c r="J384" i="23"/>
  <c r="C385" i="23"/>
  <c r="N385" i="23"/>
  <c r="T388" i="23"/>
  <c r="M384" i="23" l="1"/>
  <c r="F384" i="23"/>
  <c r="Y388" i="23"/>
  <c r="V388" i="23"/>
  <c r="W388" i="23" s="1"/>
  <c r="K384" i="23" l="1"/>
  <c r="H384" i="23"/>
  <c r="I384" i="23" s="1"/>
  <c r="R389" i="23"/>
  <c r="S389" i="23" s="1"/>
  <c r="P389" i="23"/>
  <c r="B385" i="23" l="1"/>
  <c r="D385" i="23"/>
  <c r="E385" i="23" s="1"/>
  <c r="AB390" i="23"/>
  <c r="Z389" i="23"/>
  <c r="AA389" i="23" s="1"/>
  <c r="Q390" i="23"/>
  <c r="C386" i="23" l="1"/>
  <c r="N386" i="23"/>
  <c r="L385" i="23"/>
  <c r="M385" i="23" s="1"/>
  <c r="J385" i="23"/>
  <c r="T389" i="23"/>
  <c r="F385" i="23" l="1"/>
  <c r="Y389" i="23"/>
  <c r="V389" i="23"/>
  <c r="W389" i="23" s="1"/>
  <c r="K385" i="23" l="1"/>
  <c r="H385" i="23"/>
  <c r="I385" i="23" s="1"/>
  <c r="R390" i="23"/>
  <c r="S390" i="23" s="1"/>
  <c r="P390" i="23"/>
  <c r="B386" i="23" l="1"/>
  <c r="D386" i="23"/>
  <c r="E386" i="23" s="1"/>
  <c r="AB391" i="23"/>
  <c r="Q391" i="23"/>
  <c r="Z390" i="23"/>
  <c r="AA390" i="23" s="1"/>
  <c r="L386" i="23" l="1"/>
  <c r="M386" i="23" s="1"/>
  <c r="N387" i="23"/>
  <c r="J386" i="23"/>
  <c r="C387" i="23"/>
  <c r="F386" i="23"/>
  <c r="T390" i="23"/>
  <c r="Y390" i="23" s="1"/>
  <c r="H386" i="23" l="1"/>
  <c r="I386" i="23" s="1"/>
  <c r="K386" i="23"/>
  <c r="V390" i="23"/>
  <c r="W390" i="23" s="1"/>
  <c r="R391" i="23" s="1"/>
  <c r="S391" i="23" s="1"/>
  <c r="P391" i="23" l="1"/>
  <c r="B387" i="23"/>
  <c r="D387" i="23"/>
  <c r="E387" i="23" s="1"/>
  <c r="Z391" i="23"/>
  <c r="AA391" i="23" s="1"/>
  <c r="AB392" i="23"/>
  <c r="Q392" i="23"/>
  <c r="C388" i="23" l="1"/>
  <c r="N388" i="23"/>
  <c r="L387" i="23"/>
  <c r="M387" i="23" s="1"/>
  <c r="J387" i="23"/>
  <c r="T391" i="23"/>
  <c r="F387" i="23" l="1"/>
  <c r="Y391" i="23"/>
  <c r="V391" i="23"/>
  <c r="W391" i="23" s="1"/>
  <c r="K387" i="23" l="1"/>
  <c r="H387" i="23"/>
  <c r="I387" i="23" s="1"/>
  <c r="R392" i="23"/>
  <c r="S392" i="23" s="1"/>
  <c r="P392" i="23"/>
  <c r="B388" i="23" l="1"/>
  <c r="D388" i="23"/>
  <c r="E388" i="23" s="1"/>
  <c r="Z392" i="23"/>
  <c r="AA392" i="23" s="1"/>
  <c r="Q393" i="23"/>
  <c r="AB393" i="23"/>
  <c r="N389" i="23" l="1"/>
  <c r="L388" i="23"/>
  <c r="M388" i="23" s="1"/>
  <c r="J388" i="23"/>
  <c r="C389" i="23"/>
  <c r="T392" i="23"/>
  <c r="F388" i="23" l="1"/>
  <c r="K388" i="23" s="1"/>
  <c r="Y392" i="23"/>
  <c r="V392" i="23"/>
  <c r="W392" i="23" s="1"/>
  <c r="H388" i="23" l="1"/>
  <c r="I388" i="23" s="1"/>
  <c r="B389" i="23" s="1"/>
  <c r="D389" i="23"/>
  <c r="E389" i="23" s="1"/>
  <c r="R393" i="23"/>
  <c r="S393" i="23" s="1"/>
  <c r="P393" i="23"/>
  <c r="L389" i="23" l="1"/>
  <c r="M389" i="23" s="1"/>
  <c r="J389" i="23"/>
  <c r="N390" i="23"/>
  <c r="C390" i="23"/>
  <c r="F389" i="23"/>
  <c r="Q394" i="23"/>
  <c r="Z393" i="23"/>
  <c r="AA393" i="23" s="1"/>
  <c r="AB394" i="23"/>
  <c r="T393" i="23" l="1"/>
  <c r="H389" i="23"/>
  <c r="I389" i="23" s="1"/>
  <c r="K389" i="23"/>
  <c r="V393" i="23"/>
  <c r="W393" i="23" s="1"/>
  <c r="Y393" i="23"/>
  <c r="B390" i="23" l="1"/>
  <c r="D390" i="23"/>
  <c r="E390" i="23" s="1"/>
  <c r="R394" i="23"/>
  <c r="S394" i="23" s="1"/>
  <c r="P394" i="23"/>
  <c r="L390" i="23" l="1"/>
  <c r="M390" i="23" s="1"/>
  <c r="C391" i="23"/>
  <c r="N391" i="23"/>
  <c r="F390" i="23"/>
  <c r="J390" i="23"/>
  <c r="Q395" i="23"/>
  <c r="AB395" i="23"/>
  <c r="Z394" i="23"/>
  <c r="K390" i="23" l="1"/>
  <c r="H390" i="23"/>
  <c r="I390" i="23" s="1"/>
  <c r="AA394" i="23"/>
  <c r="T394" i="23"/>
  <c r="D391" i="23" l="1"/>
  <c r="E391" i="23" s="1"/>
  <c r="B391" i="23"/>
  <c r="Y394" i="23"/>
  <c r="V394" i="23"/>
  <c r="W394" i="23" s="1"/>
  <c r="L391" i="23" l="1"/>
  <c r="C392" i="23"/>
  <c r="J391" i="23"/>
  <c r="N392" i="23"/>
  <c r="R395" i="23"/>
  <c r="S395" i="23" s="1"/>
  <c r="P395" i="23"/>
  <c r="M391" i="23" l="1"/>
  <c r="F391" i="23"/>
  <c r="Q396" i="23"/>
  <c r="Z395" i="23"/>
  <c r="AA395" i="23" s="1"/>
  <c r="AB396" i="23"/>
  <c r="T395" i="23" l="1"/>
  <c r="Y395" i="23" s="1"/>
  <c r="K391" i="23"/>
  <c r="H391" i="23"/>
  <c r="I391" i="23" s="1"/>
  <c r="V395" i="23"/>
  <c r="W395" i="23" s="1"/>
  <c r="P396" i="23" s="1"/>
  <c r="B392" i="23" l="1"/>
  <c r="D392" i="23"/>
  <c r="E392" i="23" s="1"/>
  <c r="R396" i="23"/>
  <c r="S396" i="23" s="1"/>
  <c r="AB397" i="23" s="1"/>
  <c r="J392" i="23" l="1"/>
  <c r="L392" i="23"/>
  <c r="M392" i="23" s="1"/>
  <c r="C393" i="23"/>
  <c r="N393" i="23"/>
  <c r="Z396" i="23"/>
  <c r="AA396" i="23" s="1"/>
  <c r="Q397" i="23"/>
  <c r="T396" i="23" l="1"/>
  <c r="Y396" i="23" s="1"/>
  <c r="F392" i="23"/>
  <c r="K392" i="23" s="1"/>
  <c r="V396" i="23"/>
  <c r="W396" i="23" s="1"/>
  <c r="H392" i="23" l="1"/>
  <c r="I392" i="23" s="1"/>
  <c r="B393" i="23" s="1"/>
  <c r="R397" i="23"/>
  <c r="S397" i="23" s="1"/>
  <c r="P397" i="23"/>
  <c r="D393" i="23" l="1"/>
  <c r="E393" i="23" s="1"/>
  <c r="L393" i="23" s="1"/>
  <c r="C394" i="23"/>
  <c r="J393" i="23"/>
  <c r="N394" i="23"/>
  <c r="Z397" i="23"/>
  <c r="AA397" i="23" s="1"/>
  <c r="AB398" i="23"/>
  <c r="Q398" i="23"/>
  <c r="M393" i="23" l="1"/>
  <c r="F393" i="23"/>
  <c r="T397" i="23"/>
  <c r="K393" i="23" l="1"/>
  <c r="H393" i="23"/>
  <c r="I393" i="23" s="1"/>
  <c r="Y397" i="23"/>
  <c r="V397" i="23"/>
  <c r="W397" i="23" s="1"/>
  <c r="B394" i="23" l="1"/>
  <c r="D394" i="23"/>
  <c r="E394" i="23" s="1"/>
  <c r="R398" i="23"/>
  <c r="S398" i="23" s="1"/>
  <c r="P398" i="23"/>
  <c r="N395" i="23" l="1"/>
  <c r="L394" i="23"/>
  <c r="C395" i="23"/>
  <c r="J394" i="23"/>
  <c r="AB399" i="23"/>
  <c r="Z398" i="23"/>
  <c r="AA398" i="23" s="1"/>
  <c r="Q399" i="23"/>
  <c r="M394" i="23" l="1"/>
  <c r="F394" i="23"/>
  <c r="T398" i="23"/>
  <c r="Y398" i="23" s="1"/>
  <c r="K394" i="23" l="1"/>
  <c r="H394" i="23"/>
  <c r="I394" i="23" s="1"/>
  <c r="V398" i="23"/>
  <c r="W398" i="23" s="1"/>
  <c r="R399" i="23" s="1"/>
  <c r="S399" i="23" s="1"/>
  <c r="B395" i="23" l="1"/>
  <c r="D395" i="23"/>
  <c r="E395" i="23" s="1"/>
  <c r="P399" i="23"/>
  <c r="AB400" i="23"/>
  <c r="Q400" i="23"/>
  <c r="Z399" i="23"/>
  <c r="AA399" i="23" s="1"/>
  <c r="L395" i="23" l="1"/>
  <c r="M395" i="23" s="1"/>
  <c r="J395" i="23"/>
  <c r="C396" i="23"/>
  <c r="N396" i="23"/>
  <c r="F395" i="23"/>
  <c r="K395" i="23" s="1"/>
  <c r="T399" i="23"/>
  <c r="Y399" i="23" s="1"/>
  <c r="H395" i="23" l="1"/>
  <c r="I395" i="23" s="1"/>
  <c r="V399" i="23"/>
  <c r="W399" i="23" s="1"/>
  <c r="P400" i="23" s="1"/>
  <c r="D396" i="23" l="1"/>
  <c r="E396" i="23" s="1"/>
  <c r="B396" i="23"/>
  <c r="R400" i="23"/>
  <c r="S400" i="23" s="1"/>
  <c r="Q401" i="23" s="1"/>
  <c r="C397" i="23" l="1"/>
  <c r="L396" i="23"/>
  <c r="M396" i="23" s="1"/>
  <c r="N397" i="23"/>
  <c r="J396" i="23"/>
  <c r="AB401" i="23"/>
  <c r="Z400" i="23"/>
  <c r="AA400" i="23" s="1"/>
  <c r="F396" i="23" l="1"/>
  <c r="T400" i="23"/>
  <c r="Y400" i="23" s="1"/>
  <c r="V400" i="23" l="1"/>
  <c r="W400" i="23" s="1"/>
  <c r="P401" i="23" s="1"/>
  <c r="K396" i="23"/>
  <c r="H396" i="23"/>
  <c r="I396" i="23" s="1"/>
  <c r="R401" i="23"/>
  <c r="S401" i="23" s="1"/>
  <c r="B397" i="23" l="1"/>
  <c r="D397" i="23"/>
  <c r="E397" i="23" s="1"/>
  <c r="Q402" i="23"/>
  <c r="Z401" i="23"/>
  <c r="AA401" i="23" s="1"/>
  <c r="AB402" i="23"/>
  <c r="J397" i="23" l="1"/>
  <c r="N398" i="23"/>
  <c r="C398" i="23"/>
  <c r="L397" i="23"/>
  <c r="M397" i="23" s="1"/>
  <c r="T401" i="23"/>
  <c r="F397" i="23" l="1"/>
  <c r="Y401" i="23"/>
  <c r="V401" i="23"/>
  <c r="W401" i="23" s="1"/>
  <c r="K397" i="23" l="1"/>
  <c r="H397" i="23"/>
  <c r="I397" i="23" s="1"/>
  <c r="P402" i="23"/>
  <c r="R402" i="23"/>
  <c r="S402" i="23" s="1"/>
  <c r="B398" i="23" l="1"/>
  <c r="D398" i="23"/>
  <c r="E398" i="23" s="1"/>
  <c r="Z402" i="23"/>
  <c r="AA402" i="23" s="1"/>
  <c r="AB403" i="23"/>
  <c r="Q403" i="23"/>
  <c r="N399" i="23" l="1"/>
  <c r="L398" i="23"/>
  <c r="M398" i="23" s="1"/>
  <c r="C399" i="23"/>
  <c r="J398" i="23"/>
  <c r="T402" i="23"/>
  <c r="Y402" i="23" s="1"/>
  <c r="F398" i="23" l="1"/>
  <c r="K398" i="23" s="1"/>
  <c r="H398" i="23"/>
  <c r="I398" i="23" s="1"/>
  <c r="V402" i="23"/>
  <c r="W402" i="23" s="1"/>
  <c r="P403" i="23" s="1"/>
  <c r="D399" i="23" l="1"/>
  <c r="E399" i="23" s="1"/>
  <c r="B399" i="23"/>
  <c r="R403" i="23"/>
  <c r="S403" i="23" s="1"/>
  <c r="Z403" i="23" s="1"/>
  <c r="AA403" i="23" s="1"/>
  <c r="C400" i="23" l="1"/>
  <c r="N400" i="23"/>
  <c r="J399" i="23"/>
  <c r="L399" i="23"/>
  <c r="M399" i="23" s="1"/>
  <c r="Q404" i="23"/>
  <c r="AB404" i="23"/>
  <c r="T403" i="23"/>
  <c r="Y403" i="23" s="1"/>
  <c r="F399" i="23" l="1"/>
  <c r="K399" i="23" s="1"/>
  <c r="V403" i="23"/>
  <c r="W403" i="23" s="1"/>
  <c r="R404" i="23" s="1"/>
  <c r="S404" i="23" s="1"/>
  <c r="H399" i="23" l="1"/>
  <c r="I399" i="23" s="1"/>
  <c r="B400" i="23" s="1"/>
  <c r="D400" i="23"/>
  <c r="E400" i="23" s="1"/>
  <c r="P404" i="23"/>
  <c r="AB405" i="23"/>
  <c r="Q405" i="23"/>
  <c r="Z404" i="23"/>
  <c r="AA404" i="23" s="1"/>
  <c r="L400" i="23" l="1"/>
  <c r="M400" i="23" s="1"/>
  <c r="N401" i="23"/>
  <c r="C401" i="23"/>
  <c r="J400" i="23"/>
  <c r="F400" i="23"/>
  <c r="K400" i="23" s="1"/>
  <c r="T404" i="23"/>
  <c r="Y404" i="23" s="1"/>
  <c r="H400" i="23" l="1"/>
  <c r="I400" i="23" s="1"/>
  <c r="V404" i="23"/>
  <c r="W404" i="23" s="1"/>
  <c r="R405" i="23" s="1"/>
  <c r="S405" i="23" s="1"/>
  <c r="B401" i="23" l="1"/>
  <c r="D401" i="23"/>
  <c r="E401" i="23" s="1"/>
  <c r="P405" i="23"/>
  <c r="Q406" i="23"/>
  <c r="Z405" i="23"/>
  <c r="AA405" i="23" s="1"/>
  <c r="AB406" i="23"/>
  <c r="L401" i="23" l="1"/>
  <c r="M401" i="23" s="1"/>
  <c r="J401" i="23"/>
  <c r="N402" i="23"/>
  <c r="C402" i="23"/>
  <c r="F401" i="23"/>
  <c r="T405" i="23"/>
  <c r="Y405" i="23" s="1"/>
  <c r="H401" i="23" l="1"/>
  <c r="I401" i="23" s="1"/>
  <c r="K401" i="23"/>
  <c r="V405" i="23"/>
  <c r="W405" i="23" s="1"/>
  <c r="R406" i="23" s="1"/>
  <c r="S406" i="23" s="1"/>
  <c r="B402" i="23" l="1"/>
  <c r="D402" i="23"/>
  <c r="E402" i="23" s="1"/>
  <c r="P406" i="23"/>
  <c r="Z406" i="23"/>
  <c r="AA406" i="23" s="1"/>
  <c r="Q407" i="23"/>
  <c r="AB407" i="23"/>
  <c r="C403" i="23" l="1"/>
  <c r="N403" i="23"/>
  <c r="L402" i="23"/>
  <c r="M402" i="23" s="1"/>
  <c r="J402" i="23"/>
  <c r="T406" i="23"/>
  <c r="Y406" i="23" s="1"/>
  <c r="F402" i="23" l="1"/>
  <c r="K402" i="23" s="1"/>
  <c r="V406" i="23"/>
  <c r="W406" i="23" s="1"/>
  <c r="P407" i="23" s="1"/>
  <c r="H402" i="23" l="1"/>
  <c r="I402" i="23" s="1"/>
  <c r="B403" i="23" s="1"/>
  <c r="D403" i="23"/>
  <c r="E403" i="23" s="1"/>
  <c r="R407" i="23"/>
  <c r="S407" i="23" s="1"/>
  <c r="Z407" i="23" s="1"/>
  <c r="AA407" i="23" s="1"/>
  <c r="C404" i="23" l="1"/>
  <c r="J403" i="23"/>
  <c r="L403" i="23"/>
  <c r="M403" i="23" s="1"/>
  <c r="N404" i="23"/>
  <c r="Q408" i="23"/>
  <c r="AB408" i="23"/>
  <c r="T407" i="23"/>
  <c r="Y407" i="23" s="1"/>
  <c r="F403" i="23" l="1"/>
  <c r="V407" i="23"/>
  <c r="W407" i="23" s="1"/>
  <c r="R408" i="23" s="1"/>
  <c r="S408" i="23" s="1"/>
  <c r="K403" i="23" l="1"/>
  <c r="H403" i="23"/>
  <c r="I403" i="23" s="1"/>
  <c r="P408" i="23"/>
  <c r="Q409" i="23"/>
  <c r="AB409" i="23"/>
  <c r="Z408" i="23"/>
  <c r="AA408" i="23" s="1"/>
  <c r="B404" i="23" l="1"/>
  <c r="D404" i="23"/>
  <c r="E404" i="23" s="1"/>
  <c r="T408" i="23"/>
  <c r="Y408" i="23" s="1"/>
  <c r="N405" i="23" l="1"/>
  <c r="C405" i="23"/>
  <c r="J404" i="23"/>
  <c r="L404" i="23"/>
  <c r="M404" i="23" s="1"/>
  <c r="V408" i="23"/>
  <c r="W408" i="23" s="1"/>
  <c r="P409" i="23" s="1"/>
  <c r="F404" i="23" l="1"/>
  <c r="H404" i="23" s="1"/>
  <c r="I404" i="23" s="1"/>
  <c r="R409" i="23"/>
  <c r="S409" i="23" s="1"/>
  <c r="Q410" i="23" s="1"/>
  <c r="K404" i="23" l="1"/>
  <c r="B405" i="23"/>
  <c r="D405" i="23"/>
  <c r="E405" i="23" s="1"/>
  <c r="AB410" i="23"/>
  <c r="Z409" i="23"/>
  <c r="AA409" i="23" s="1"/>
  <c r="L405" i="23" l="1"/>
  <c r="N406" i="23"/>
  <c r="J405" i="23"/>
  <c r="C406" i="23"/>
  <c r="T409" i="23"/>
  <c r="Y409" i="23" s="1"/>
  <c r="V409" i="23" l="1"/>
  <c r="W409" i="23" s="1"/>
  <c r="M405" i="23"/>
  <c r="F405" i="23"/>
  <c r="P410" i="23"/>
  <c r="R410" i="23"/>
  <c r="S410" i="23" s="1"/>
  <c r="K405" i="23" l="1"/>
  <c r="H405" i="23"/>
  <c r="I405" i="23" s="1"/>
  <c r="Q411" i="23"/>
  <c r="AB411" i="23"/>
  <c r="Z410" i="23"/>
  <c r="AA410" i="23" s="1"/>
  <c r="D406" i="23" l="1"/>
  <c r="E406" i="23" s="1"/>
  <c r="B406" i="23"/>
  <c r="T410" i="23"/>
  <c r="Y410" i="23" s="1"/>
  <c r="L406" i="23" l="1"/>
  <c r="M406" i="23" s="1"/>
  <c r="J406" i="23"/>
  <c r="N407" i="23"/>
  <c r="C407" i="23"/>
  <c r="F406" i="23"/>
  <c r="V410" i="23"/>
  <c r="W410" i="23" s="1"/>
  <c r="P411" i="23" s="1"/>
  <c r="K406" i="23" l="1"/>
  <c r="H406" i="23"/>
  <c r="I406" i="23" s="1"/>
  <c r="R411" i="23"/>
  <c r="S411" i="23" s="1"/>
  <c r="Z411" i="23" s="1"/>
  <c r="AA411" i="23" s="1"/>
  <c r="B407" i="23" l="1"/>
  <c r="D407" i="23"/>
  <c r="E407" i="23" s="1"/>
  <c r="T411" i="23"/>
  <c r="Y411" i="23" s="1"/>
  <c r="AB412" i="23"/>
  <c r="Q412" i="23"/>
  <c r="L407" i="23" l="1"/>
  <c r="M407" i="23" s="1"/>
  <c r="J407" i="23"/>
  <c r="C408" i="23"/>
  <c r="F407" i="23"/>
  <c r="N408" i="23"/>
  <c r="V411" i="23"/>
  <c r="W411" i="23" s="1"/>
  <c r="P412" i="23" s="1"/>
  <c r="K407" i="23" l="1"/>
  <c r="H407" i="23"/>
  <c r="I407" i="23" s="1"/>
  <c r="R412" i="23"/>
  <c r="S412" i="23" s="1"/>
  <c r="Q413" i="23" s="1"/>
  <c r="D408" i="23" l="1"/>
  <c r="E408" i="23" s="1"/>
  <c r="B408" i="23"/>
  <c r="AB413" i="23"/>
  <c r="Z412" i="23"/>
  <c r="AA412" i="23" s="1"/>
  <c r="J408" i="23" l="1"/>
  <c r="L408" i="23"/>
  <c r="N409" i="23"/>
  <c r="C409" i="23"/>
  <c r="T412" i="23"/>
  <c r="Y412" i="23" s="1"/>
  <c r="M408" i="23" l="1"/>
  <c r="F408" i="23"/>
  <c r="V412" i="23"/>
  <c r="W412" i="23" s="1"/>
  <c r="P413" i="23" s="1"/>
  <c r="R413" i="23" l="1"/>
  <c r="S413" i="23" s="1"/>
  <c r="Q414" i="23" s="1"/>
  <c r="K408" i="23"/>
  <c r="H408" i="23"/>
  <c r="I408" i="23" s="1"/>
  <c r="AB414" i="23"/>
  <c r="Z413" i="23"/>
  <c r="AA413" i="23" s="1"/>
  <c r="B409" i="23" l="1"/>
  <c r="D409" i="23"/>
  <c r="E409" i="23" s="1"/>
  <c r="T413" i="23"/>
  <c r="L409" i="23" l="1"/>
  <c r="M409" i="23" s="1"/>
  <c r="C410" i="23"/>
  <c r="F409" i="23"/>
  <c r="J409" i="23"/>
  <c r="N410" i="23"/>
  <c r="Y413" i="23"/>
  <c r="V413" i="23"/>
  <c r="W413" i="23" s="1"/>
  <c r="K409" i="23" l="1"/>
  <c r="H409" i="23"/>
  <c r="I409" i="23" s="1"/>
  <c r="R414" i="23"/>
  <c r="S414" i="23" s="1"/>
  <c r="P414" i="23"/>
  <c r="B410" i="23" l="1"/>
  <c r="D410" i="23"/>
  <c r="E410" i="23" s="1"/>
  <c r="AB415" i="23"/>
  <c r="Q415" i="23"/>
  <c r="Z414" i="23"/>
  <c r="AA414" i="23" s="1"/>
  <c r="N411" i="23" l="1"/>
  <c r="J410" i="23"/>
  <c r="C411" i="23"/>
  <c r="L410" i="23"/>
  <c r="T414" i="23"/>
  <c r="Y414" i="23" s="1"/>
  <c r="M410" i="23" l="1"/>
  <c r="F410" i="23"/>
  <c r="V414" i="23"/>
  <c r="W414" i="23" s="1"/>
  <c r="P415" i="23" s="1"/>
  <c r="K410" i="23" l="1"/>
  <c r="H410" i="23"/>
  <c r="I410" i="23" s="1"/>
  <c r="R415" i="23"/>
  <c r="S415" i="23" s="1"/>
  <c r="Q416" i="23" s="1"/>
  <c r="Z415" i="23" l="1"/>
  <c r="AA415" i="23" s="1"/>
  <c r="D411" i="23"/>
  <c r="E411" i="23" s="1"/>
  <c r="B411" i="23"/>
  <c r="AB416" i="23"/>
  <c r="T415" i="23"/>
  <c r="Y415" i="23" s="1"/>
  <c r="J411" i="23" l="1"/>
  <c r="C412" i="23"/>
  <c r="L411" i="23"/>
  <c r="N412" i="23"/>
  <c r="V415" i="23"/>
  <c r="W415" i="23" s="1"/>
  <c r="R416" i="23" s="1"/>
  <c r="S416" i="23" s="1"/>
  <c r="M411" i="23" l="1"/>
  <c r="F411" i="23"/>
  <c r="P416" i="23"/>
  <c r="Z416" i="23"/>
  <c r="AA416" i="23" s="1"/>
  <c r="AB417" i="23"/>
  <c r="Q417" i="23"/>
  <c r="K411" i="23" l="1"/>
  <c r="H411" i="23"/>
  <c r="I411" i="23" s="1"/>
  <c r="T416" i="23"/>
  <c r="D412" i="23" l="1"/>
  <c r="E412" i="23" s="1"/>
  <c r="B412" i="23"/>
  <c r="Y416" i="23"/>
  <c r="V416" i="23"/>
  <c r="W416" i="23" s="1"/>
  <c r="N413" i="23" l="1"/>
  <c r="L412" i="23"/>
  <c r="C413" i="23"/>
  <c r="J412" i="23"/>
  <c r="P417" i="23"/>
  <c r="R417" i="23"/>
  <c r="S417" i="23" s="1"/>
  <c r="M412" i="23" l="1"/>
  <c r="F412" i="23"/>
  <c r="Z417" i="23"/>
  <c r="AA417" i="23" s="1"/>
  <c r="AB418" i="23"/>
  <c r="Q418" i="23"/>
  <c r="K412" i="23" l="1"/>
  <c r="H412" i="23"/>
  <c r="I412" i="23" s="1"/>
  <c r="T417" i="23"/>
  <c r="Y417" i="23" s="1"/>
  <c r="B413" i="23" l="1"/>
  <c r="D413" i="23"/>
  <c r="E413" i="23" s="1"/>
  <c r="V417" i="23"/>
  <c r="W417" i="23" s="1"/>
  <c r="R418" i="23" s="1"/>
  <c r="S418" i="23" s="1"/>
  <c r="C414" i="23" l="1"/>
  <c r="L413" i="23"/>
  <c r="M413" i="23" s="1"/>
  <c r="J413" i="23"/>
  <c r="F413" i="23"/>
  <c r="N414" i="23"/>
  <c r="P418" i="23"/>
  <c r="AB419" i="23"/>
  <c r="Z418" i="23"/>
  <c r="AA418" i="23" s="1"/>
  <c r="Q419" i="23"/>
  <c r="K413" i="23" l="1"/>
  <c r="H413" i="23"/>
  <c r="I413" i="23" s="1"/>
  <c r="T418" i="23"/>
  <c r="B414" i="23" l="1"/>
  <c r="D414" i="23"/>
  <c r="E414" i="23" s="1"/>
  <c r="Y418" i="23"/>
  <c r="V418" i="23"/>
  <c r="W418" i="23" s="1"/>
  <c r="N415" i="23" l="1"/>
  <c r="C415" i="23"/>
  <c r="J414" i="23"/>
  <c r="L414" i="23"/>
  <c r="M414" i="23" s="1"/>
  <c r="P419" i="23"/>
  <c r="R419" i="23"/>
  <c r="S419" i="23" s="1"/>
  <c r="F414" i="23" l="1"/>
  <c r="Q420" i="23"/>
  <c r="AB420" i="23"/>
  <c r="Z419" i="23"/>
  <c r="AA419" i="23" s="1"/>
  <c r="K414" i="23" l="1"/>
  <c r="H414" i="23"/>
  <c r="I414" i="23" s="1"/>
  <c r="T419" i="23"/>
  <c r="D415" i="23" l="1"/>
  <c r="E415" i="23" s="1"/>
  <c r="B415" i="23"/>
  <c r="Y419" i="23"/>
  <c r="V419" i="23"/>
  <c r="W419" i="23" s="1"/>
  <c r="J415" i="23" l="1"/>
  <c r="L415" i="23"/>
  <c r="C416" i="23"/>
  <c r="N416" i="23"/>
  <c r="P420" i="23"/>
  <c r="R420" i="23"/>
  <c r="S420" i="23" s="1"/>
  <c r="M415" i="23" l="1"/>
  <c r="F415" i="23"/>
  <c r="Z420" i="23"/>
  <c r="AA420" i="23" s="1"/>
  <c r="AB421" i="23"/>
  <c r="Q421" i="23"/>
  <c r="K415" i="23" l="1"/>
  <c r="H415" i="23"/>
  <c r="I415" i="23" s="1"/>
  <c r="T420" i="23"/>
  <c r="Y420" i="23" s="1"/>
  <c r="B416" i="23" l="1"/>
  <c r="D416" i="23"/>
  <c r="E416" i="23" s="1"/>
  <c r="V420" i="23"/>
  <c r="W420" i="23" s="1"/>
  <c r="R421" i="23" s="1"/>
  <c r="S421" i="23" s="1"/>
  <c r="J416" i="23" l="1"/>
  <c r="C417" i="23"/>
  <c r="N417" i="23"/>
  <c r="L416" i="23"/>
  <c r="P421" i="23"/>
  <c r="Q422" i="23"/>
  <c r="Z421" i="23"/>
  <c r="AA421" i="23" s="1"/>
  <c r="AB422" i="23"/>
  <c r="M416" i="23" l="1"/>
  <c r="F416" i="23"/>
  <c r="T421" i="23"/>
  <c r="Y421" i="23" s="1"/>
  <c r="K416" i="23" l="1"/>
  <c r="H416" i="23"/>
  <c r="I416" i="23" s="1"/>
  <c r="V421" i="23"/>
  <c r="W421" i="23" s="1"/>
  <c r="R422" i="23" s="1"/>
  <c r="S422" i="23" s="1"/>
  <c r="D417" i="23" l="1"/>
  <c r="E417" i="23" s="1"/>
  <c r="B417" i="23"/>
  <c r="P422" i="23"/>
  <c r="AB423" i="23"/>
  <c r="Z422" i="23"/>
  <c r="AA422" i="23" s="1"/>
  <c r="Q423" i="23"/>
  <c r="J417" i="23" l="1"/>
  <c r="C418" i="23"/>
  <c r="N418" i="23"/>
  <c r="L417" i="23"/>
  <c r="T422" i="23"/>
  <c r="Y422" i="23" s="1"/>
  <c r="M417" i="23" l="1"/>
  <c r="F417" i="23"/>
  <c r="V422" i="23"/>
  <c r="W422" i="23" s="1"/>
  <c r="P423" i="23" s="1"/>
  <c r="K417" i="23" l="1"/>
  <c r="H417" i="23"/>
  <c r="I417" i="23" s="1"/>
  <c r="R423" i="23"/>
  <c r="S423" i="23" s="1"/>
  <c r="Z423" i="23" s="1"/>
  <c r="AA423" i="23" s="1"/>
  <c r="D418" i="23" l="1"/>
  <c r="E418" i="23" s="1"/>
  <c r="B418" i="23"/>
  <c r="Q424" i="23"/>
  <c r="AB424" i="23"/>
  <c r="T423" i="23"/>
  <c r="N419" i="23" l="1"/>
  <c r="J418" i="23"/>
  <c r="C419" i="23"/>
  <c r="L418" i="23"/>
  <c r="M418" i="23" s="1"/>
  <c r="Y423" i="23"/>
  <c r="V423" i="23"/>
  <c r="W423" i="23" s="1"/>
  <c r="F418" i="23" l="1"/>
  <c r="K418" i="23" s="1"/>
  <c r="R424" i="23"/>
  <c r="S424" i="23" s="1"/>
  <c r="P424" i="23"/>
  <c r="H418" i="23" l="1"/>
  <c r="I418" i="23" s="1"/>
  <c r="D419" i="23" s="1"/>
  <c r="E419" i="23" s="1"/>
  <c r="Z424" i="23"/>
  <c r="AA424" i="23" s="1"/>
  <c r="AB425" i="23"/>
  <c r="Q425" i="23"/>
  <c r="B419" i="23" l="1"/>
  <c r="N420" i="23"/>
  <c r="J419" i="23"/>
  <c r="L419" i="23"/>
  <c r="C420" i="23"/>
  <c r="T424" i="23"/>
  <c r="Y424" i="23" s="1"/>
  <c r="M419" i="23" l="1"/>
  <c r="F419" i="23"/>
  <c r="V424" i="23"/>
  <c r="W424" i="23" s="1"/>
  <c r="P425" i="23" s="1"/>
  <c r="K419" i="23" l="1"/>
  <c r="H419" i="23"/>
  <c r="I419" i="23" s="1"/>
  <c r="R425" i="23"/>
  <c r="S425" i="23" s="1"/>
  <c r="Z425" i="23" s="1"/>
  <c r="AA425" i="23" s="1"/>
  <c r="D420" i="23" l="1"/>
  <c r="E420" i="23" s="1"/>
  <c r="B420" i="23"/>
  <c r="Q426" i="23"/>
  <c r="AB426" i="23"/>
  <c r="T425" i="23"/>
  <c r="Y425" i="23" s="1"/>
  <c r="N421" i="23" l="1"/>
  <c r="C421" i="23"/>
  <c r="J420" i="23"/>
  <c r="L420" i="23"/>
  <c r="V425" i="23"/>
  <c r="W425" i="23" s="1"/>
  <c r="R426" i="23" s="1"/>
  <c r="S426" i="23" s="1"/>
  <c r="M420" i="23" l="1"/>
  <c r="F420" i="23"/>
  <c r="P426" i="23"/>
  <c r="AB427" i="23"/>
  <c r="Q427" i="23"/>
  <c r="Z426" i="23"/>
  <c r="AA426" i="23" s="1"/>
  <c r="K420" i="23" l="1"/>
  <c r="H420" i="23"/>
  <c r="I420" i="23" s="1"/>
  <c r="T426" i="23"/>
  <c r="B421" i="23" l="1"/>
  <c r="D421" i="23"/>
  <c r="E421" i="23" s="1"/>
  <c r="Y426" i="23"/>
  <c r="V426" i="23"/>
  <c r="W426" i="23" s="1"/>
  <c r="C422" i="23" l="1"/>
  <c r="J421" i="23"/>
  <c r="N422" i="23"/>
  <c r="L421" i="23"/>
  <c r="M421" i="23" s="1"/>
  <c r="P427" i="23"/>
  <c r="R427" i="23"/>
  <c r="S427" i="23" s="1"/>
  <c r="F421" i="23" l="1"/>
  <c r="Z427" i="23"/>
  <c r="AA427" i="23" s="1"/>
  <c r="AB428" i="23"/>
  <c r="Q428" i="23"/>
  <c r="K421" i="23" l="1"/>
  <c r="H421" i="23"/>
  <c r="I421" i="23" s="1"/>
  <c r="T427" i="23"/>
  <c r="Y427" i="23" s="1"/>
  <c r="D422" i="23" l="1"/>
  <c r="E422" i="23" s="1"/>
  <c r="B422" i="23"/>
  <c r="V427" i="23"/>
  <c r="W427" i="23" s="1"/>
  <c r="R428" i="23" s="1"/>
  <c r="S428" i="23" s="1"/>
  <c r="J422" i="23" l="1"/>
  <c r="L422" i="23"/>
  <c r="M422" i="23" s="1"/>
  <c r="C423" i="23"/>
  <c r="N423" i="23"/>
  <c r="P428" i="23"/>
  <c r="AB429" i="23"/>
  <c r="Q429" i="23"/>
  <c r="Z428" i="23"/>
  <c r="AA428" i="23" s="1"/>
  <c r="F422" i="23" l="1"/>
  <c r="K422" i="23"/>
  <c r="H422" i="23"/>
  <c r="I422" i="23" s="1"/>
  <c r="T428" i="23"/>
  <c r="D423" i="23" l="1"/>
  <c r="E423" i="23" s="1"/>
  <c r="B423" i="23"/>
  <c r="Y428" i="23"/>
  <c r="V428" i="23"/>
  <c r="W428" i="23" s="1"/>
  <c r="J423" i="23" l="1"/>
  <c r="C424" i="23"/>
  <c r="L423" i="23"/>
  <c r="M423" i="23" s="1"/>
  <c r="N424" i="23"/>
  <c r="P429" i="23"/>
  <c r="R429" i="23"/>
  <c r="S429" i="23" s="1"/>
  <c r="F423" i="23" l="1"/>
  <c r="K423" i="23" s="1"/>
  <c r="AB430" i="23"/>
  <c r="Q430" i="23"/>
  <c r="Z429" i="23"/>
  <c r="AA429" i="23" s="1"/>
  <c r="H423" i="23" l="1"/>
  <c r="I423" i="23" s="1"/>
  <c r="D424" i="23"/>
  <c r="E424" i="23" s="1"/>
  <c r="B424" i="23"/>
  <c r="T429" i="23"/>
  <c r="L424" i="23" l="1"/>
  <c r="M424" i="23" s="1"/>
  <c r="N425" i="23"/>
  <c r="C425" i="23"/>
  <c r="J424" i="23"/>
  <c r="F424" i="23"/>
  <c r="Y429" i="23"/>
  <c r="V429" i="23"/>
  <c r="W429" i="23" s="1"/>
  <c r="K424" i="23" l="1"/>
  <c r="H424" i="23"/>
  <c r="I424" i="23" s="1"/>
  <c r="R430" i="23"/>
  <c r="S430" i="23" s="1"/>
  <c r="P430" i="23"/>
  <c r="D425" i="23" l="1"/>
  <c r="E425" i="23" s="1"/>
  <c r="B425" i="23"/>
  <c r="Z430" i="23"/>
  <c r="AA430" i="23" s="1"/>
  <c r="Q431" i="23"/>
  <c r="AB431" i="23"/>
  <c r="L425" i="23" l="1"/>
  <c r="N426" i="23"/>
  <c r="J425" i="23"/>
  <c r="C426" i="23"/>
  <c r="T430" i="23"/>
  <c r="M425" i="23" l="1"/>
  <c r="F425" i="23"/>
  <c r="Y430" i="23"/>
  <c r="V430" i="23"/>
  <c r="W430" i="23" s="1"/>
  <c r="K425" i="23" l="1"/>
  <c r="H425" i="23"/>
  <c r="I425" i="23" s="1"/>
  <c r="R431" i="23"/>
  <c r="S431" i="23" s="1"/>
  <c r="P431" i="23"/>
  <c r="D426" i="23" l="1"/>
  <c r="E426" i="23" s="1"/>
  <c r="B426" i="23"/>
  <c r="Z431" i="23"/>
  <c r="AA431" i="23" s="1"/>
  <c r="Q432" i="23"/>
  <c r="AB432" i="23"/>
  <c r="L426" i="23" l="1"/>
  <c r="N427" i="23"/>
  <c r="C427" i="23"/>
  <c r="J426" i="23"/>
  <c r="T431" i="23"/>
  <c r="M426" i="23" l="1"/>
  <c r="F426" i="23"/>
  <c r="Y431" i="23"/>
  <c r="V431" i="23"/>
  <c r="W431" i="23" s="1"/>
  <c r="K426" i="23" l="1"/>
  <c r="H426" i="23"/>
  <c r="I426" i="23" s="1"/>
  <c r="R432" i="23"/>
  <c r="S432" i="23" s="1"/>
  <c r="P432" i="23"/>
  <c r="D427" i="23" l="1"/>
  <c r="E427" i="23" s="1"/>
  <c r="B427" i="23"/>
  <c r="Q433" i="23"/>
  <c r="AB433" i="23"/>
  <c r="Z432" i="23"/>
  <c r="AA432" i="23" s="1"/>
  <c r="C428" i="23" l="1"/>
  <c r="J427" i="23"/>
  <c r="L427" i="23"/>
  <c r="M427" i="23" s="1"/>
  <c r="N428" i="23"/>
  <c r="T432" i="23"/>
  <c r="F427" i="23" l="1"/>
  <c r="Y432" i="23"/>
  <c r="V432" i="23"/>
  <c r="W432" i="23" s="1"/>
  <c r="K427" i="23" l="1"/>
  <c r="H427" i="23"/>
  <c r="I427" i="23" s="1"/>
  <c r="P433" i="23"/>
  <c r="R433" i="23"/>
  <c r="S433" i="23" s="1"/>
  <c r="B428" i="23" l="1"/>
  <c r="D428" i="23"/>
  <c r="E428" i="23" s="1"/>
  <c r="AB434" i="23"/>
  <c r="Z433" i="23"/>
  <c r="AA433" i="23" s="1"/>
  <c r="Q434" i="23"/>
  <c r="L428" i="23" l="1"/>
  <c r="M428" i="23" s="1"/>
  <c r="N429" i="23"/>
  <c r="J428" i="23"/>
  <c r="C429" i="23"/>
  <c r="F428" i="23"/>
  <c r="T433" i="23"/>
  <c r="Y433" i="23" s="1"/>
  <c r="K428" i="23" l="1"/>
  <c r="H428" i="23"/>
  <c r="I428" i="23" s="1"/>
  <c r="V433" i="23"/>
  <c r="W433" i="23" s="1"/>
  <c r="R434" i="23" s="1"/>
  <c r="S434" i="23" s="1"/>
  <c r="D429" i="23" l="1"/>
  <c r="E429" i="23" s="1"/>
  <c r="B429" i="23"/>
  <c r="P434" i="23"/>
  <c r="Q435" i="23"/>
  <c r="AB435" i="23"/>
  <c r="Z434" i="23"/>
  <c r="AA434" i="23" s="1"/>
  <c r="J429" i="23" l="1"/>
  <c r="N430" i="23"/>
  <c r="C430" i="23"/>
  <c r="L429" i="23"/>
  <c r="T434" i="23"/>
  <c r="Y434" i="23" s="1"/>
  <c r="M429" i="23" l="1"/>
  <c r="F429" i="23"/>
  <c r="V434" i="23"/>
  <c r="W434" i="23" s="1"/>
  <c r="R435" i="23" s="1"/>
  <c r="S435" i="23" s="1"/>
  <c r="H429" i="23" l="1"/>
  <c r="I429" i="23" s="1"/>
  <c r="K429" i="23"/>
  <c r="P435" i="23"/>
  <c r="Z435" i="23"/>
  <c r="AA435" i="23" s="1"/>
  <c r="Q436" i="23"/>
  <c r="AB436" i="23"/>
  <c r="D430" i="23" l="1"/>
  <c r="E430" i="23" s="1"/>
  <c r="B430" i="23"/>
  <c r="T435" i="23"/>
  <c r="N431" i="23" l="1"/>
  <c r="C431" i="23"/>
  <c r="L430" i="23"/>
  <c r="M430" i="23" s="1"/>
  <c r="J430" i="23"/>
  <c r="Y435" i="23"/>
  <c r="V435" i="23"/>
  <c r="W435" i="23" s="1"/>
  <c r="F430" i="23" l="1"/>
  <c r="K430" i="23" s="1"/>
  <c r="H430" i="23"/>
  <c r="I430" i="23" s="1"/>
  <c r="R436" i="23"/>
  <c r="S436" i="23" s="1"/>
  <c r="P436" i="23"/>
  <c r="D431" i="23" l="1"/>
  <c r="E431" i="23" s="1"/>
  <c r="B431" i="23"/>
  <c r="AB437" i="23"/>
  <c r="Q437" i="23"/>
  <c r="Z436" i="23"/>
  <c r="AA436" i="23" s="1"/>
  <c r="N432" i="23" l="1"/>
  <c r="C432" i="23"/>
  <c r="J431" i="23"/>
  <c r="L431" i="23"/>
  <c r="M431" i="23" s="1"/>
  <c r="T436" i="23"/>
  <c r="F431" i="23" l="1"/>
  <c r="K431" i="23"/>
  <c r="H431" i="23"/>
  <c r="I431" i="23" s="1"/>
  <c r="Y436" i="23"/>
  <c r="V436" i="23"/>
  <c r="W436" i="23" s="1"/>
  <c r="B432" i="23" l="1"/>
  <c r="D432" i="23"/>
  <c r="E432" i="23" s="1"/>
  <c r="R437" i="23"/>
  <c r="S437" i="23" s="1"/>
  <c r="P437" i="23"/>
  <c r="J432" i="23" l="1"/>
  <c r="N433" i="23"/>
  <c r="C433" i="23"/>
  <c r="L432" i="23"/>
  <c r="Z437" i="23"/>
  <c r="AA437" i="23" s="1"/>
  <c r="AB438" i="23"/>
  <c r="Q438" i="23"/>
  <c r="M432" i="23" l="1"/>
  <c r="F432" i="23"/>
  <c r="T437" i="23"/>
  <c r="Y437" i="23" s="1"/>
  <c r="H432" i="23" l="1"/>
  <c r="I432" i="23" s="1"/>
  <c r="K432" i="23"/>
  <c r="V437" i="23"/>
  <c r="W437" i="23" s="1"/>
  <c r="R438" i="23" s="1"/>
  <c r="S438" i="23" s="1"/>
  <c r="B433" i="23" l="1"/>
  <c r="D433" i="23"/>
  <c r="E433" i="23" s="1"/>
  <c r="P438" i="23"/>
  <c r="Z438" i="23"/>
  <c r="AA438" i="23" s="1"/>
  <c r="Q439" i="23"/>
  <c r="AB439" i="23"/>
  <c r="J433" i="23" l="1"/>
  <c r="N434" i="23"/>
  <c r="C434" i="23"/>
  <c r="L433" i="23"/>
  <c r="M433" i="23" s="1"/>
  <c r="T438" i="23"/>
  <c r="F433" i="23" l="1"/>
  <c r="H433" i="23" s="1"/>
  <c r="I433" i="23" s="1"/>
  <c r="B434" i="23"/>
  <c r="D434" i="23"/>
  <c r="E434" i="23" s="1"/>
  <c r="Y438" i="23"/>
  <c r="V438" i="23"/>
  <c r="W438" i="23" s="1"/>
  <c r="K433" i="23" l="1"/>
  <c r="N435" i="23"/>
  <c r="C435" i="23"/>
  <c r="L434" i="23"/>
  <c r="M434" i="23" s="1"/>
  <c r="J434" i="23"/>
  <c r="R439" i="23"/>
  <c r="S439" i="23" s="1"/>
  <c r="P439" i="23"/>
  <c r="F434" i="23" l="1"/>
  <c r="Z439" i="23"/>
  <c r="AA439" i="23" s="1"/>
  <c r="Q440" i="23"/>
  <c r="AB440" i="23"/>
  <c r="K434" i="23" l="1"/>
  <c r="H434" i="23"/>
  <c r="I434" i="23" s="1"/>
  <c r="T439" i="23"/>
  <c r="D435" i="23" l="1"/>
  <c r="E435" i="23" s="1"/>
  <c r="B435" i="23"/>
  <c r="Y439" i="23"/>
  <c r="V439" i="23"/>
  <c r="W439" i="23" s="1"/>
  <c r="C436" i="23" l="1"/>
  <c r="L435" i="23"/>
  <c r="M435" i="23" s="1"/>
  <c r="F435" i="23"/>
  <c r="K435" i="23" s="1"/>
  <c r="J435" i="23"/>
  <c r="N436" i="23"/>
  <c r="P440" i="23"/>
  <c r="R440" i="23"/>
  <c r="S440" i="23" s="1"/>
  <c r="H435" i="23" l="1"/>
  <c r="I435" i="23" s="1"/>
  <c r="AB441" i="23"/>
  <c r="Q441" i="23"/>
  <c r="Z440" i="23"/>
  <c r="AA440" i="23" s="1"/>
  <c r="B436" i="23" l="1"/>
  <c r="D436" i="23"/>
  <c r="E436" i="23" s="1"/>
  <c r="T440" i="23"/>
  <c r="N437" i="23" l="1"/>
  <c r="L436" i="23"/>
  <c r="M436" i="23" s="1"/>
  <c r="J436" i="23"/>
  <c r="C437" i="23"/>
  <c r="Y440" i="23"/>
  <c r="V440" i="23"/>
  <c r="W440" i="23" s="1"/>
  <c r="F436" i="23" l="1"/>
  <c r="R441" i="23"/>
  <c r="S441" i="23" s="1"/>
  <c r="P441" i="23"/>
  <c r="K436" i="23" l="1"/>
  <c r="H436" i="23"/>
  <c r="I436" i="23" s="1"/>
  <c r="Q442" i="23"/>
  <c r="Z441" i="23"/>
  <c r="AA441" i="23" s="1"/>
  <c r="AB442" i="23"/>
  <c r="B437" i="23" l="1"/>
  <c r="D437" i="23"/>
  <c r="E437" i="23" s="1"/>
  <c r="T441" i="23"/>
  <c r="L437" i="23" l="1"/>
  <c r="M437" i="23" s="1"/>
  <c r="C438" i="23"/>
  <c r="J437" i="23"/>
  <c r="N438" i="23"/>
  <c r="F437" i="23"/>
  <c r="K437" i="23" s="1"/>
  <c r="Y441" i="23"/>
  <c r="V441" i="23"/>
  <c r="W441" i="23" s="1"/>
  <c r="H437" i="23" l="1"/>
  <c r="I437" i="23" s="1"/>
  <c r="D438" i="23"/>
  <c r="E438" i="23" s="1"/>
  <c r="B438" i="23"/>
  <c r="P442" i="23"/>
  <c r="R442" i="23"/>
  <c r="S442" i="23" s="1"/>
  <c r="C439" i="23" l="1"/>
  <c r="N439" i="23"/>
  <c r="L438" i="23"/>
  <c r="M438" i="23" s="1"/>
  <c r="J438" i="23"/>
  <c r="Z442" i="23"/>
  <c r="AA442" i="23" s="1"/>
  <c r="AB443" i="23"/>
  <c r="Q443" i="23"/>
  <c r="F438" i="23" l="1"/>
  <c r="K438" i="23" s="1"/>
  <c r="T442" i="23"/>
  <c r="Y442" i="23" s="1"/>
  <c r="H438" i="23" l="1"/>
  <c r="I438" i="23" s="1"/>
  <c r="D439" i="23" s="1"/>
  <c r="E439" i="23" s="1"/>
  <c r="V442" i="23"/>
  <c r="W442" i="23" s="1"/>
  <c r="P443" i="23" s="1"/>
  <c r="B439" i="23" l="1"/>
  <c r="J439" i="23"/>
  <c r="L439" i="23"/>
  <c r="M439" i="23" s="1"/>
  <c r="N440" i="23"/>
  <c r="C440" i="23"/>
  <c r="R443" i="23"/>
  <c r="S443" i="23" s="1"/>
  <c r="AB444" i="23" s="1"/>
  <c r="F439" i="23" l="1"/>
  <c r="Q444" i="23"/>
  <c r="Z443" i="23"/>
  <c r="AA443" i="23" s="1"/>
  <c r="K439" i="23" l="1"/>
  <c r="H439" i="23"/>
  <c r="I439" i="23" s="1"/>
  <c r="T443" i="23"/>
  <c r="Y443" i="23" s="1"/>
  <c r="D440" i="23" l="1"/>
  <c r="E440" i="23" s="1"/>
  <c r="B440" i="23"/>
  <c r="V443" i="23"/>
  <c r="W443" i="23" s="1"/>
  <c r="R444" i="23" s="1"/>
  <c r="S444" i="23" s="1"/>
  <c r="P444" i="23" l="1"/>
  <c r="L440" i="23"/>
  <c r="M440" i="23" s="1"/>
  <c r="N441" i="23"/>
  <c r="J440" i="23"/>
  <c r="C441" i="23"/>
  <c r="Q445" i="23"/>
  <c r="Z444" i="23"/>
  <c r="AA444" i="23" s="1"/>
  <c r="AB445" i="23"/>
  <c r="F440" i="23" l="1"/>
  <c r="T444" i="23"/>
  <c r="K440" i="23" l="1"/>
  <c r="H440" i="23"/>
  <c r="I440" i="23" s="1"/>
  <c r="Y444" i="23"/>
  <c r="V444" i="23"/>
  <c r="W444" i="23" s="1"/>
  <c r="B441" i="23" l="1"/>
  <c r="D441" i="23"/>
  <c r="E441" i="23" s="1"/>
  <c r="P445" i="23"/>
  <c r="R445" i="23"/>
  <c r="S445" i="23" s="1"/>
  <c r="N442" i="23" l="1"/>
  <c r="L441" i="23"/>
  <c r="M441" i="23" s="1"/>
  <c r="C442" i="23"/>
  <c r="J441" i="23"/>
  <c r="Q446" i="23"/>
  <c r="Z445" i="23"/>
  <c r="AA445" i="23" s="1"/>
  <c r="AB446" i="23"/>
  <c r="F441" i="23" l="1"/>
  <c r="T445" i="23"/>
  <c r="Y445" i="23" s="1"/>
  <c r="K441" i="23" l="1"/>
  <c r="H441" i="23"/>
  <c r="I441" i="23" s="1"/>
  <c r="V445" i="23"/>
  <c r="W445" i="23" s="1"/>
  <c r="R446" i="23" s="1"/>
  <c r="S446" i="23" s="1"/>
  <c r="P446" i="23" l="1"/>
  <c r="B442" i="23"/>
  <c r="D442" i="23"/>
  <c r="E442" i="23" s="1"/>
  <c r="AB447" i="23"/>
  <c r="Z446" i="23"/>
  <c r="AA446" i="23" s="1"/>
  <c r="Q447" i="23"/>
  <c r="J442" i="23" l="1"/>
  <c r="C443" i="23"/>
  <c r="L442" i="23"/>
  <c r="M442" i="23" s="1"/>
  <c r="N443" i="23"/>
  <c r="T446" i="23"/>
  <c r="F442" i="23" l="1"/>
  <c r="Y446" i="23"/>
  <c r="V446" i="23"/>
  <c r="W446" i="23" s="1"/>
  <c r="K442" i="23" l="1"/>
  <c r="H442" i="23"/>
  <c r="I442" i="23" s="1"/>
  <c r="R447" i="23"/>
  <c r="S447" i="23" s="1"/>
  <c r="P447" i="23"/>
  <c r="D443" i="23" l="1"/>
  <c r="E443" i="23" s="1"/>
  <c r="B443" i="23"/>
  <c r="Q448" i="23"/>
  <c r="AB448" i="23"/>
  <c r="Z447" i="23"/>
  <c r="AA447" i="23" s="1"/>
  <c r="C444" i="23" l="1"/>
  <c r="J443" i="23"/>
  <c r="N444" i="23"/>
  <c r="L443" i="23"/>
  <c r="M443" i="23" s="1"/>
  <c r="T447" i="23"/>
  <c r="F443" i="23" l="1"/>
  <c r="Y447" i="23"/>
  <c r="V447" i="23"/>
  <c r="W447" i="23" s="1"/>
  <c r="K443" i="23" l="1"/>
  <c r="H443" i="23"/>
  <c r="I443" i="23" s="1"/>
  <c r="P448" i="23"/>
  <c r="R448" i="23"/>
  <c r="S448" i="23" s="1"/>
  <c r="D444" i="23" l="1"/>
  <c r="E444" i="23" s="1"/>
  <c r="B444" i="23"/>
  <c r="Q449" i="23"/>
  <c r="Z448" i="23"/>
  <c r="AA448" i="23" s="1"/>
  <c r="AB449" i="23"/>
  <c r="J444" i="23" l="1"/>
  <c r="C445" i="23"/>
  <c r="L444" i="23"/>
  <c r="M444" i="23" s="1"/>
  <c r="N445" i="23"/>
  <c r="T448" i="23"/>
  <c r="F444" i="23" l="1"/>
  <c r="Y448" i="23"/>
  <c r="V448" i="23"/>
  <c r="W448" i="23" s="1"/>
  <c r="K444" i="23" l="1"/>
  <c r="H444" i="23"/>
  <c r="I444" i="23" s="1"/>
  <c r="R449" i="23"/>
  <c r="S449" i="23" s="1"/>
  <c r="P449" i="23"/>
  <c r="B445" i="23" l="1"/>
  <c r="D445" i="23"/>
  <c r="E445" i="23" s="1"/>
  <c r="Q450" i="23"/>
  <c r="AB450" i="23"/>
  <c r="Z449" i="23"/>
  <c r="AA449" i="23" s="1"/>
  <c r="C446" i="23" l="1"/>
  <c r="J445" i="23"/>
  <c r="L445" i="23"/>
  <c r="M445" i="23" s="1"/>
  <c r="N446" i="23"/>
  <c r="T449" i="23"/>
  <c r="F445" i="23" l="1"/>
  <c r="Y449" i="23"/>
  <c r="V449" i="23"/>
  <c r="W449" i="23" s="1"/>
  <c r="K445" i="23" l="1"/>
  <c r="H445" i="23"/>
  <c r="I445" i="23" s="1"/>
  <c r="R450" i="23"/>
  <c r="S450" i="23" s="1"/>
  <c r="P450" i="23"/>
  <c r="B446" i="23" l="1"/>
  <c r="D446" i="23"/>
  <c r="E446" i="23" s="1"/>
  <c r="Q451" i="23"/>
  <c r="Z450" i="23"/>
  <c r="AA450" i="23" s="1"/>
  <c r="AB451" i="23"/>
  <c r="C447" i="23" l="1"/>
  <c r="J446" i="23"/>
  <c r="N447" i="23"/>
  <c r="L446" i="23"/>
  <c r="M446" i="23" s="1"/>
  <c r="T450" i="23"/>
  <c r="F446" i="23" l="1"/>
  <c r="K446" i="23" s="1"/>
  <c r="Y450" i="23"/>
  <c r="V450" i="23"/>
  <c r="W450" i="23" s="1"/>
  <c r="H446" i="23" l="1"/>
  <c r="I446" i="23" s="1"/>
  <c r="B447" i="23" s="1"/>
  <c r="D447" i="23"/>
  <c r="E447" i="23" s="1"/>
  <c r="R451" i="23"/>
  <c r="S451" i="23" s="1"/>
  <c r="P451" i="23"/>
  <c r="L447" i="23" l="1"/>
  <c r="M447" i="23" s="1"/>
  <c r="C448" i="23"/>
  <c r="J447" i="23"/>
  <c r="N448" i="23"/>
  <c r="F447" i="23"/>
  <c r="K447" i="23" s="1"/>
  <c r="Z451" i="23"/>
  <c r="AA451" i="23" s="1"/>
  <c r="AB452" i="23"/>
  <c r="Q452" i="23"/>
  <c r="H447" i="23" l="1"/>
  <c r="I447" i="23" s="1"/>
  <c r="D448" i="23" s="1"/>
  <c r="E448" i="23" s="1"/>
  <c r="T451" i="23"/>
  <c r="B448" i="23" l="1"/>
  <c r="L448" i="23"/>
  <c r="M448" i="23" s="1"/>
  <c r="N449" i="23"/>
  <c r="C449" i="23"/>
  <c r="J448" i="23"/>
  <c r="Y451" i="23"/>
  <c r="V451" i="23"/>
  <c r="W451" i="23" s="1"/>
  <c r="F448" i="23" l="1"/>
  <c r="P452" i="23"/>
  <c r="R452" i="23"/>
  <c r="S452" i="23" s="1"/>
  <c r="K448" i="23" l="1"/>
  <c r="H448" i="23"/>
  <c r="I448" i="23" s="1"/>
  <c r="AB453" i="23"/>
  <c r="Q453" i="23"/>
  <c r="Z452" i="23"/>
  <c r="AA452" i="23" s="1"/>
  <c r="B449" i="23" l="1"/>
  <c r="D449" i="23"/>
  <c r="E449" i="23" s="1"/>
  <c r="T452" i="23"/>
  <c r="C450" i="23" l="1"/>
  <c r="L449" i="23"/>
  <c r="M449" i="23" s="1"/>
  <c r="J449" i="23"/>
  <c r="F449" i="23"/>
  <c r="K449" i="23" s="1"/>
  <c r="N450" i="23"/>
  <c r="Y452" i="23"/>
  <c r="V452" i="23"/>
  <c r="W452" i="23" s="1"/>
  <c r="H449" i="23" l="1"/>
  <c r="I449" i="23" s="1"/>
  <c r="P453" i="23"/>
  <c r="R453" i="23"/>
  <c r="S453" i="23" s="1"/>
  <c r="D450" i="23" l="1"/>
  <c r="E450" i="23" s="1"/>
  <c r="B450" i="23"/>
  <c r="Q454" i="23"/>
  <c r="Z453" i="23"/>
  <c r="AA453" i="23" s="1"/>
  <c r="AB454" i="23"/>
  <c r="L450" i="23" l="1"/>
  <c r="M450" i="23" s="1"/>
  <c r="C451" i="23"/>
  <c r="N451" i="23"/>
  <c r="J450" i="23"/>
  <c r="F450" i="23"/>
  <c r="K450" i="23" s="1"/>
  <c r="T453" i="23"/>
  <c r="Y453" i="23" s="1"/>
  <c r="H450" i="23" l="1"/>
  <c r="I450" i="23" s="1"/>
  <c r="V453" i="23"/>
  <c r="W453" i="23" s="1"/>
  <c r="R454" i="23" s="1"/>
  <c r="S454" i="23" s="1"/>
  <c r="B451" i="23" l="1"/>
  <c r="D451" i="23"/>
  <c r="E451" i="23" s="1"/>
  <c r="P454" i="23"/>
  <c r="AB455" i="23"/>
  <c r="Z454" i="23"/>
  <c r="AA454" i="23" s="1"/>
  <c r="Q455" i="23"/>
  <c r="N452" i="23" l="1"/>
  <c r="C452" i="23"/>
  <c r="J451" i="23"/>
  <c r="L451" i="23"/>
  <c r="M451" i="23" s="1"/>
  <c r="T454" i="23"/>
  <c r="F451" i="23" l="1"/>
  <c r="Y454" i="23"/>
  <c r="V454" i="23"/>
  <c r="W454" i="23" s="1"/>
  <c r="K451" i="23" l="1"/>
  <c r="H451" i="23"/>
  <c r="I451" i="23" s="1"/>
  <c r="P455" i="23"/>
  <c r="R455" i="23"/>
  <c r="S455" i="23" s="1"/>
  <c r="D452" i="23" l="1"/>
  <c r="E452" i="23" s="1"/>
  <c r="B452" i="23"/>
  <c r="AB456" i="23"/>
  <c r="Q456" i="23"/>
  <c r="Z455" i="23"/>
  <c r="AA455" i="23" s="1"/>
  <c r="L452" i="23" l="1"/>
  <c r="M452" i="23" s="1"/>
  <c r="C453" i="23"/>
  <c r="N453" i="23"/>
  <c r="J452" i="23"/>
  <c r="T455" i="23"/>
  <c r="F452" i="23" l="1"/>
  <c r="K452" i="23" s="1"/>
  <c r="Y455" i="23"/>
  <c r="V455" i="23"/>
  <c r="W455" i="23" s="1"/>
  <c r="H452" i="23" l="1"/>
  <c r="I452" i="23" s="1"/>
  <c r="B453" i="23"/>
  <c r="D453" i="23"/>
  <c r="E453" i="23" s="1"/>
  <c r="P456" i="23"/>
  <c r="R456" i="23"/>
  <c r="S456" i="23" s="1"/>
  <c r="J453" i="23" l="1"/>
  <c r="N454" i="23"/>
  <c r="L453" i="23"/>
  <c r="M453" i="23" s="1"/>
  <c r="C454" i="23"/>
  <c r="Z456" i="23"/>
  <c r="AA456" i="23" s="1"/>
  <c r="AB457" i="23"/>
  <c r="Q457" i="23"/>
  <c r="F453" i="23" l="1"/>
  <c r="T456" i="23"/>
  <c r="Y456" i="23" s="1"/>
  <c r="K453" i="23" l="1"/>
  <c r="H453" i="23"/>
  <c r="I453" i="23" s="1"/>
  <c r="V456" i="23"/>
  <c r="W456" i="23" s="1"/>
  <c r="R457" i="23" s="1"/>
  <c r="S457" i="23" s="1"/>
  <c r="B454" i="23" l="1"/>
  <c r="D454" i="23"/>
  <c r="E454" i="23" s="1"/>
  <c r="P457" i="23"/>
  <c r="Q458" i="23"/>
  <c r="AB458" i="23"/>
  <c r="Z457" i="23"/>
  <c r="AA457" i="23" s="1"/>
  <c r="C455" i="23" l="1"/>
  <c r="N455" i="23"/>
  <c r="J454" i="23"/>
  <c r="L454" i="23"/>
  <c r="M454" i="23" s="1"/>
  <c r="T457" i="23"/>
  <c r="F454" i="23" l="1"/>
  <c r="Y457" i="23"/>
  <c r="V457" i="23"/>
  <c r="W457" i="23" s="1"/>
  <c r="K454" i="23" l="1"/>
  <c r="H454" i="23"/>
  <c r="I454" i="23" s="1"/>
  <c r="R458" i="23"/>
  <c r="S458" i="23" s="1"/>
  <c r="P458" i="23"/>
  <c r="D455" i="23" l="1"/>
  <c r="E455" i="23" s="1"/>
  <c r="B455" i="23"/>
  <c r="AB459" i="23"/>
  <c r="Q459" i="23"/>
  <c r="Z458" i="23"/>
  <c r="AA458" i="23" s="1"/>
  <c r="N456" i="23" l="1"/>
  <c r="L455" i="23"/>
  <c r="M455" i="23" s="1"/>
  <c r="J455" i="23"/>
  <c r="C456" i="23"/>
  <c r="T458" i="23"/>
  <c r="F455" i="23" l="1"/>
  <c r="Y458" i="23"/>
  <c r="V458" i="23"/>
  <c r="W458" i="23" s="1"/>
  <c r="K455" i="23" l="1"/>
  <c r="H455" i="23"/>
  <c r="I455" i="23" s="1"/>
  <c r="R459" i="23"/>
  <c r="S459" i="23" s="1"/>
  <c r="P459" i="23"/>
  <c r="B456" i="23" l="1"/>
  <c r="D456" i="23"/>
  <c r="E456" i="23" s="1"/>
  <c r="Z459" i="23"/>
  <c r="AA459" i="23" s="1"/>
  <c r="Q460" i="23"/>
  <c r="AB460" i="23"/>
  <c r="N457" i="23" l="1"/>
  <c r="C457" i="23"/>
  <c r="L456" i="23"/>
  <c r="M456" i="23" s="1"/>
  <c r="J456" i="23"/>
  <c r="T459" i="23"/>
  <c r="F456" i="23" l="1"/>
  <c r="Y459" i="23"/>
  <c r="V459" i="23"/>
  <c r="W459" i="23" s="1"/>
  <c r="K456" i="23" l="1"/>
  <c r="H456" i="23"/>
  <c r="I456" i="23" s="1"/>
  <c r="P460" i="23"/>
  <c r="R460" i="23"/>
  <c r="S460" i="23" s="1"/>
  <c r="D457" i="23" l="1"/>
  <c r="E457" i="23" s="1"/>
  <c r="B457" i="23"/>
  <c r="Q461" i="23"/>
  <c r="Z460" i="23"/>
  <c r="AA460" i="23" s="1"/>
  <c r="AB461" i="23"/>
  <c r="L457" i="23" l="1"/>
  <c r="M457" i="23" s="1"/>
  <c r="N458" i="23"/>
  <c r="J457" i="23"/>
  <c r="C458" i="23"/>
  <c r="F457" i="23"/>
  <c r="K457" i="23" s="1"/>
  <c r="T460" i="23"/>
  <c r="H457" i="23" l="1"/>
  <c r="I457" i="23" s="1"/>
  <c r="Y460" i="23"/>
  <c r="V460" i="23"/>
  <c r="W460" i="23" s="1"/>
  <c r="B458" i="23" l="1"/>
  <c r="D458" i="23"/>
  <c r="E458" i="23" s="1"/>
  <c r="R461" i="23"/>
  <c r="S461" i="23" s="1"/>
  <c r="P461" i="23"/>
  <c r="N459" i="23" l="1"/>
  <c r="C459" i="23"/>
  <c r="J458" i="23"/>
  <c r="L458" i="23"/>
  <c r="M458" i="23" s="1"/>
  <c r="Q462" i="23"/>
  <c r="AB462" i="23"/>
  <c r="Z461" i="23"/>
  <c r="AA461" i="23" s="1"/>
  <c r="F458" i="23" l="1"/>
  <c r="T461" i="23"/>
  <c r="K458" i="23" l="1"/>
  <c r="H458" i="23"/>
  <c r="I458" i="23" s="1"/>
  <c r="Y461" i="23"/>
  <c r="V461" i="23"/>
  <c r="W461" i="23" s="1"/>
  <c r="B459" i="23" l="1"/>
  <c r="D459" i="23"/>
  <c r="E459" i="23" s="1"/>
  <c r="R462" i="23"/>
  <c r="S462" i="23" s="1"/>
  <c r="P462" i="23"/>
  <c r="N460" i="23" l="1"/>
  <c r="C460" i="23"/>
  <c r="J459" i="23"/>
  <c r="L459" i="23"/>
  <c r="M459" i="23" s="1"/>
  <c r="AB463" i="23"/>
  <c r="Q463" i="23"/>
  <c r="Z462" i="23"/>
  <c r="AA462" i="23" s="1"/>
  <c r="F459" i="23" l="1"/>
  <c r="T462" i="23"/>
  <c r="Y462" i="23" s="1"/>
  <c r="K459" i="23" l="1"/>
  <c r="H459" i="23"/>
  <c r="I459" i="23" s="1"/>
  <c r="V462" i="23"/>
  <c r="W462" i="23" s="1"/>
  <c r="R463" i="23" s="1"/>
  <c r="S463" i="23" s="1"/>
  <c r="B460" i="23" l="1"/>
  <c r="D460" i="23"/>
  <c r="E460" i="23" s="1"/>
  <c r="P463" i="23"/>
  <c r="Z463" i="23"/>
  <c r="AA463" i="23" s="1"/>
  <c r="AB464" i="23"/>
  <c r="Q464" i="23"/>
  <c r="J460" i="23" l="1"/>
  <c r="N461" i="23"/>
  <c r="L460" i="23"/>
  <c r="M460" i="23" s="1"/>
  <c r="C461" i="23"/>
  <c r="T463" i="23"/>
  <c r="Y463" i="23" s="1"/>
  <c r="F460" i="23" l="1"/>
  <c r="K460" i="23" s="1"/>
  <c r="V463" i="23"/>
  <c r="W463" i="23" s="1"/>
  <c r="R464" i="23" s="1"/>
  <c r="S464" i="23" s="1"/>
  <c r="H460" i="23" l="1"/>
  <c r="I460" i="23" s="1"/>
  <c r="B461" i="23" s="1"/>
  <c r="P464" i="23"/>
  <c r="Z464" i="23"/>
  <c r="AA464" i="23" s="1"/>
  <c r="Q465" i="23"/>
  <c r="AB465" i="23"/>
  <c r="D461" i="23" l="1"/>
  <c r="E461" i="23" s="1"/>
  <c r="J461" i="23"/>
  <c r="N462" i="23"/>
  <c r="C462" i="23"/>
  <c r="L461" i="23"/>
  <c r="M461" i="23" s="1"/>
  <c r="T464" i="23"/>
  <c r="Y464" i="23" s="1"/>
  <c r="F461" i="23" l="1"/>
  <c r="V464" i="23"/>
  <c r="W464" i="23" s="1"/>
  <c r="R465" i="23" s="1"/>
  <c r="S465" i="23" s="1"/>
  <c r="K461" i="23" l="1"/>
  <c r="H461" i="23"/>
  <c r="I461" i="23" s="1"/>
  <c r="P465" i="23"/>
  <c r="AB466" i="23"/>
  <c r="Z465" i="23"/>
  <c r="AA465" i="23" s="1"/>
  <c r="Q466" i="23"/>
  <c r="B462" i="23" l="1"/>
  <c r="D462" i="23"/>
  <c r="E462" i="23" s="1"/>
  <c r="T465" i="23"/>
  <c r="N463" i="23" l="1"/>
  <c r="L462" i="23"/>
  <c r="M462" i="23" s="1"/>
  <c r="J462" i="23"/>
  <c r="C463" i="23"/>
  <c r="Y465" i="23"/>
  <c r="V465" i="23"/>
  <c r="W465" i="23" s="1"/>
  <c r="F462" i="23" l="1"/>
  <c r="P466" i="23"/>
  <c r="R466" i="23"/>
  <c r="S466" i="23" s="1"/>
  <c r="K462" i="23" l="1"/>
  <c r="H462" i="23"/>
  <c r="I462" i="23" s="1"/>
  <c r="Z466" i="23"/>
  <c r="AA466" i="23" s="1"/>
  <c r="AB467" i="23"/>
  <c r="Q467" i="23"/>
  <c r="B463" i="23" l="1"/>
  <c r="D463" i="23"/>
  <c r="E463" i="23" s="1"/>
  <c r="T466" i="23"/>
  <c r="Y466" i="23" s="1"/>
  <c r="N464" i="23" l="1"/>
  <c r="L463" i="23"/>
  <c r="M463" i="23" s="1"/>
  <c r="J463" i="23"/>
  <c r="F463" i="23"/>
  <c r="K463" i="23" s="1"/>
  <c r="C464" i="23"/>
  <c r="V466" i="23"/>
  <c r="W466" i="23" s="1"/>
  <c r="R467" i="23" s="1"/>
  <c r="S467" i="23" s="1"/>
  <c r="H463" i="23" l="1"/>
  <c r="I463" i="23" s="1"/>
  <c r="P467" i="23"/>
  <c r="AB468" i="23"/>
  <c r="Z467" i="23"/>
  <c r="AA467" i="23" s="1"/>
  <c r="Q468" i="23"/>
  <c r="B464" i="23" l="1"/>
  <c r="D464" i="23"/>
  <c r="E464" i="23" s="1"/>
  <c r="T467" i="23"/>
  <c r="C465" i="23" l="1"/>
  <c r="J464" i="23"/>
  <c r="L464" i="23"/>
  <c r="M464" i="23" s="1"/>
  <c r="N465" i="23"/>
  <c r="Y467" i="23"/>
  <c r="V467" i="23"/>
  <c r="W467" i="23" s="1"/>
  <c r="F464" i="23" l="1"/>
  <c r="R468" i="23"/>
  <c r="S468" i="23" s="1"/>
  <c r="P468" i="23"/>
  <c r="K464" i="23" l="1"/>
  <c r="H464" i="23"/>
  <c r="I464" i="23" s="1"/>
  <c r="Q469" i="23"/>
  <c r="AB469" i="23"/>
  <c r="Z468" i="23"/>
  <c r="AA468" i="23" s="1"/>
  <c r="D465" i="23" l="1"/>
  <c r="E465" i="23" s="1"/>
  <c r="B465" i="23"/>
  <c r="T468" i="23"/>
  <c r="Y468" i="23" s="1"/>
  <c r="J465" i="23" l="1"/>
  <c r="C466" i="23"/>
  <c r="L465" i="23"/>
  <c r="M465" i="23" s="1"/>
  <c r="N466" i="23"/>
  <c r="V468" i="23"/>
  <c r="W468" i="23" s="1"/>
  <c r="P469" i="23" s="1"/>
  <c r="F465" i="23" l="1"/>
  <c r="R469" i="23"/>
  <c r="S469" i="23" s="1"/>
  <c r="Q470" i="23" s="1"/>
  <c r="Z469" i="23" l="1"/>
  <c r="AA469" i="23" s="1"/>
  <c r="AB470" i="23"/>
  <c r="K465" i="23"/>
  <c r="H465" i="23"/>
  <c r="I465" i="23" s="1"/>
  <c r="T469" i="23"/>
  <c r="D466" i="23" l="1"/>
  <c r="E466" i="23" s="1"/>
  <c r="B466" i="23"/>
  <c r="Y469" i="23"/>
  <c r="V469" i="23"/>
  <c r="W469" i="23" s="1"/>
  <c r="N467" i="23" l="1"/>
  <c r="L466" i="23"/>
  <c r="M466" i="23" s="1"/>
  <c r="J466" i="23"/>
  <c r="C467" i="23"/>
  <c r="P470" i="23"/>
  <c r="R470" i="23"/>
  <c r="S470" i="23" s="1"/>
  <c r="F466" i="23" l="1"/>
  <c r="AB471" i="23"/>
  <c r="Z470" i="23"/>
  <c r="AA470" i="23" s="1"/>
  <c r="Q471" i="23"/>
  <c r="K466" i="23" l="1"/>
  <c r="H466" i="23"/>
  <c r="I466" i="23" s="1"/>
  <c r="T470" i="23"/>
  <c r="B467" i="23" l="1"/>
  <c r="D467" i="23"/>
  <c r="E467" i="23" s="1"/>
  <c r="Y470" i="23"/>
  <c r="V470" i="23"/>
  <c r="W470" i="23" s="1"/>
  <c r="L467" i="23" l="1"/>
  <c r="M467" i="23" s="1"/>
  <c r="C468" i="23"/>
  <c r="J467" i="23"/>
  <c r="N468" i="23"/>
  <c r="F467" i="23"/>
  <c r="K467" i="23" s="1"/>
  <c r="P471" i="23"/>
  <c r="R471" i="23"/>
  <c r="S471" i="23" s="1"/>
  <c r="H467" i="23" l="1"/>
  <c r="I467" i="23" s="1"/>
  <c r="AB472" i="23"/>
  <c r="Z471" i="23"/>
  <c r="AA471" i="23" s="1"/>
  <c r="Q472" i="23"/>
  <c r="D468" i="23" l="1"/>
  <c r="E468" i="23" s="1"/>
  <c r="B468" i="23"/>
  <c r="T471" i="23"/>
  <c r="Y471" i="23" s="1"/>
  <c r="J468" i="23" l="1"/>
  <c r="N469" i="23"/>
  <c r="L468" i="23"/>
  <c r="M468" i="23" s="1"/>
  <c r="C469" i="23"/>
  <c r="V471" i="23"/>
  <c r="W471" i="23" s="1"/>
  <c r="P472" i="23" s="1"/>
  <c r="F468" i="23" l="1"/>
  <c r="R472" i="23"/>
  <c r="S472" i="23" s="1"/>
  <c r="AB473" i="23" s="1"/>
  <c r="Z472" i="23" l="1"/>
  <c r="AA472" i="23" s="1"/>
  <c r="K468" i="23"/>
  <c r="H468" i="23"/>
  <c r="I468" i="23" s="1"/>
  <c r="Q473" i="23"/>
  <c r="T472" i="23"/>
  <c r="B469" i="23" l="1"/>
  <c r="D469" i="23"/>
  <c r="E469" i="23" s="1"/>
  <c r="Y472" i="23"/>
  <c r="V472" i="23"/>
  <c r="W472" i="23" s="1"/>
  <c r="L469" i="23" l="1"/>
  <c r="M469" i="23" s="1"/>
  <c r="N470" i="23"/>
  <c r="J469" i="23"/>
  <c r="C470" i="23"/>
  <c r="F469" i="23"/>
  <c r="K469" i="23" s="1"/>
  <c r="R473" i="23"/>
  <c r="S473" i="23" s="1"/>
  <c r="P473" i="23"/>
  <c r="H469" i="23" l="1"/>
  <c r="I469" i="23" s="1"/>
  <c r="Z473" i="23"/>
  <c r="AA473" i="23" s="1"/>
  <c r="Q474" i="23"/>
  <c r="AB474" i="23"/>
  <c r="B470" i="23" l="1"/>
  <c r="D470" i="23"/>
  <c r="E470" i="23" s="1"/>
  <c r="T473" i="23"/>
  <c r="C471" i="23" l="1"/>
  <c r="J470" i="23"/>
  <c r="L470" i="23"/>
  <c r="M470" i="23" s="1"/>
  <c r="N471" i="23"/>
  <c r="Y473" i="23"/>
  <c r="V473" i="23"/>
  <c r="W473" i="23" s="1"/>
  <c r="F470" i="23" l="1"/>
  <c r="P474" i="23"/>
  <c r="R474" i="23"/>
  <c r="S474" i="23" s="1"/>
  <c r="K470" i="23" l="1"/>
  <c r="H470" i="23"/>
  <c r="I470" i="23" s="1"/>
  <c r="Q475" i="23"/>
  <c r="Z474" i="23"/>
  <c r="AA474" i="23" s="1"/>
  <c r="AB475" i="23"/>
  <c r="D471" i="23" l="1"/>
  <c r="E471" i="23" s="1"/>
  <c r="B471" i="23"/>
  <c r="T474" i="23"/>
  <c r="N472" i="23" l="1"/>
  <c r="C472" i="23"/>
  <c r="L471" i="23"/>
  <c r="M471" i="23" s="1"/>
  <c r="J471" i="23"/>
  <c r="Y474" i="23"/>
  <c r="V474" i="23"/>
  <c r="W474" i="23" s="1"/>
  <c r="F471" i="23" l="1"/>
  <c r="P475" i="23"/>
  <c r="R475" i="23"/>
  <c r="S475" i="23" s="1"/>
  <c r="K471" i="23" l="1"/>
  <c r="H471" i="23"/>
  <c r="I471" i="23" s="1"/>
  <c r="Z475" i="23"/>
  <c r="AA475" i="23" s="1"/>
  <c r="AB476" i="23"/>
  <c r="Q476" i="23"/>
  <c r="D472" i="23" l="1"/>
  <c r="E472" i="23" s="1"/>
  <c r="B472" i="23"/>
  <c r="T475" i="23"/>
  <c r="Y475" i="23" s="1"/>
  <c r="C473" i="23" l="1"/>
  <c r="J472" i="23"/>
  <c r="N473" i="23"/>
  <c r="L472" i="23"/>
  <c r="M472" i="23" s="1"/>
  <c r="V475" i="23"/>
  <c r="W475" i="23" s="1"/>
  <c r="R476" i="23" s="1"/>
  <c r="S476" i="23" s="1"/>
  <c r="P476" i="23" l="1"/>
  <c r="F472" i="23"/>
  <c r="K472" i="23" s="1"/>
  <c r="AB477" i="23"/>
  <c r="Q477" i="23"/>
  <c r="Z476" i="23"/>
  <c r="AA476" i="23" s="1"/>
  <c r="H472" i="23" l="1"/>
  <c r="I472" i="23" s="1"/>
  <c r="D473" i="23" s="1"/>
  <c r="E473" i="23" s="1"/>
  <c r="B473" i="23"/>
  <c r="T476" i="23"/>
  <c r="C474" i="23" l="1"/>
  <c r="J473" i="23"/>
  <c r="L473" i="23"/>
  <c r="M473" i="23" s="1"/>
  <c r="N474" i="23"/>
  <c r="Y476" i="23"/>
  <c r="V476" i="23"/>
  <c r="W476" i="23" s="1"/>
  <c r="F473" i="23" l="1"/>
  <c r="P477" i="23"/>
  <c r="R477" i="23"/>
  <c r="S477" i="23" s="1"/>
  <c r="K473" i="23" l="1"/>
  <c r="H473" i="23"/>
  <c r="I473" i="23" s="1"/>
  <c r="Q478" i="23"/>
  <c r="AB478" i="23"/>
  <c r="Z477" i="23"/>
  <c r="AA477" i="23" s="1"/>
  <c r="D474" i="23" l="1"/>
  <c r="E474" i="23" s="1"/>
  <c r="B474" i="23"/>
  <c r="T477" i="23"/>
  <c r="C475" i="23" l="1"/>
  <c r="L474" i="23"/>
  <c r="M474" i="23" s="1"/>
  <c r="F474" i="23"/>
  <c r="K474" i="23" s="1"/>
  <c r="N475" i="23"/>
  <c r="J474" i="23"/>
  <c r="Y477" i="23"/>
  <c r="V477" i="23"/>
  <c r="W477" i="23" s="1"/>
  <c r="H474" i="23" l="1"/>
  <c r="I474" i="23" s="1"/>
  <c r="R478" i="23"/>
  <c r="S478" i="23" s="1"/>
  <c r="P478" i="23"/>
  <c r="B475" i="23" l="1"/>
  <c r="D475" i="23"/>
  <c r="E475" i="23" s="1"/>
  <c r="Z478" i="23"/>
  <c r="AA478" i="23" s="1"/>
  <c r="AB479" i="23"/>
  <c r="Q479" i="23"/>
  <c r="N476" i="23" l="1"/>
  <c r="C476" i="23"/>
  <c r="L475" i="23"/>
  <c r="M475" i="23" s="1"/>
  <c r="J475" i="23"/>
  <c r="T478" i="23"/>
  <c r="F475" i="23" l="1"/>
  <c r="Y478" i="23"/>
  <c r="V478" i="23"/>
  <c r="W478" i="23" s="1"/>
  <c r="K475" i="23" l="1"/>
  <c r="H475" i="23"/>
  <c r="I475" i="23" s="1"/>
  <c r="R479" i="23"/>
  <c r="S479" i="23" s="1"/>
  <c r="P479" i="23"/>
  <c r="B476" i="23" l="1"/>
  <c r="D476" i="23"/>
  <c r="E476" i="23" s="1"/>
  <c r="Q480" i="23"/>
  <c r="AB480" i="23"/>
  <c r="Z479" i="23"/>
  <c r="AA479" i="23" s="1"/>
  <c r="N477" i="23" l="1"/>
  <c r="J476" i="23"/>
  <c r="L476" i="23"/>
  <c r="M476" i="23" s="1"/>
  <c r="C477" i="23"/>
  <c r="T479" i="23"/>
  <c r="F476" i="23" l="1"/>
  <c r="Y479" i="23"/>
  <c r="V479" i="23"/>
  <c r="W479" i="23" s="1"/>
  <c r="K476" i="23" l="1"/>
  <c r="H476" i="23"/>
  <c r="I476" i="23" s="1"/>
  <c r="P480" i="23"/>
  <c r="R480" i="23"/>
  <c r="S480" i="23" s="1"/>
  <c r="D477" i="23" l="1"/>
  <c r="E477" i="23" s="1"/>
  <c r="B477" i="23"/>
  <c r="AB481" i="23"/>
  <c r="Q481" i="23"/>
  <c r="Z480" i="23"/>
  <c r="AA480" i="23" s="1"/>
  <c r="C478" i="23" l="1"/>
  <c r="J477" i="23"/>
  <c r="L477" i="23"/>
  <c r="M477" i="23" s="1"/>
  <c r="N478" i="23"/>
  <c r="T480" i="23"/>
  <c r="F477" i="23" l="1"/>
  <c r="K477" i="23" s="1"/>
  <c r="Y480" i="23"/>
  <c r="V480" i="23"/>
  <c r="W480" i="23" s="1"/>
  <c r="H477" i="23" l="1"/>
  <c r="I477" i="23" s="1"/>
  <c r="D478" i="23" s="1"/>
  <c r="E478" i="23" s="1"/>
  <c r="R481" i="23"/>
  <c r="S481" i="23" s="1"/>
  <c r="P481" i="23"/>
  <c r="B478" i="23" l="1"/>
  <c r="L478" i="23"/>
  <c r="M478" i="23" s="1"/>
  <c r="C479" i="23"/>
  <c r="N479" i="23"/>
  <c r="J478" i="23"/>
  <c r="F478" i="23"/>
  <c r="K478" i="23" s="1"/>
  <c r="Z481" i="23"/>
  <c r="AA481" i="23" s="1"/>
  <c r="Q482" i="23"/>
  <c r="AB482" i="23"/>
  <c r="H478" i="23" l="1"/>
  <c r="I478" i="23" s="1"/>
  <c r="T481" i="23"/>
  <c r="Y481" i="23" s="1"/>
  <c r="D479" i="23" l="1"/>
  <c r="E479" i="23" s="1"/>
  <c r="B479" i="23"/>
  <c r="V481" i="23"/>
  <c r="W481" i="23" s="1"/>
  <c r="P482" i="23" s="1"/>
  <c r="J479" i="23" l="1"/>
  <c r="N480" i="23"/>
  <c r="C480" i="23"/>
  <c r="L479" i="23"/>
  <c r="M479" i="23" s="1"/>
  <c r="R482" i="23"/>
  <c r="S482" i="23" s="1"/>
  <c r="AB483" i="23" s="1"/>
  <c r="F479" i="23" l="1"/>
  <c r="K479" i="23" s="1"/>
  <c r="H479" i="23"/>
  <c r="I479" i="23" s="1"/>
  <c r="Q483" i="23"/>
  <c r="Z482" i="23"/>
  <c r="AA482" i="23" s="1"/>
  <c r="T482" i="23" l="1"/>
  <c r="Y482" i="23" s="1"/>
  <c r="D480" i="23"/>
  <c r="E480" i="23" s="1"/>
  <c r="B480" i="23"/>
  <c r="V482" i="23" l="1"/>
  <c r="W482" i="23" s="1"/>
  <c r="P483" i="23" s="1"/>
  <c r="J480" i="23"/>
  <c r="N481" i="23"/>
  <c r="L480" i="23"/>
  <c r="M480" i="23" s="1"/>
  <c r="C481" i="23"/>
  <c r="R483" i="23" l="1"/>
  <c r="S483" i="23" s="1"/>
  <c r="Z483" i="23" s="1"/>
  <c r="AA483" i="23" s="1"/>
  <c r="F480" i="23"/>
  <c r="K480" i="23" s="1"/>
  <c r="Q484" i="23"/>
  <c r="AB484" i="23"/>
  <c r="H480" i="23"/>
  <c r="I480" i="23" s="1"/>
  <c r="T483" i="23"/>
  <c r="Y483" i="23" s="1"/>
  <c r="D481" i="23" l="1"/>
  <c r="E481" i="23" s="1"/>
  <c r="B481" i="23"/>
  <c r="V483" i="23"/>
  <c r="W483" i="23" s="1"/>
  <c r="R484" i="23" s="1"/>
  <c r="S484" i="23" s="1"/>
  <c r="L481" i="23" l="1"/>
  <c r="M481" i="23" s="1"/>
  <c r="N482" i="23"/>
  <c r="J481" i="23"/>
  <c r="C482" i="23"/>
  <c r="F481" i="23"/>
  <c r="K481" i="23" s="1"/>
  <c r="P484" i="23"/>
  <c r="AB485" i="23"/>
  <c r="Q485" i="23"/>
  <c r="Z484" i="23"/>
  <c r="AA484" i="23" s="1"/>
  <c r="H481" i="23" l="1"/>
  <c r="I481" i="23" s="1"/>
  <c r="T484" i="23"/>
  <c r="Y484" i="23" s="1"/>
  <c r="D482" i="23" l="1"/>
  <c r="E482" i="23" s="1"/>
  <c r="B482" i="23"/>
  <c r="V484" i="23"/>
  <c r="W484" i="23" s="1"/>
  <c r="R485" i="23" s="1"/>
  <c r="S485" i="23" s="1"/>
  <c r="N483" i="23" l="1"/>
  <c r="C483" i="23"/>
  <c r="L482" i="23"/>
  <c r="M482" i="23" s="1"/>
  <c r="J482" i="23"/>
  <c r="P485" i="23"/>
  <c r="Z485" i="23"/>
  <c r="AA485" i="23" s="1"/>
  <c r="Q486" i="23"/>
  <c r="AB486" i="23"/>
  <c r="F482" i="23" l="1"/>
  <c r="K482" i="23" s="1"/>
  <c r="T485" i="23"/>
  <c r="H482" i="23" l="1"/>
  <c r="I482" i="23" s="1"/>
  <c r="B483" i="23"/>
  <c r="D483" i="23"/>
  <c r="E483" i="23" s="1"/>
  <c r="Y485" i="23"/>
  <c r="V485" i="23"/>
  <c r="W485" i="23" s="1"/>
  <c r="N484" i="23" l="1"/>
  <c r="L483" i="23"/>
  <c r="M483" i="23" s="1"/>
  <c r="J483" i="23"/>
  <c r="C484" i="23"/>
  <c r="P486" i="23"/>
  <c r="R486" i="23"/>
  <c r="S486" i="23" s="1"/>
  <c r="F483" i="23" l="1"/>
  <c r="K483" i="23" s="1"/>
  <c r="Q487" i="23"/>
  <c r="AB487" i="23"/>
  <c r="Z486" i="23"/>
  <c r="AA486" i="23" s="1"/>
  <c r="H483" i="23" l="1"/>
  <c r="I483" i="23" s="1"/>
  <c r="D484" i="23"/>
  <c r="E484" i="23" s="1"/>
  <c r="B484" i="23"/>
  <c r="T486" i="23"/>
  <c r="J484" i="23" l="1"/>
  <c r="N485" i="23"/>
  <c r="L484" i="23"/>
  <c r="M484" i="23" s="1"/>
  <c r="C485" i="23"/>
  <c r="Y486" i="23"/>
  <c r="V486" i="23"/>
  <c r="W486" i="23" s="1"/>
  <c r="F484" i="23" l="1"/>
  <c r="P487" i="23"/>
  <c r="R487" i="23"/>
  <c r="S487" i="23" s="1"/>
  <c r="K484" i="23" l="1"/>
  <c r="H484" i="23"/>
  <c r="I484" i="23" s="1"/>
  <c r="Z487" i="23"/>
  <c r="AA487" i="23" s="1"/>
  <c r="AB488" i="23"/>
  <c r="Q488" i="23"/>
  <c r="B485" i="23" l="1"/>
  <c r="D485" i="23"/>
  <c r="E485" i="23" s="1"/>
  <c r="T487" i="23"/>
  <c r="Y487" i="23" s="1"/>
  <c r="L485" i="23" l="1"/>
  <c r="M485" i="23" s="1"/>
  <c r="C486" i="23"/>
  <c r="N486" i="23"/>
  <c r="J485" i="23"/>
  <c r="F485" i="23"/>
  <c r="K485" i="23" s="1"/>
  <c r="V487" i="23"/>
  <c r="W487" i="23" s="1"/>
  <c r="R488" i="23" s="1"/>
  <c r="S488" i="23" s="1"/>
  <c r="H485" i="23" l="1"/>
  <c r="I485" i="23" s="1"/>
  <c r="P488" i="23"/>
  <c r="AB489" i="23"/>
  <c r="Z488" i="23"/>
  <c r="AA488" i="23" s="1"/>
  <c r="Q489" i="23"/>
  <c r="B486" i="23" l="1"/>
  <c r="D486" i="23"/>
  <c r="E486" i="23" s="1"/>
  <c r="T488" i="23"/>
  <c r="Y488" i="23" s="1"/>
  <c r="C487" i="23" l="1"/>
  <c r="N487" i="23"/>
  <c r="L486" i="23"/>
  <c r="M486" i="23" s="1"/>
  <c r="J486" i="23"/>
  <c r="V488" i="23"/>
  <c r="W488" i="23" s="1"/>
  <c r="R489" i="23" s="1"/>
  <c r="S489" i="23" s="1"/>
  <c r="F486" i="23" l="1"/>
  <c r="K486" i="23" s="1"/>
  <c r="P489" i="23"/>
  <c r="Q490" i="23"/>
  <c r="Z489" i="23"/>
  <c r="AA489" i="23" s="1"/>
  <c r="AB490" i="23"/>
  <c r="H486" i="23" l="1"/>
  <c r="I486" i="23" s="1"/>
  <c r="D487" i="23"/>
  <c r="E487" i="23" s="1"/>
  <c r="B487" i="23"/>
  <c r="T489" i="23"/>
  <c r="Y489" i="23" s="1"/>
  <c r="L487" i="23" l="1"/>
  <c r="M487" i="23" s="1"/>
  <c r="J487" i="23"/>
  <c r="N488" i="23"/>
  <c r="C488" i="23"/>
  <c r="F487" i="23"/>
  <c r="K487" i="23" s="1"/>
  <c r="V489" i="23"/>
  <c r="W489" i="23" s="1"/>
  <c r="P490" i="23" s="1"/>
  <c r="H487" i="23" l="1"/>
  <c r="I487" i="23" s="1"/>
  <c r="R490" i="23"/>
  <c r="S490" i="23" s="1"/>
  <c r="AB491" i="23" s="1"/>
  <c r="B488" i="23" l="1"/>
  <c r="D488" i="23"/>
  <c r="E488" i="23" s="1"/>
  <c r="Z490" i="23"/>
  <c r="AA490" i="23" s="1"/>
  <c r="Q491" i="23"/>
  <c r="T490" i="23" l="1"/>
  <c r="N489" i="23"/>
  <c r="C489" i="23"/>
  <c r="L488" i="23"/>
  <c r="M488" i="23" s="1"/>
  <c r="J488" i="23"/>
  <c r="Y490" i="23"/>
  <c r="V490" i="23"/>
  <c r="W490" i="23" s="1"/>
  <c r="F488" i="23" l="1"/>
  <c r="R491" i="23"/>
  <c r="S491" i="23" s="1"/>
  <c r="P491" i="23"/>
  <c r="K488" i="23" l="1"/>
  <c r="H488" i="23"/>
  <c r="I488" i="23" s="1"/>
  <c r="AB492" i="23"/>
  <c r="Q492" i="23"/>
  <c r="Z491" i="23"/>
  <c r="AA491" i="23" s="1"/>
  <c r="B489" i="23" l="1"/>
  <c r="D489" i="23"/>
  <c r="E489" i="23" s="1"/>
  <c r="T491" i="23"/>
  <c r="C490" i="23" l="1"/>
  <c r="J489" i="23"/>
  <c r="N490" i="23"/>
  <c r="L489" i="23"/>
  <c r="M489" i="23" s="1"/>
  <c r="Y491" i="23"/>
  <c r="V491" i="23"/>
  <c r="W491" i="23" s="1"/>
  <c r="F489" i="23" l="1"/>
  <c r="R492" i="23"/>
  <c r="S492" i="23" s="1"/>
  <c r="P492" i="23"/>
  <c r="K489" i="23" l="1"/>
  <c r="H489" i="23"/>
  <c r="I489" i="23" s="1"/>
  <c r="Q493" i="23"/>
  <c r="AB493" i="23"/>
  <c r="Z492" i="23"/>
  <c r="AA492" i="23" s="1"/>
  <c r="D490" i="23" l="1"/>
  <c r="E490" i="23" s="1"/>
  <c r="B490" i="23"/>
  <c r="T492" i="23"/>
  <c r="Y492" i="23" s="1"/>
  <c r="J490" i="23" l="1"/>
  <c r="L490" i="23"/>
  <c r="M490" i="23" s="1"/>
  <c r="C491" i="23"/>
  <c r="N491" i="23"/>
  <c r="V492" i="23"/>
  <c r="W492" i="23" s="1"/>
  <c r="R493" i="23" s="1"/>
  <c r="S493" i="23" s="1"/>
  <c r="F490" i="23" l="1"/>
  <c r="P493" i="23"/>
  <c r="Z493" i="23"/>
  <c r="AA493" i="23" s="1"/>
  <c r="AB494" i="23"/>
  <c r="Q494" i="23"/>
  <c r="K490" i="23" l="1"/>
  <c r="H490" i="23"/>
  <c r="I490" i="23" s="1"/>
  <c r="T493" i="23"/>
  <c r="D491" i="23" l="1"/>
  <c r="E491" i="23" s="1"/>
  <c r="B491" i="23"/>
  <c r="Y493" i="23"/>
  <c r="V493" i="23"/>
  <c r="W493" i="23" s="1"/>
  <c r="C492" i="23" l="1"/>
  <c r="N492" i="23"/>
  <c r="J491" i="23"/>
  <c r="L491" i="23"/>
  <c r="M491" i="23" s="1"/>
  <c r="R494" i="23"/>
  <c r="S494" i="23" s="1"/>
  <c r="P494" i="23"/>
  <c r="F491" i="23" l="1"/>
  <c r="Q495" i="23"/>
  <c r="AB495" i="23"/>
  <c r="Z494" i="23"/>
  <c r="AA494" i="23" s="1"/>
  <c r="K491" i="23" l="1"/>
  <c r="H491" i="23"/>
  <c r="I491" i="23" s="1"/>
  <c r="T494" i="23"/>
  <c r="Y494" i="23" s="1"/>
  <c r="D492" i="23" l="1"/>
  <c r="E492" i="23" s="1"/>
  <c r="B492" i="23"/>
  <c r="V494" i="23"/>
  <c r="W494" i="23" s="1"/>
  <c r="R495" i="23" s="1"/>
  <c r="S495" i="23" s="1"/>
  <c r="C493" i="23" l="1"/>
  <c r="N493" i="23"/>
  <c r="J492" i="23"/>
  <c r="L492" i="23"/>
  <c r="M492" i="23" s="1"/>
  <c r="P495" i="23"/>
  <c r="Q496" i="23"/>
  <c r="AB496" i="23"/>
  <c r="Z495" i="23"/>
  <c r="AA495" i="23" s="1"/>
  <c r="F492" i="23" l="1"/>
  <c r="K492" i="23" s="1"/>
  <c r="T495" i="23"/>
  <c r="H492" i="23" l="1"/>
  <c r="I492" i="23" s="1"/>
  <c r="B493" i="23" s="1"/>
  <c r="D493" i="23"/>
  <c r="E493" i="23" s="1"/>
  <c r="Y495" i="23"/>
  <c r="V495" i="23"/>
  <c r="W495" i="23" s="1"/>
  <c r="J493" i="23" l="1"/>
  <c r="N494" i="23"/>
  <c r="L493" i="23"/>
  <c r="M493" i="23" s="1"/>
  <c r="C494" i="23"/>
  <c r="R496" i="23"/>
  <c r="S496" i="23" s="1"/>
  <c r="P496" i="23"/>
  <c r="F493" i="23" l="1"/>
  <c r="Z496" i="23"/>
  <c r="AA496" i="23" s="1"/>
  <c r="Q497" i="23"/>
  <c r="AB497" i="23"/>
  <c r="K493" i="23" l="1"/>
  <c r="H493" i="23"/>
  <c r="I493" i="23" s="1"/>
  <c r="T496" i="23"/>
  <c r="B494" i="23" l="1"/>
  <c r="D494" i="23"/>
  <c r="E494" i="23" s="1"/>
  <c r="Y496" i="23"/>
  <c r="V496" i="23"/>
  <c r="W496" i="23" s="1"/>
  <c r="L494" i="23" l="1"/>
  <c r="M494" i="23" s="1"/>
  <c r="J494" i="23"/>
  <c r="N495" i="23"/>
  <c r="C495" i="23"/>
  <c r="F494" i="23"/>
  <c r="K494" i="23" s="1"/>
  <c r="R497" i="23"/>
  <c r="S497" i="23" s="1"/>
  <c r="P497" i="23"/>
  <c r="H494" i="23" l="1"/>
  <c r="I494" i="23" s="1"/>
  <c r="Z497" i="23"/>
  <c r="AA497" i="23" s="1"/>
  <c r="Q498" i="23"/>
  <c r="AB498" i="23"/>
  <c r="B495" i="23" l="1"/>
  <c r="D495" i="23"/>
  <c r="E495" i="23" s="1"/>
  <c r="T497" i="23"/>
  <c r="N496" i="23" l="1"/>
  <c r="C496" i="23"/>
  <c r="J495" i="23"/>
  <c r="L495" i="23"/>
  <c r="M495" i="23" s="1"/>
  <c r="Y497" i="23"/>
  <c r="V497" i="23"/>
  <c r="W497" i="23" s="1"/>
  <c r="F495" i="23" l="1"/>
  <c r="P498" i="23"/>
  <c r="R498" i="23"/>
  <c r="S498" i="23" s="1"/>
  <c r="K495" i="23" l="1"/>
  <c r="H495" i="23"/>
  <c r="I495" i="23" s="1"/>
  <c r="Z498" i="23"/>
  <c r="AA498" i="23" s="1"/>
  <c r="Q499" i="23"/>
  <c r="AB499" i="23"/>
  <c r="B496" i="23" l="1"/>
  <c r="D496" i="23"/>
  <c r="E496" i="23" s="1"/>
  <c r="T498" i="23"/>
  <c r="N497" i="23" l="1"/>
  <c r="J496" i="23"/>
  <c r="C497" i="23"/>
  <c r="L496" i="23"/>
  <c r="M496" i="23" s="1"/>
  <c r="Y498" i="23"/>
  <c r="V498" i="23"/>
  <c r="W498" i="23" s="1"/>
  <c r="F496" i="23" l="1"/>
  <c r="R499" i="23"/>
  <c r="S499" i="23" s="1"/>
  <c r="P499" i="23"/>
  <c r="K496" i="23" l="1"/>
  <c r="H496" i="23"/>
  <c r="I496" i="23" s="1"/>
  <c r="Q500" i="23"/>
  <c r="Z499" i="23"/>
  <c r="AA499" i="23" s="1"/>
  <c r="AB500" i="23"/>
  <c r="D497" i="23" l="1"/>
  <c r="E497" i="23" s="1"/>
  <c r="B497" i="23"/>
  <c r="T499" i="23"/>
  <c r="L497" i="23" l="1"/>
  <c r="M497" i="23" s="1"/>
  <c r="J497" i="23"/>
  <c r="C498" i="23"/>
  <c r="N498" i="23"/>
  <c r="F497" i="23"/>
  <c r="K497" i="23" s="1"/>
  <c r="Y499" i="23"/>
  <c r="V499" i="23"/>
  <c r="W499" i="23" s="1"/>
  <c r="H497" i="23" l="1"/>
  <c r="I497" i="23" s="1"/>
  <c r="R500" i="23"/>
  <c r="S500" i="23" s="1"/>
  <c r="P500" i="23"/>
  <c r="D498" i="23" l="1"/>
  <c r="E498" i="23" s="1"/>
  <c r="B498" i="23"/>
  <c r="AB501" i="23"/>
  <c r="Z500" i="23"/>
  <c r="AA500" i="23" s="1"/>
  <c r="Q501" i="23"/>
  <c r="L498" i="23" l="1"/>
  <c r="M498" i="23" s="1"/>
  <c r="N499" i="23"/>
  <c r="C499" i="23"/>
  <c r="J498" i="23"/>
  <c r="T500" i="23"/>
  <c r="Y500" i="23" s="1"/>
  <c r="F498" i="23" l="1"/>
  <c r="V500" i="23"/>
  <c r="W500" i="23" s="1"/>
  <c r="P501" i="23" s="1"/>
  <c r="K498" i="23" l="1"/>
  <c r="H498" i="23"/>
  <c r="I498" i="23" s="1"/>
  <c r="R501" i="23"/>
  <c r="S501" i="23" s="1"/>
  <c r="Z501" i="23" s="1"/>
  <c r="AA501" i="23" s="1"/>
  <c r="B499" i="23" l="1"/>
  <c r="D499" i="23"/>
  <c r="E499" i="23" s="1"/>
  <c r="Q502" i="23"/>
  <c r="AB502" i="23"/>
  <c r="T501" i="23"/>
  <c r="J499" i="23" l="1"/>
  <c r="L499" i="23"/>
  <c r="M499" i="23" s="1"/>
  <c r="N500" i="23"/>
  <c r="C500" i="23"/>
  <c r="Y501" i="23"/>
  <c r="V501" i="23"/>
  <c r="W501" i="23" s="1"/>
  <c r="F499" i="23" l="1"/>
  <c r="P502" i="23"/>
  <c r="R502" i="23"/>
  <c r="S502" i="23" s="1"/>
  <c r="K499" i="23" l="1"/>
  <c r="H499" i="23"/>
  <c r="I499" i="23" s="1"/>
  <c r="Z502" i="23"/>
  <c r="AA502" i="23" s="1"/>
  <c r="Q503" i="23"/>
  <c r="AB503" i="23"/>
  <c r="D500" i="23" l="1"/>
  <c r="E500" i="23" s="1"/>
  <c r="B500" i="23"/>
  <c r="T502" i="23"/>
  <c r="Y502" i="23" s="1"/>
  <c r="L500" i="23" l="1"/>
  <c r="M500" i="23" s="1"/>
  <c r="C501" i="23"/>
  <c r="N501" i="23"/>
  <c r="J500" i="23"/>
  <c r="F500" i="23"/>
  <c r="K500" i="23" s="1"/>
  <c r="V502" i="23"/>
  <c r="W502" i="23" s="1"/>
  <c r="R503" i="23" s="1"/>
  <c r="S503" i="23" s="1"/>
  <c r="P503" i="23" l="1"/>
  <c r="H500" i="23"/>
  <c r="I500" i="23" s="1"/>
  <c r="Z503" i="23"/>
  <c r="AA503" i="23" s="1"/>
  <c r="AB504" i="23"/>
  <c r="Q504" i="23"/>
  <c r="D501" i="23" l="1"/>
  <c r="E501" i="23" s="1"/>
  <c r="B501" i="23"/>
  <c r="T503" i="23"/>
  <c r="N502" i="23" l="1"/>
  <c r="C502" i="23"/>
  <c r="L501" i="23"/>
  <c r="M501" i="23" s="1"/>
  <c r="J501" i="23"/>
  <c r="Y503" i="23"/>
  <c r="V503" i="23"/>
  <c r="W503" i="23" s="1"/>
  <c r="F501" i="23" l="1"/>
  <c r="K501" i="23" s="1"/>
  <c r="P504" i="23"/>
  <c r="R504" i="23"/>
  <c r="S504" i="23" s="1"/>
  <c r="H501" i="23" l="1"/>
  <c r="I501" i="23" s="1"/>
  <c r="D502" i="23" s="1"/>
  <c r="E502" i="23" s="1"/>
  <c r="AB505" i="23"/>
  <c r="Z504" i="23"/>
  <c r="AA504" i="23" s="1"/>
  <c r="Q505" i="23"/>
  <c r="B502" i="23" l="1"/>
  <c r="N503" i="23"/>
  <c r="C503" i="23"/>
  <c r="L502" i="23"/>
  <c r="M502" i="23" s="1"/>
  <c r="J502" i="23"/>
  <c r="T504" i="23"/>
  <c r="F502" i="23" l="1"/>
  <c r="Y504" i="23"/>
  <c r="V504" i="23"/>
  <c r="W504" i="23" s="1"/>
  <c r="K502" i="23" l="1"/>
  <c r="H502" i="23"/>
  <c r="I502" i="23" s="1"/>
  <c r="R505" i="23"/>
  <c r="S505" i="23" s="1"/>
  <c r="P505" i="23"/>
  <c r="D503" i="23" l="1"/>
  <c r="E503" i="23" s="1"/>
  <c r="B503" i="23"/>
  <c r="AB506" i="23"/>
  <c r="Q506" i="23"/>
  <c r="Z505" i="23"/>
  <c r="AA505" i="23" s="1"/>
  <c r="C504" i="23" l="1"/>
  <c r="J503" i="23"/>
  <c r="L503" i="23"/>
  <c r="M503" i="23" s="1"/>
  <c r="N504" i="23"/>
  <c r="T505" i="23"/>
  <c r="F503" i="23" l="1"/>
  <c r="Y505" i="23"/>
  <c r="V505" i="23"/>
  <c r="W505" i="23" s="1"/>
  <c r="K503" i="23" l="1"/>
  <c r="H503" i="23"/>
  <c r="I503" i="23" s="1"/>
  <c r="R506" i="23"/>
  <c r="S506" i="23" s="1"/>
  <c r="P506" i="23"/>
  <c r="B504" i="23" l="1"/>
  <c r="D504" i="23"/>
  <c r="E504" i="23" s="1"/>
  <c r="Q507" i="23"/>
  <c r="Z506" i="23"/>
  <c r="AA506" i="23" s="1"/>
  <c r="AB507" i="23"/>
  <c r="J504" i="23" l="1"/>
  <c r="L504" i="23"/>
  <c r="M504" i="23" s="1"/>
  <c r="C505" i="23"/>
  <c r="N505" i="23"/>
  <c r="T506" i="23"/>
  <c r="Y506" i="23" s="1"/>
  <c r="F504" i="23" l="1"/>
  <c r="V506" i="23"/>
  <c r="W506" i="23" s="1"/>
  <c r="R507" i="23" s="1"/>
  <c r="S507" i="23" s="1"/>
  <c r="K504" i="23" l="1"/>
  <c r="H504" i="23"/>
  <c r="I504" i="23" s="1"/>
  <c r="P507" i="23"/>
  <c r="AB508" i="23"/>
  <c r="Q508" i="23"/>
  <c r="Z507" i="23"/>
  <c r="AA507" i="23" s="1"/>
  <c r="B505" i="23" l="1"/>
  <c r="D505" i="23"/>
  <c r="E505" i="23" s="1"/>
  <c r="T507" i="23"/>
  <c r="J505" i="23" l="1"/>
  <c r="C506" i="23"/>
  <c r="L505" i="23"/>
  <c r="M505" i="23" s="1"/>
  <c r="N506" i="23"/>
  <c r="Y507" i="23"/>
  <c r="V507" i="23"/>
  <c r="W507" i="23" s="1"/>
  <c r="F505" i="23" l="1"/>
  <c r="R508" i="23"/>
  <c r="S508" i="23" s="1"/>
  <c r="P508" i="23"/>
  <c r="K505" i="23" l="1"/>
  <c r="H505" i="23"/>
  <c r="I505" i="23" s="1"/>
  <c r="Q509" i="23"/>
  <c r="Z508" i="23"/>
  <c r="AA508" i="23" s="1"/>
  <c r="AB509" i="23"/>
  <c r="D506" i="23" l="1"/>
  <c r="E506" i="23" s="1"/>
  <c r="B506" i="23"/>
  <c r="T508" i="23"/>
  <c r="Y508" i="23" s="1"/>
  <c r="C507" i="23" l="1"/>
  <c r="L506" i="23"/>
  <c r="M506" i="23" s="1"/>
  <c r="N507" i="23"/>
  <c r="J506" i="23"/>
  <c r="V508" i="23"/>
  <c r="W508" i="23" s="1"/>
  <c r="R509" i="23" s="1"/>
  <c r="S509" i="23" s="1"/>
  <c r="F506" i="23" l="1"/>
  <c r="P509" i="23"/>
  <c r="Q510" i="23"/>
  <c r="AB510" i="23"/>
  <c r="Z509" i="23"/>
  <c r="AA509" i="23" s="1"/>
  <c r="K506" i="23" l="1"/>
  <c r="H506" i="23"/>
  <c r="I506" i="23" s="1"/>
  <c r="T509" i="23"/>
  <c r="Y509" i="23" s="1"/>
  <c r="B507" i="23" l="1"/>
  <c r="D507" i="23"/>
  <c r="E507" i="23" s="1"/>
  <c r="V509" i="23"/>
  <c r="W509" i="23" s="1"/>
  <c r="R510" i="23" s="1"/>
  <c r="S510" i="23" s="1"/>
  <c r="N508" i="23" l="1"/>
  <c r="L507" i="23"/>
  <c r="M507" i="23" s="1"/>
  <c r="C508" i="23"/>
  <c r="J507" i="23"/>
  <c r="P510" i="23"/>
  <c r="Z510" i="23"/>
  <c r="AA510" i="23" s="1"/>
  <c r="AB511" i="23"/>
  <c r="Q511" i="23"/>
  <c r="F507" i="23" l="1"/>
  <c r="K507" i="23" s="1"/>
  <c r="T510" i="23"/>
  <c r="H507" i="23" l="1"/>
  <c r="I507" i="23" s="1"/>
  <c r="B508" i="23"/>
  <c r="D508" i="23"/>
  <c r="E508" i="23" s="1"/>
  <c r="Y510" i="23"/>
  <c r="V510" i="23"/>
  <c r="W510" i="23" s="1"/>
  <c r="N509" i="23" l="1"/>
  <c r="L508" i="23"/>
  <c r="M508" i="23" s="1"/>
  <c r="J508" i="23"/>
  <c r="C509" i="23"/>
  <c r="P511" i="23"/>
  <c r="R511" i="23"/>
  <c r="S511" i="23" s="1"/>
  <c r="F508" i="23" l="1"/>
  <c r="K508" i="23" s="1"/>
  <c r="AB512" i="23"/>
  <c r="Q512" i="23"/>
  <c r="Z511" i="23"/>
  <c r="AA511" i="23" s="1"/>
  <c r="H508" i="23" l="1"/>
  <c r="I508" i="23" s="1"/>
  <c r="D509" i="23" s="1"/>
  <c r="E509" i="23" s="1"/>
  <c r="B509" i="23"/>
  <c r="T511" i="23"/>
  <c r="C510" i="23" l="1"/>
  <c r="N510" i="23"/>
  <c r="L509" i="23"/>
  <c r="M509" i="23" s="1"/>
  <c r="J509" i="23"/>
  <c r="Y511" i="23"/>
  <c r="V511" i="23"/>
  <c r="W511" i="23" s="1"/>
  <c r="F509" i="23" l="1"/>
  <c r="P512" i="23"/>
  <c r="R512" i="23"/>
  <c r="S512" i="23" s="1"/>
  <c r="K509" i="23" l="1"/>
  <c r="H509" i="23"/>
  <c r="I509" i="23" s="1"/>
  <c r="Z512" i="23"/>
  <c r="AA512" i="23" s="1"/>
  <c r="Q513" i="23"/>
  <c r="AB513" i="23"/>
  <c r="D510" i="23" l="1"/>
  <c r="E510" i="23" s="1"/>
  <c r="B510" i="23"/>
  <c r="T512" i="23"/>
  <c r="Y512" i="23" s="1"/>
  <c r="L510" i="23" l="1"/>
  <c r="M510" i="23" s="1"/>
  <c r="J510" i="23"/>
  <c r="N511" i="23"/>
  <c r="C511" i="23"/>
  <c r="F510" i="23"/>
  <c r="K510" i="23" s="1"/>
  <c r="V512" i="23"/>
  <c r="W512" i="23" s="1"/>
  <c r="R513" i="23" s="1"/>
  <c r="S513" i="23" s="1"/>
  <c r="H510" i="23" l="1"/>
  <c r="I510" i="23" s="1"/>
  <c r="P513" i="23"/>
  <c r="AB514" i="23"/>
  <c r="Z513" i="23"/>
  <c r="AA513" i="23" s="1"/>
  <c r="Q514" i="23"/>
  <c r="B511" i="23" l="1"/>
  <c r="D511" i="23"/>
  <c r="E511" i="23" s="1"/>
  <c r="T513" i="23"/>
  <c r="J511" i="23" l="1"/>
  <c r="L511" i="23"/>
  <c r="M511" i="23" s="1"/>
  <c r="N512" i="23"/>
  <c r="C512" i="23"/>
  <c r="Y513" i="23"/>
  <c r="V513" i="23"/>
  <c r="W513" i="23" s="1"/>
  <c r="F511" i="23" l="1"/>
  <c r="K511" i="23" s="1"/>
  <c r="R514" i="23"/>
  <c r="S514" i="23" s="1"/>
  <c r="P514" i="23"/>
  <c r="H511" i="23" l="1"/>
  <c r="I511" i="23" s="1"/>
  <c r="B512" i="23"/>
  <c r="D512" i="23"/>
  <c r="E512" i="23" s="1"/>
  <c r="Z514" i="23"/>
  <c r="AA514" i="23" s="1"/>
  <c r="AB515" i="23"/>
  <c r="Q515" i="23"/>
  <c r="J512" i="23" l="1"/>
  <c r="C513" i="23"/>
  <c r="L512" i="23"/>
  <c r="M512" i="23" s="1"/>
  <c r="N513" i="23"/>
  <c r="T514" i="23"/>
  <c r="F512" i="23" l="1"/>
  <c r="Y514" i="23"/>
  <c r="V514" i="23"/>
  <c r="W514" i="23" s="1"/>
  <c r="K512" i="23" l="1"/>
  <c r="H512" i="23"/>
  <c r="I512" i="23" s="1"/>
  <c r="P515" i="23"/>
  <c r="R515" i="23"/>
  <c r="S515" i="23" s="1"/>
  <c r="D513" i="23" l="1"/>
  <c r="E513" i="23" s="1"/>
  <c r="B513" i="23"/>
  <c r="Z515" i="23"/>
  <c r="AA515" i="23" s="1"/>
  <c r="Q516" i="23"/>
  <c r="AB516" i="23"/>
  <c r="L513" i="23" l="1"/>
  <c r="M513" i="23" s="1"/>
  <c r="N514" i="23"/>
  <c r="J513" i="23"/>
  <c r="C514" i="23"/>
  <c r="F513" i="23"/>
  <c r="K513" i="23" s="1"/>
  <c r="T515" i="23"/>
  <c r="H513" i="23" l="1"/>
  <c r="I513" i="23" s="1"/>
  <c r="Y515" i="23"/>
  <c r="V515" i="23"/>
  <c r="W515" i="23" s="1"/>
  <c r="D514" i="23" l="1"/>
  <c r="E514" i="23" s="1"/>
  <c r="B514" i="23"/>
  <c r="P516" i="23"/>
  <c r="R516" i="23"/>
  <c r="S516" i="23" s="1"/>
  <c r="J514" i="23" l="1"/>
  <c r="L514" i="23"/>
  <c r="M514" i="23" s="1"/>
  <c r="C515" i="23"/>
  <c r="N515" i="23"/>
  <c r="Z516" i="23"/>
  <c r="AA516" i="23" s="1"/>
  <c r="AB517" i="23"/>
  <c r="Q517" i="23"/>
  <c r="F514" i="23" l="1"/>
  <c r="T516" i="23"/>
  <c r="Y516" i="23" s="1"/>
  <c r="K514" i="23" l="1"/>
  <c r="H514" i="23"/>
  <c r="I514" i="23" s="1"/>
  <c r="V516" i="23"/>
  <c r="W516" i="23" s="1"/>
  <c r="P517" i="23" s="1"/>
  <c r="B515" i="23" l="1"/>
  <c r="D515" i="23"/>
  <c r="E515" i="23" s="1"/>
  <c r="R517" i="23"/>
  <c r="S517" i="23" s="1"/>
  <c r="AB518" i="23" s="1"/>
  <c r="N516" i="23" l="1"/>
  <c r="L515" i="23"/>
  <c r="M515" i="23" s="1"/>
  <c r="J515" i="23"/>
  <c r="C516" i="23"/>
  <c r="Q518" i="23"/>
  <c r="Z517" i="23"/>
  <c r="AA517" i="23" s="1"/>
  <c r="F515" i="23" l="1"/>
  <c r="K515" i="23" s="1"/>
  <c r="T517" i="23"/>
  <c r="Y517" i="23" s="1"/>
  <c r="H515" i="23" l="1"/>
  <c r="I515" i="23" s="1"/>
  <c r="V517" i="23"/>
  <c r="W517" i="23" s="1"/>
  <c r="D516" i="23"/>
  <c r="E516" i="23" s="1"/>
  <c r="B516" i="23"/>
  <c r="R518" i="23" l="1"/>
  <c r="S518" i="23" s="1"/>
  <c r="P518" i="23"/>
  <c r="N517" i="23"/>
  <c r="L516" i="23"/>
  <c r="M516" i="23" s="1"/>
  <c r="C517" i="23"/>
  <c r="J516" i="23"/>
  <c r="AB519" i="23" l="1"/>
  <c r="Q519" i="23"/>
  <c r="Z518" i="23"/>
  <c r="F516" i="23"/>
  <c r="T518" i="23" l="1"/>
  <c r="AA518" i="23"/>
  <c r="K516" i="23"/>
  <c r="H516" i="23"/>
  <c r="I516" i="23" s="1"/>
  <c r="V518" i="23" l="1"/>
  <c r="W518" i="23" s="1"/>
  <c r="Y518" i="23"/>
  <c r="D517" i="23"/>
  <c r="E517" i="23" s="1"/>
  <c r="B517" i="23"/>
  <c r="P519" i="23" l="1"/>
  <c r="R519" i="23"/>
  <c r="S519" i="23" s="1"/>
  <c r="J517" i="23"/>
  <c r="C518" i="23"/>
  <c r="L517" i="23"/>
  <c r="M517" i="23" s="1"/>
  <c r="N518" i="23"/>
  <c r="F517" i="23" l="1"/>
  <c r="K517" i="23" s="1"/>
  <c r="Q520" i="23"/>
  <c r="AB520" i="23"/>
  <c r="Z519" i="23"/>
  <c r="H517" i="23"/>
  <c r="I517" i="23" s="1"/>
  <c r="T519" i="23" l="1"/>
  <c r="AA519" i="23"/>
  <c r="D518" i="23"/>
  <c r="E518" i="23" s="1"/>
  <c r="B518" i="23"/>
  <c r="V519" i="23" l="1"/>
  <c r="W519" i="23" s="1"/>
  <c r="Y519" i="23"/>
  <c r="C519" i="23"/>
  <c r="J518" i="23"/>
  <c r="L518" i="23"/>
  <c r="M518" i="23" s="1"/>
  <c r="N519" i="23"/>
  <c r="P520" i="23" l="1"/>
  <c r="R520" i="23"/>
  <c r="S520" i="23" s="1"/>
  <c r="F518" i="23"/>
  <c r="Z520" i="23" l="1"/>
  <c r="AB521" i="23"/>
  <c r="Q521" i="23"/>
  <c r="K518" i="23"/>
  <c r="H518" i="23"/>
  <c r="I518" i="23" s="1"/>
  <c r="AA520" i="23" l="1"/>
  <c r="T520" i="23"/>
  <c r="D519" i="23"/>
  <c r="E519" i="23" s="1"/>
  <c r="B519" i="23"/>
  <c r="V520" i="23" l="1"/>
  <c r="W520" i="23" s="1"/>
  <c r="Y520" i="23"/>
  <c r="C520" i="23"/>
  <c r="N520" i="23"/>
  <c r="J519" i="23"/>
  <c r="L519" i="23"/>
  <c r="M519" i="23" s="1"/>
  <c r="F519" i="23" l="1"/>
  <c r="K519" i="23" s="1"/>
  <c r="P521" i="23"/>
  <c r="R521" i="23"/>
  <c r="S521" i="23" s="1"/>
  <c r="H519" i="23"/>
  <c r="I519" i="23" s="1"/>
  <c r="AB522" i="23" l="1"/>
  <c r="Q522" i="23"/>
  <c r="Z521" i="23"/>
  <c r="AA521" i="23" s="1"/>
  <c r="B520" i="23"/>
  <c r="D520" i="23"/>
  <c r="E520" i="23" s="1"/>
  <c r="T521" i="23" l="1"/>
  <c r="C521" i="23"/>
  <c r="L520" i="23"/>
  <c r="M520" i="23" s="1"/>
  <c r="N521" i="23"/>
  <c r="J520" i="23"/>
  <c r="F520" i="23" l="1"/>
  <c r="K520" i="23" s="1"/>
  <c r="Y521" i="23"/>
  <c r="V521" i="23"/>
  <c r="W521" i="23" s="1"/>
  <c r="H520" i="23"/>
  <c r="I520" i="23" s="1"/>
  <c r="P522" i="23" l="1"/>
  <c r="R522" i="23"/>
  <c r="S522" i="23" s="1"/>
  <c r="D521" i="23"/>
  <c r="E521" i="23" s="1"/>
  <c r="B521" i="23"/>
  <c r="Q523" i="23" l="1"/>
  <c r="AB523" i="23"/>
  <c r="Z522" i="23"/>
  <c r="AA522" i="23" s="1"/>
  <c r="T522" i="23"/>
  <c r="Y522" i="23" s="1"/>
  <c r="N522" i="23"/>
  <c r="J521" i="23"/>
  <c r="L521" i="23"/>
  <c r="M521" i="23" s="1"/>
  <c r="C522" i="23"/>
  <c r="V522" i="23" l="1"/>
  <c r="W522" i="23" s="1"/>
  <c r="R523" i="23" s="1"/>
  <c r="S523" i="23" s="1"/>
  <c r="F521" i="23"/>
  <c r="P523" i="23" l="1"/>
  <c r="Q524" i="23"/>
  <c r="Z523" i="23"/>
  <c r="AB524" i="23"/>
  <c r="K521" i="23"/>
  <c r="H521" i="23"/>
  <c r="I521" i="23" s="1"/>
  <c r="AA523" i="23" l="1"/>
  <c r="T523" i="23"/>
  <c r="B522" i="23"/>
  <c r="D522" i="23"/>
  <c r="E522" i="23" s="1"/>
  <c r="Y523" i="23" l="1"/>
  <c r="V523" i="23"/>
  <c r="W523" i="23" s="1"/>
  <c r="C523" i="23"/>
  <c r="L522" i="23"/>
  <c r="M522" i="23" s="1"/>
  <c r="J522" i="23"/>
  <c r="N523" i="23"/>
  <c r="P524" i="23" l="1"/>
  <c r="R524" i="23"/>
  <c r="S524" i="23" s="1"/>
  <c r="F522" i="23"/>
  <c r="Q525" i="23" l="1"/>
  <c r="AB525" i="23"/>
  <c r="Z524" i="23"/>
  <c r="K522" i="23"/>
  <c r="H522" i="23"/>
  <c r="I522" i="23" s="1"/>
  <c r="AA524" i="23" l="1"/>
  <c r="T524" i="23"/>
  <c r="B523" i="23"/>
  <c r="D523" i="23"/>
  <c r="E523" i="23" s="1"/>
  <c r="Y524" i="23" l="1"/>
  <c r="V524" i="23"/>
  <c r="W524" i="23" s="1"/>
  <c r="N524" i="23"/>
  <c r="J523" i="23"/>
  <c r="L523" i="23"/>
  <c r="M523" i="23" s="1"/>
  <c r="C524" i="23"/>
  <c r="P525" i="23" l="1"/>
  <c r="R525" i="23"/>
  <c r="S525" i="23" s="1"/>
  <c r="F523" i="23"/>
  <c r="Q526" i="23" l="1"/>
  <c r="Z525" i="23"/>
  <c r="AA525" i="23" s="1"/>
  <c r="AB526" i="23"/>
  <c r="K523" i="23"/>
  <c r="H523" i="23"/>
  <c r="I523" i="23" s="1"/>
  <c r="T525" i="23" l="1"/>
  <c r="Y525" i="23" s="1"/>
  <c r="V525" i="23"/>
  <c r="W525" i="23" s="1"/>
  <c r="D524" i="23"/>
  <c r="E524" i="23" s="1"/>
  <c r="B524" i="23"/>
  <c r="R526" i="23" l="1"/>
  <c r="S526" i="23" s="1"/>
  <c r="P526" i="23"/>
  <c r="J524" i="23"/>
  <c r="C525" i="23"/>
  <c r="N525" i="23"/>
  <c r="L524" i="23"/>
  <c r="M524" i="23" s="1"/>
  <c r="F524" i="23" l="1"/>
  <c r="K524" i="23" s="1"/>
  <c r="Q527" i="23"/>
  <c r="Z526" i="23"/>
  <c r="AA526" i="23" s="1"/>
  <c r="AB527" i="23"/>
  <c r="T526" i="23"/>
  <c r="H524" i="23"/>
  <c r="I524" i="23" s="1"/>
  <c r="Y526" i="23" l="1"/>
  <c r="V526" i="23"/>
  <c r="W526" i="23" s="1"/>
  <c r="B525" i="23"/>
  <c r="D525" i="23"/>
  <c r="E525" i="23" s="1"/>
  <c r="P527" i="23" l="1"/>
  <c r="R527" i="23"/>
  <c r="S527" i="23" s="1"/>
  <c r="J525" i="23"/>
  <c r="C526" i="23"/>
  <c r="N526" i="23"/>
  <c r="L525" i="23"/>
  <c r="M525" i="23" s="1"/>
  <c r="Q528" i="23" l="1"/>
  <c r="Z527" i="23"/>
  <c r="AB528" i="23"/>
  <c r="F525" i="23"/>
  <c r="AA527" i="23" l="1"/>
  <c r="T527" i="23"/>
  <c r="K525" i="23"/>
  <c r="H525" i="23"/>
  <c r="I525" i="23" s="1"/>
  <c r="Y527" i="23" l="1"/>
  <c r="V527" i="23"/>
  <c r="W527" i="23" s="1"/>
  <c r="B526" i="23"/>
  <c r="D526" i="23"/>
  <c r="E526" i="23" s="1"/>
  <c r="R528" i="23" l="1"/>
  <c r="S528" i="23" s="1"/>
  <c r="P528" i="23"/>
  <c r="C527" i="23"/>
  <c r="N527" i="23"/>
  <c r="L526" i="23"/>
  <c r="M526" i="23" s="1"/>
  <c r="J526" i="23"/>
  <c r="F526" i="23" l="1"/>
  <c r="K526" i="23" s="1"/>
  <c r="AB529" i="23"/>
  <c r="Q529" i="23"/>
  <c r="Z528" i="23"/>
  <c r="H526" i="23"/>
  <c r="I526" i="23" s="1"/>
  <c r="AA528" i="23" l="1"/>
  <c r="T528" i="23"/>
  <c r="D527" i="23"/>
  <c r="E527" i="23" s="1"/>
  <c r="B527" i="23"/>
  <c r="Y528" i="23" l="1"/>
  <c r="V528" i="23"/>
  <c r="W528" i="23" s="1"/>
  <c r="N528" i="23"/>
  <c r="C528" i="23"/>
  <c r="J527" i="23"/>
  <c r="L527" i="23"/>
  <c r="M527" i="23" s="1"/>
  <c r="F527" i="23" l="1"/>
  <c r="K527" i="23" s="1"/>
  <c r="P529" i="23"/>
  <c r="R529" i="23"/>
  <c r="S529" i="23" s="1"/>
  <c r="H527" i="23" l="1"/>
  <c r="I527" i="23" s="1"/>
  <c r="Z529" i="23"/>
  <c r="AB530" i="23"/>
  <c r="Q530" i="23"/>
  <c r="B528" i="23"/>
  <c r="D528" i="23"/>
  <c r="E528" i="23" s="1"/>
  <c r="AA529" i="23" l="1"/>
  <c r="T529" i="23"/>
  <c r="C529" i="23"/>
  <c r="L528" i="23"/>
  <c r="M528" i="23" s="1"/>
  <c r="N529" i="23"/>
  <c r="J528" i="23"/>
  <c r="Y529" i="23" l="1"/>
  <c r="V529" i="23"/>
  <c r="W529" i="23" s="1"/>
  <c r="F528" i="23"/>
  <c r="R530" i="23" l="1"/>
  <c r="S530" i="23" s="1"/>
  <c r="P530" i="23"/>
  <c r="K528" i="23"/>
  <c r="H528" i="23"/>
  <c r="I528" i="23" s="1"/>
  <c r="Z530" i="23" l="1"/>
  <c r="AA530" i="23" s="1"/>
  <c r="Q531" i="23"/>
  <c r="AB531" i="23"/>
  <c r="T530" i="23"/>
  <c r="B529" i="23"/>
  <c r="D529" i="23"/>
  <c r="E529" i="23" s="1"/>
  <c r="Y530" i="23" l="1"/>
  <c r="V530" i="23"/>
  <c r="W530" i="23" s="1"/>
  <c r="N530" i="23"/>
  <c r="L529" i="23"/>
  <c r="M529" i="23" s="1"/>
  <c r="C530" i="23"/>
  <c r="J529" i="23"/>
  <c r="P531" i="23" l="1"/>
  <c r="R531" i="23"/>
  <c r="S531" i="23" s="1"/>
  <c r="F529" i="23"/>
  <c r="AB532" i="23" l="1"/>
  <c r="Z531" i="23"/>
  <c r="Q532" i="23"/>
  <c r="K529" i="23"/>
  <c r="H529" i="23"/>
  <c r="I529" i="23" s="1"/>
  <c r="AA531" i="23" l="1"/>
  <c r="T531" i="23"/>
  <c r="B530" i="23"/>
  <c r="D530" i="23"/>
  <c r="E530" i="23" s="1"/>
  <c r="Y531" i="23" l="1"/>
  <c r="V531" i="23"/>
  <c r="W531" i="23" s="1"/>
  <c r="L530" i="23"/>
  <c r="M530" i="23" s="1"/>
  <c r="J530" i="23"/>
  <c r="N531" i="23"/>
  <c r="C531" i="23"/>
  <c r="P532" i="23" l="1"/>
  <c r="R532" i="23"/>
  <c r="S532" i="23" s="1"/>
  <c r="F530" i="23"/>
  <c r="Z532" i="23" l="1"/>
  <c r="AA532" i="23" s="1"/>
  <c r="AB533" i="23"/>
  <c r="T532" i="23"/>
  <c r="Q533" i="23"/>
  <c r="K530" i="23"/>
  <c r="H530" i="23"/>
  <c r="I530" i="23" s="1"/>
  <c r="Y532" i="23" l="1"/>
  <c r="V532" i="23"/>
  <c r="W532" i="23" s="1"/>
  <c r="D531" i="23"/>
  <c r="E531" i="23" s="1"/>
  <c r="B531" i="23"/>
  <c r="P533" i="23" l="1"/>
  <c r="R533" i="23"/>
  <c r="S533" i="23" s="1"/>
  <c r="J531" i="23"/>
  <c r="N532" i="23"/>
  <c r="L531" i="23"/>
  <c r="M531" i="23" s="1"/>
  <c r="C532" i="23"/>
  <c r="Q534" i="23" l="1"/>
  <c r="Z533" i="23"/>
  <c r="AB534" i="23"/>
  <c r="F531" i="23"/>
  <c r="AA533" i="23" l="1"/>
  <c r="T533" i="23"/>
  <c r="K531" i="23"/>
  <c r="H531" i="23"/>
  <c r="I531" i="23" s="1"/>
  <c r="V533" i="23" l="1"/>
  <c r="W533" i="23" s="1"/>
  <c r="Y533" i="23"/>
  <c r="D532" i="23"/>
  <c r="E532" i="23" s="1"/>
  <c r="B532" i="23"/>
  <c r="R534" i="23" l="1"/>
  <c r="S534" i="23" s="1"/>
  <c r="P534" i="23"/>
  <c r="C533" i="23"/>
  <c r="J532" i="23"/>
  <c r="L532" i="23"/>
  <c r="M532" i="23" s="1"/>
  <c r="N533" i="23"/>
  <c r="AB535" i="23" l="1"/>
  <c r="Q535" i="23"/>
  <c r="Z534" i="23"/>
  <c r="F532" i="23"/>
  <c r="AA534" i="23" l="1"/>
  <c r="T534" i="23"/>
  <c r="K532" i="23"/>
  <c r="H532" i="23"/>
  <c r="I532" i="23" s="1"/>
  <c r="Y534" i="23" l="1"/>
  <c r="V534" i="23"/>
  <c r="W534" i="23" s="1"/>
  <c r="B533" i="23"/>
  <c r="D533" i="23"/>
  <c r="E533" i="23" s="1"/>
  <c r="R535" i="23" l="1"/>
  <c r="S535" i="23" s="1"/>
  <c r="P535" i="23"/>
  <c r="L533" i="23"/>
  <c r="M533" i="23" s="1"/>
  <c r="J533" i="23"/>
  <c r="C534" i="23"/>
  <c r="N534" i="23"/>
  <c r="F533" i="23" l="1"/>
  <c r="K533" i="23" s="1"/>
  <c r="Z535" i="23"/>
  <c r="AA535" i="23" s="1"/>
  <c r="Q536" i="23"/>
  <c r="AB536" i="23"/>
  <c r="H533" i="23" l="1"/>
  <c r="I533" i="23" s="1"/>
  <c r="T535" i="23"/>
  <c r="V535" i="23"/>
  <c r="W535" i="23" s="1"/>
  <c r="Y535" i="23"/>
  <c r="B534" i="23" l="1"/>
  <c r="D534" i="23"/>
  <c r="E534" i="23" s="1"/>
  <c r="R536" i="23"/>
  <c r="S536" i="23" s="1"/>
  <c r="P536" i="23"/>
  <c r="N535" i="23" l="1"/>
  <c r="C535" i="23"/>
  <c r="J534" i="23"/>
  <c r="L534" i="23"/>
  <c r="AB537" i="23"/>
  <c r="Z536" i="23"/>
  <c r="Q537" i="23"/>
  <c r="M534" i="23" l="1"/>
  <c r="F534" i="23"/>
  <c r="AA536" i="23"/>
  <c r="T536" i="23"/>
  <c r="K534" i="23" l="1"/>
  <c r="H534" i="23"/>
  <c r="I534" i="23" s="1"/>
  <c r="Y536" i="23"/>
  <c r="V536" i="23"/>
  <c r="W536" i="23" s="1"/>
  <c r="D535" i="23" l="1"/>
  <c r="E535" i="23" s="1"/>
  <c r="B535" i="23"/>
  <c r="R537" i="23"/>
  <c r="S537" i="23" s="1"/>
  <c r="P537" i="23"/>
  <c r="C536" i="23" l="1"/>
  <c r="L535" i="23"/>
  <c r="M535" i="23" s="1"/>
  <c r="N536" i="23"/>
  <c r="J535" i="23"/>
  <c r="Z537" i="23"/>
  <c r="AB538" i="23"/>
  <c r="Q538" i="23"/>
  <c r="F535" i="23" l="1"/>
  <c r="AA537" i="23"/>
  <c r="T537" i="23"/>
  <c r="K535" i="23" l="1"/>
  <c r="H535" i="23"/>
  <c r="I535" i="23" s="1"/>
  <c r="Y537" i="23"/>
  <c r="V537" i="23"/>
  <c r="W537" i="23" s="1"/>
  <c r="D536" i="23" l="1"/>
  <c r="E536" i="23" s="1"/>
  <c r="B536" i="23"/>
  <c r="R538" i="23"/>
  <c r="S538" i="23" s="1"/>
  <c r="P538" i="23"/>
  <c r="L536" i="23" l="1"/>
  <c r="M536" i="23" s="1"/>
  <c r="C537" i="23"/>
  <c r="N537" i="23"/>
  <c r="J536" i="23"/>
  <c r="F536" i="23"/>
  <c r="Z538" i="23"/>
  <c r="Q539" i="23"/>
  <c r="AB539" i="23"/>
  <c r="K536" i="23" l="1"/>
  <c r="H536" i="23"/>
  <c r="I536" i="23" s="1"/>
  <c r="AA538" i="23"/>
  <c r="T538" i="23"/>
  <c r="B537" i="23" l="1"/>
  <c r="D537" i="23"/>
  <c r="E537" i="23" s="1"/>
  <c r="Y538" i="23"/>
  <c r="V538" i="23"/>
  <c r="W538" i="23" s="1"/>
  <c r="C538" i="23" l="1"/>
  <c r="J537" i="23"/>
  <c r="L537" i="23"/>
  <c r="M537" i="23" s="1"/>
  <c r="N538" i="23"/>
  <c r="R539" i="23"/>
  <c r="S539" i="23" s="1"/>
  <c r="P539" i="23"/>
  <c r="F537" i="23" l="1"/>
  <c r="Q540" i="23"/>
  <c r="Z539" i="23"/>
  <c r="AB540" i="23"/>
  <c r="H537" i="23" l="1"/>
  <c r="I537" i="23" s="1"/>
  <c r="K537" i="23"/>
  <c r="AA539" i="23"/>
  <c r="T539" i="23"/>
  <c r="B538" i="23" l="1"/>
  <c r="D538" i="23"/>
  <c r="E538" i="23" s="1"/>
  <c r="V539" i="23"/>
  <c r="W539" i="23" s="1"/>
  <c r="Y539" i="23"/>
  <c r="L538" i="23" l="1"/>
  <c r="M538" i="23" s="1"/>
  <c r="C539" i="23"/>
  <c r="J538" i="23"/>
  <c r="N539" i="23"/>
  <c r="F538" i="23"/>
  <c r="R540" i="23"/>
  <c r="S540" i="23" s="1"/>
  <c r="P540" i="23"/>
  <c r="K538" i="23"/>
  <c r="H538" i="23"/>
  <c r="I538" i="23" s="1"/>
  <c r="Q541" i="23" l="1"/>
  <c r="Z540" i="23"/>
  <c r="AB541" i="23"/>
  <c r="B539" i="23"/>
  <c r="D539" i="23"/>
  <c r="E539" i="23" s="1"/>
  <c r="AA540" i="23" l="1"/>
  <c r="T540" i="23"/>
  <c r="J539" i="23"/>
  <c r="C540" i="23"/>
  <c r="N540" i="23"/>
  <c r="L539" i="23"/>
  <c r="M539" i="23" s="1"/>
  <c r="F539" i="23" l="1"/>
  <c r="K539" i="23" s="1"/>
  <c r="V540" i="23"/>
  <c r="W540" i="23" s="1"/>
  <c r="Y540" i="23"/>
  <c r="H539" i="23"/>
  <c r="I539" i="23" s="1"/>
  <c r="R541" i="23" l="1"/>
  <c r="S541" i="23" s="1"/>
  <c r="P541" i="23"/>
  <c r="D540" i="23"/>
  <c r="E540" i="23" s="1"/>
  <c r="B540" i="23"/>
  <c r="Q542" i="23" l="1"/>
  <c r="Z541" i="23"/>
  <c r="AB542" i="23"/>
  <c r="C541" i="23"/>
  <c r="L540" i="23"/>
  <c r="M540" i="23" s="1"/>
  <c r="J540" i="23"/>
  <c r="N541" i="23"/>
  <c r="AA541" i="23" l="1"/>
  <c r="T541" i="23"/>
  <c r="F540" i="23"/>
  <c r="Y541" i="23" l="1"/>
  <c r="V541" i="23"/>
  <c r="W541" i="23" s="1"/>
  <c r="K540" i="23"/>
  <c r="H540" i="23"/>
  <c r="I540" i="23" s="1"/>
  <c r="R542" i="23" l="1"/>
  <c r="S542" i="23" s="1"/>
  <c r="P542" i="23"/>
  <c r="D541" i="23"/>
  <c r="E541" i="23" s="1"/>
  <c r="B541" i="23"/>
  <c r="Z542" i="23" l="1"/>
  <c r="AB543" i="23"/>
  <c r="Q543" i="23"/>
  <c r="C542" i="23"/>
  <c r="L541" i="23"/>
  <c r="M541" i="23" s="1"/>
  <c r="N542" i="23"/>
  <c r="J541" i="23"/>
  <c r="AA542" i="23" l="1"/>
  <c r="T542" i="23"/>
  <c r="F541" i="23"/>
  <c r="Y542" i="23" l="1"/>
  <c r="V542" i="23"/>
  <c r="W542" i="23" s="1"/>
  <c r="K541" i="23"/>
  <c r="H541" i="23"/>
  <c r="I541" i="23" s="1"/>
  <c r="R543" i="23" l="1"/>
  <c r="S543" i="23" s="1"/>
  <c r="P543" i="23"/>
  <c r="B542" i="23"/>
  <c r="D542" i="23"/>
  <c r="E542" i="23" s="1"/>
  <c r="AB544" i="23" l="1"/>
  <c r="Z543" i="23"/>
  <c r="Q544" i="23"/>
  <c r="J542" i="23"/>
  <c r="N543" i="23"/>
  <c r="L542" i="23"/>
  <c r="M542" i="23" s="1"/>
  <c r="C543" i="23"/>
  <c r="AA543" i="23" l="1"/>
  <c r="T543" i="23"/>
  <c r="F542" i="23"/>
  <c r="Y543" i="23" l="1"/>
  <c r="V543" i="23"/>
  <c r="W543" i="23" s="1"/>
  <c r="K542" i="23"/>
  <c r="H542" i="23"/>
  <c r="I542" i="23" s="1"/>
  <c r="R544" i="23" l="1"/>
  <c r="S544" i="23" s="1"/>
  <c r="P544" i="23"/>
  <c r="B543" i="23"/>
  <c r="D543" i="23"/>
  <c r="E543" i="23" s="1"/>
  <c r="Q545" i="23" l="1"/>
  <c r="AB545" i="23"/>
  <c r="Z544" i="23"/>
  <c r="L543" i="23"/>
  <c r="M543" i="23" s="1"/>
  <c r="J543" i="23"/>
  <c r="C544" i="23"/>
  <c r="N544" i="23"/>
  <c r="F543" i="23"/>
  <c r="K543" i="23" s="1"/>
  <c r="AA544" i="23" l="1"/>
  <c r="T544" i="23"/>
  <c r="H543" i="23"/>
  <c r="I543" i="23" s="1"/>
  <c r="Y544" i="23" l="1"/>
  <c r="V544" i="23"/>
  <c r="W544" i="23" s="1"/>
  <c r="B544" i="23"/>
  <c r="D544" i="23"/>
  <c r="E544" i="23" s="1"/>
  <c r="R545" i="23" l="1"/>
  <c r="S545" i="23" s="1"/>
  <c r="P545" i="23"/>
  <c r="L544" i="23"/>
  <c r="M544" i="23" s="1"/>
  <c r="C545" i="23"/>
  <c r="N545" i="23"/>
  <c r="J544" i="23"/>
  <c r="F544" i="23"/>
  <c r="K544" i="23" s="1"/>
  <c r="Q546" i="23" l="1"/>
  <c r="Z545" i="23"/>
  <c r="AB546" i="23"/>
  <c r="H544" i="23"/>
  <c r="I544" i="23" s="1"/>
  <c r="AA545" i="23" l="1"/>
  <c r="T545" i="23"/>
  <c r="B545" i="23"/>
  <c r="D545" i="23"/>
  <c r="E545" i="23" s="1"/>
  <c r="V545" i="23" l="1"/>
  <c r="W545" i="23" s="1"/>
  <c r="Y545" i="23"/>
  <c r="N546" i="23"/>
  <c r="L545" i="23"/>
  <c r="M545" i="23" s="1"/>
  <c r="C546" i="23"/>
  <c r="J545" i="23"/>
  <c r="F545" i="23" l="1"/>
  <c r="K545" i="23" s="1"/>
  <c r="R546" i="23"/>
  <c r="S546" i="23" s="1"/>
  <c r="P546" i="23"/>
  <c r="H545" i="23"/>
  <c r="I545" i="23" s="1"/>
  <c r="Z546" i="23" l="1"/>
  <c r="AB547" i="23"/>
  <c r="Q547" i="23"/>
  <c r="D546" i="23"/>
  <c r="E546" i="23" s="1"/>
  <c r="B546" i="23"/>
  <c r="AA546" i="23" l="1"/>
  <c r="T546" i="23"/>
  <c r="N547" i="23"/>
  <c r="C547" i="23"/>
  <c r="L546" i="23"/>
  <c r="M546" i="23" s="1"/>
  <c r="J546" i="23"/>
  <c r="Y546" i="23" l="1"/>
  <c r="V546" i="23"/>
  <c r="W546" i="23" s="1"/>
  <c r="F546" i="23"/>
  <c r="R547" i="23" l="1"/>
  <c r="S547" i="23" s="1"/>
  <c r="P547" i="23"/>
  <c r="K546" i="23"/>
  <c r="H546" i="23"/>
  <c r="I546" i="23" s="1"/>
  <c r="Z547" i="23" l="1"/>
  <c r="AB548" i="23"/>
  <c r="Q548" i="23"/>
  <c r="B547" i="23"/>
  <c r="D547" i="23"/>
  <c r="E547" i="23" s="1"/>
  <c r="AA547" i="23" l="1"/>
  <c r="T547" i="23"/>
  <c r="C548" i="23"/>
  <c r="L547" i="23"/>
  <c r="M547" i="23" s="1"/>
  <c r="N548" i="23"/>
  <c r="J547" i="23"/>
  <c r="Y547" i="23" l="1"/>
  <c r="V547" i="23"/>
  <c r="W547" i="23" s="1"/>
  <c r="F547" i="23"/>
  <c r="R548" i="23" l="1"/>
  <c r="S548" i="23" s="1"/>
  <c r="P548" i="23"/>
  <c r="K547" i="23"/>
  <c r="H547" i="23"/>
  <c r="I547" i="23" s="1"/>
  <c r="Q549" i="23" l="1"/>
  <c r="Z548" i="23"/>
  <c r="AB549" i="23"/>
  <c r="B548" i="23"/>
  <c r="D548" i="23"/>
  <c r="E548" i="23" s="1"/>
  <c r="AA548" i="23" l="1"/>
  <c r="T548" i="23"/>
  <c r="J548" i="23"/>
  <c r="N549" i="23"/>
  <c r="L548" i="23"/>
  <c r="M548" i="23" s="1"/>
  <c r="C549" i="23"/>
  <c r="Y548" i="23" l="1"/>
  <c r="V548" i="23"/>
  <c r="W548" i="23" s="1"/>
  <c r="F548" i="23"/>
  <c r="R549" i="23" l="1"/>
  <c r="S549" i="23" s="1"/>
  <c r="P549" i="23"/>
  <c r="K548" i="23"/>
  <c r="H548" i="23"/>
  <c r="I548" i="23" s="1"/>
  <c r="AB550" i="23" l="1"/>
  <c r="Q550" i="23"/>
  <c r="Z549" i="23"/>
  <c r="D549" i="23"/>
  <c r="E549" i="23" s="1"/>
  <c r="B549" i="23"/>
  <c r="AA549" i="23" l="1"/>
  <c r="T549" i="23"/>
  <c r="C550" i="23"/>
  <c r="L549" i="23"/>
  <c r="M549" i="23" s="1"/>
  <c r="N550" i="23"/>
  <c r="J549" i="23"/>
  <c r="Y549" i="23" l="1"/>
  <c r="V549" i="23"/>
  <c r="W549" i="23" s="1"/>
  <c r="F549" i="23"/>
  <c r="R550" i="23" l="1"/>
  <c r="S550" i="23" s="1"/>
  <c r="P550" i="23"/>
  <c r="K549" i="23"/>
  <c r="H549" i="23"/>
  <c r="I549" i="23" s="1"/>
  <c r="Z550" i="23" l="1"/>
  <c r="AA550" i="23" s="1"/>
  <c r="AB551" i="23"/>
  <c r="Q551" i="23"/>
  <c r="T550" i="23"/>
  <c r="D550" i="23"/>
  <c r="E550" i="23" s="1"/>
  <c r="B550" i="23"/>
  <c r="Y550" i="23" l="1"/>
  <c r="V550" i="23"/>
  <c r="W550" i="23" s="1"/>
  <c r="J550" i="23"/>
  <c r="L550" i="23"/>
  <c r="M550" i="23" s="1"/>
  <c r="N551" i="23"/>
  <c r="C551" i="23"/>
  <c r="R551" i="23" l="1"/>
  <c r="S551" i="23" s="1"/>
  <c r="P551" i="23"/>
  <c r="F550" i="23"/>
  <c r="Z551" i="23" l="1"/>
  <c r="Q552" i="23"/>
  <c r="AB552" i="23"/>
  <c r="K550" i="23"/>
  <c r="H550" i="23"/>
  <c r="I550" i="23" s="1"/>
  <c r="AA551" i="23" l="1"/>
  <c r="T551" i="23"/>
  <c r="B551" i="23"/>
  <c r="D551" i="23"/>
  <c r="E551" i="23" s="1"/>
  <c r="Y551" i="23" l="1"/>
  <c r="V551" i="23"/>
  <c r="W551" i="23" s="1"/>
  <c r="J551" i="23"/>
  <c r="C552" i="23"/>
  <c r="L551" i="23"/>
  <c r="M551" i="23" s="1"/>
  <c r="N552" i="23"/>
  <c r="F551" i="23"/>
  <c r="K551" i="23" s="1"/>
  <c r="P552" i="23" l="1"/>
  <c r="R552" i="23"/>
  <c r="S552" i="23" s="1"/>
  <c r="H551" i="23"/>
  <c r="I551" i="23" s="1"/>
  <c r="Q553" i="23" l="1"/>
  <c r="Z552" i="23"/>
  <c r="AA552" i="23" s="1"/>
  <c r="AB553" i="23"/>
  <c r="D552" i="23"/>
  <c r="E552" i="23" s="1"/>
  <c r="B552" i="23"/>
  <c r="T552" i="23" l="1"/>
  <c r="Y552" i="23"/>
  <c r="V552" i="23"/>
  <c r="W552" i="23" s="1"/>
  <c r="L552" i="23"/>
  <c r="M552" i="23" s="1"/>
  <c r="N553" i="23"/>
  <c r="C553" i="23"/>
  <c r="J552" i="23"/>
  <c r="P553" i="23" l="1"/>
  <c r="R553" i="23"/>
  <c r="S553" i="23" s="1"/>
  <c r="F552" i="23"/>
  <c r="AB554" i="23" l="1"/>
  <c r="Z553" i="23"/>
  <c r="Q554" i="23"/>
  <c r="K552" i="23"/>
  <c r="H552" i="23"/>
  <c r="I552" i="23" s="1"/>
  <c r="AA553" i="23" l="1"/>
  <c r="T553" i="23"/>
  <c r="B553" i="23"/>
  <c r="D553" i="23"/>
  <c r="E553" i="23" s="1"/>
  <c r="Y553" i="23" l="1"/>
  <c r="V553" i="23"/>
  <c r="W553" i="23" s="1"/>
  <c r="L553" i="23"/>
  <c r="M553" i="23" s="1"/>
  <c r="J553" i="23"/>
  <c r="N554" i="23"/>
  <c r="C554" i="23"/>
  <c r="F553" i="23"/>
  <c r="K553" i="23" s="1"/>
  <c r="H553" i="23" l="1"/>
  <c r="I553" i="23" s="1"/>
  <c r="R554" i="23"/>
  <c r="S554" i="23" s="1"/>
  <c r="P554" i="23"/>
  <c r="D554" i="23"/>
  <c r="E554" i="23" s="1"/>
  <c r="B554" i="23"/>
  <c r="Z554" i="23" l="1"/>
  <c r="AA554" i="23" s="1"/>
  <c r="AB555" i="23"/>
  <c r="Q555" i="23"/>
  <c r="T554" i="23"/>
  <c r="J554" i="23"/>
  <c r="N555" i="23"/>
  <c r="C555" i="23"/>
  <c r="L554" i="23"/>
  <c r="M554" i="23" s="1"/>
  <c r="F554" i="23" l="1"/>
  <c r="K554" i="23" s="1"/>
  <c r="Y554" i="23"/>
  <c r="V554" i="23"/>
  <c r="W554" i="23" s="1"/>
  <c r="H554" i="23" l="1"/>
  <c r="I554" i="23" s="1"/>
  <c r="R555" i="23"/>
  <c r="S555" i="23" s="1"/>
  <c r="P555" i="23"/>
  <c r="B555" i="23"/>
  <c r="D555" i="23"/>
  <c r="E555" i="23" s="1"/>
  <c r="Z555" i="23" l="1"/>
  <c r="AA555" i="23" s="1"/>
  <c r="AB556" i="23"/>
  <c r="Q556" i="23"/>
  <c r="T555" i="23"/>
  <c r="L555" i="23"/>
  <c r="M555" i="23" s="1"/>
  <c r="N556" i="23"/>
  <c r="C556" i="23"/>
  <c r="J555" i="23"/>
  <c r="F555" i="23"/>
  <c r="K555" i="23" s="1"/>
  <c r="Y555" i="23" l="1"/>
  <c r="V555" i="23"/>
  <c r="W555" i="23" s="1"/>
  <c r="H555" i="23"/>
  <c r="I555" i="23" s="1"/>
  <c r="P556" i="23" l="1"/>
  <c r="R556" i="23"/>
  <c r="S556" i="23" s="1"/>
  <c r="B556" i="23"/>
  <c r="D556" i="23"/>
  <c r="E556" i="23" s="1"/>
  <c r="Q557" i="23" l="1"/>
  <c r="AB557" i="23"/>
  <c r="Z556" i="23"/>
  <c r="C557" i="23"/>
  <c r="L556" i="23"/>
  <c r="M556" i="23" s="1"/>
  <c r="J556" i="23"/>
  <c r="N557" i="23"/>
  <c r="AA556" i="23" l="1"/>
  <c r="T556" i="23"/>
  <c r="F556" i="23"/>
  <c r="Y556" i="23" l="1"/>
  <c r="V556" i="23"/>
  <c r="W556" i="23" s="1"/>
  <c r="K556" i="23"/>
  <c r="H556" i="23"/>
  <c r="I556" i="23" s="1"/>
  <c r="P557" i="23" l="1"/>
  <c r="R557" i="23"/>
  <c r="S557" i="23" s="1"/>
  <c r="D557" i="23"/>
  <c r="E557" i="23" s="1"/>
  <c r="B557" i="23"/>
  <c r="Q558" i="23" l="1"/>
  <c r="Z557" i="23"/>
  <c r="AB558" i="23"/>
  <c r="C558" i="23"/>
  <c r="J557" i="23"/>
  <c r="N558" i="23"/>
  <c r="L557" i="23"/>
  <c r="M557" i="23" s="1"/>
  <c r="AA557" i="23" l="1"/>
  <c r="T557" i="23"/>
  <c r="F557" i="23"/>
  <c r="Y557" i="23" l="1"/>
  <c r="V557" i="23"/>
  <c r="W557" i="23" s="1"/>
  <c r="K557" i="23"/>
  <c r="H557" i="23"/>
  <c r="I557" i="23" s="1"/>
  <c r="P558" i="23" l="1"/>
  <c r="R558" i="23"/>
  <c r="S558" i="23" s="1"/>
  <c r="B558" i="23"/>
  <c r="D558" i="23"/>
  <c r="E558" i="23" s="1"/>
  <c r="Z558" i="23" l="1"/>
  <c r="AB559" i="23"/>
  <c r="Q559" i="23"/>
  <c r="N559" i="23"/>
  <c r="L558" i="23"/>
  <c r="M558" i="23" s="1"/>
  <c r="J558" i="23"/>
  <c r="C559" i="23"/>
  <c r="AA558" i="23" l="1"/>
  <c r="T558" i="23"/>
  <c r="F558" i="23"/>
  <c r="Y558" i="23" l="1"/>
  <c r="V558" i="23"/>
  <c r="W558" i="23" s="1"/>
  <c r="K558" i="23"/>
  <c r="H558" i="23"/>
  <c r="I558" i="23" s="1"/>
  <c r="P559" i="23" l="1"/>
  <c r="R559" i="23"/>
  <c r="S559" i="23" s="1"/>
  <c r="D559" i="23"/>
  <c r="E559" i="23" s="1"/>
  <c r="B559" i="23"/>
  <c r="Q560" i="23" l="1"/>
  <c r="Z559" i="23"/>
  <c r="AB560" i="23"/>
  <c r="C560" i="23"/>
  <c r="N560" i="23"/>
  <c r="L559" i="23"/>
  <c r="M559" i="23" s="1"/>
  <c r="J559" i="23"/>
  <c r="AA559" i="23" l="1"/>
  <c r="T559" i="23"/>
  <c r="F559" i="23"/>
  <c r="V559" i="23" l="1"/>
  <c r="W559" i="23" s="1"/>
  <c r="Y559" i="23"/>
  <c r="K559" i="23"/>
  <c r="H559" i="23"/>
  <c r="I559" i="23" s="1"/>
  <c r="P560" i="23" l="1"/>
  <c r="R560" i="23"/>
  <c r="S560" i="23" s="1"/>
  <c r="D560" i="23"/>
  <c r="E560" i="23" s="1"/>
  <c r="B560" i="23"/>
  <c r="Z560" i="23" l="1"/>
  <c r="AB561" i="23"/>
  <c r="Q561" i="23"/>
  <c r="C561" i="23"/>
  <c r="J560" i="23"/>
  <c r="N561" i="23"/>
  <c r="L560" i="23"/>
  <c r="M560" i="23" s="1"/>
  <c r="F560" i="23" l="1"/>
  <c r="K560" i="23" s="1"/>
  <c r="AA560" i="23"/>
  <c r="T560" i="23"/>
  <c r="H560" i="23"/>
  <c r="I560" i="23" s="1"/>
  <c r="Y560" i="23" l="1"/>
  <c r="V560" i="23"/>
  <c r="W560" i="23" s="1"/>
  <c r="D561" i="23"/>
  <c r="E561" i="23" s="1"/>
  <c r="B561" i="23"/>
  <c r="P561" i="23" l="1"/>
  <c r="R561" i="23"/>
  <c r="S561" i="23" s="1"/>
  <c r="N562" i="23"/>
  <c r="C562" i="23"/>
  <c r="L561" i="23"/>
  <c r="M561" i="23" s="1"/>
  <c r="J561" i="23"/>
  <c r="Q562" i="23" l="1"/>
  <c r="Z561" i="23"/>
  <c r="AB562" i="23"/>
  <c r="F561" i="23"/>
  <c r="AA561" i="23" l="1"/>
  <c r="T561" i="23"/>
  <c r="K561" i="23"/>
  <c r="H561" i="23"/>
  <c r="I561" i="23" s="1"/>
  <c r="Y561" i="23" l="1"/>
  <c r="V561" i="23"/>
  <c r="W561" i="23" s="1"/>
  <c r="B562" i="23"/>
  <c r="D562" i="23"/>
  <c r="E562" i="23" s="1"/>
  <c r="R562" i="23" l="1"/>
  <c r="S562" i="23" s="1"/>
  <c r="P562" i="23"/>
  <c r="L562" i="23"/>
  <c r="M562" i="23" s="1"/>
  <c r="J562" i="23"/>
  <c r="C563" i="23"/>
  <c r="N563" i="23"/>
  <c r="F562" i="23" l="1"/>
  <c r="K562" i="23" s="1"/>
  <c r="AB563" i="23"/>
  <c r="Z562" i="23"/>
  <c r="AA562" i="23" s="1"/>
  <c r="Q563" i="23"/>
  <c r="H562" i="23" l="1"/>
  <c r="I562" i="23" s="1"/>
  <c r="T562" i="23"/>
  <c r="Y562" i="23" s="1"/>
  <c r="V562" i="23" l="1"/>
  <c r="W562" i="23" s="1"/>
  <c r="D563" i="23"/>
  <c r="E563" i="23" s="1"/>
  <c r="B563" i="23"/>
  <c r="P563" i="23"/>
  <c r="R563" i="23"/>
  <c r="S563" i="23" s="1"/>
  <c r="N564" i="23" l="1"/>
  <c r="C564" i="23"/>
  <c r="J563" i="23"/>
  <c r="L563" i="23"/>
  <c r="M563" i="23" s="1"/>
  <c r="Q564" i="23"/>
  <c r="Z563" i="23"/>
  <c r="AB564" i="23"/>
  <c r="F563" i="23" l="1"/>
  <c r="AA563" i="23"/>
  <c r="T563" i="23"/>
  <c r="K563" i="23" l="1"/>
  <c r="H563" i="23"/>
  <c r="I563" i="23" s="1"/>
  <c r="V563" i="23"/>
  <c r="W563" i="23" s="1"/>
  <c r="Y563" i="23"/>
  <c r="B564" i="23" l="1"/>
  <c r="D564" i="23"/>
  <c r="E564" i="23" s="1"/>
  <c r="R564" i="23"/>
  <c r="S564" i="23" s="1"/>
  <c r="P564" i="23"/>
  <c r="J564" i="23" l="1"/>
  <c r="N565" i="23"/>
  <c r="C565" i="23"/>
  <c r="F564" i="23"/>
  <c r="K564" i="23" s="1"/>
  <c r="L564" i="23"/>
  <c r="M564" i="23" s="1"/>
  <c r="Z564" i="23"/>
  <c r="Q565" i="23"/>
  <c r="AB565" i="23"/>
  <c r="H564" i="23" l="1"/>
  <c r="I564" i="23" s="1"/>
  <c r="AA564" i="23"/>
  <c r="T564" i="23"/>
  <c r="D565" i="23" l="1"/>
  <c r="E565" i="23" s="1"/>
  <c r="B565" i="23"/>
  <c r="Y564" i="23"/>
  <c r="V564" i="23"/>
  <c r="W564" i="23" s="1"/>
  <c r="J565" i="23" l="1"/>
  <c r="L565" i="23"/>
  <c r="M565" i="23" s="1"/>
  <c r="N566" i="23"/>
  <c r="C566" i="23"/>
  <c r="R565" i="23"/>
  <c r="S565" i="23" s="1"/>
  <c r="P565" i="23"/>
  <c r="F565" i="23" l="1"/>
  <c r="AB566" i="23"/>
  <c r="Z565" i="23"/>
  <c r="Q566" i="23"/>
  <c r="K565" i="23" l="1"/>
  <c r="H565" i="23"/>
  <c r="I565" i="23" s="1"/>
  <c r="AA565" i="23"/>
  <c r="T565" i="23"/>
  <c r="B566" i="23" l="1"/>
  <c r="D566" i="23"/>
  <c r="E566" i="23" s="1"/>
  <c r="Y565" i="23"/>
  <c r="V565" i="23"/>
  <c r="W565" i="23" s="1"/>
  <c r="L566" i="23" l="1"/>
  <c r="M566" i="23" s="1"/>
  <c r="C567" i="23"/>
  <c r="J566" i="23"/>
  <c r="N567" i="23"/>
  <c r="F566" i="23"/>
  <c r="R566" i="23"/>
  <c r="S566" i="23" s="1"/>
  <c r="P566" i="23"/>
  <c r="K566" i="23" l="1"/>
  <c r="H566" i="23"/>
  <c r="I566" i="23" s="1"/>
  <c r="Q567" i="23"/>
  <c r="AB567" i="23"/>
  <c r="Z566" i="23"/>
  <c r="AA566" i="23" s="1"/>
  <c r="D567" i="23" l="1"/>
  <c r="E567" i="23" s="1"/>
  <c r="B567" i="23"/>
  <c r="T566" i="23"/>
  <c r="N568" i="23" l="1"/>
  <c r="C568" i="23"/>
  <c r="J567" i="23"/>
  <c r="L567" i="23"/>
  <c r="Y566" i="23"/>
  <c r="V566" i="23"/>
  <c r="W566" i="23" s="1"/>
  <c r="M567" i="23" l="1"/>
  <c r="F567" i="23"/>
  <c r="P567" i="23"/>
  <c r="R567" i="23"/>
  <c r="S567" i="23" s="1"/>
  <c r="K567" i="23" l="1"/>
  <c r="H567" i="23"/>
  <c r="I567" i="23" s="1"/>
  <c r="AB568" i="23"/>
  <c r="Z567" i="23"/>
  <c r="AA567" i="23" s="1"/>
  <c r="Q568" i="23"/>
  <c r="B568" i="23" l="1"/>
  <c r="D568" i="23"/>
  <c r="E568" i="23" s="1"/>
  <c r="T567" i="23"/>
  <c r="C569" i="23" l="1"/>
  <c r="N569" i="23"/>
  <c r="J568" i="23"/>
  <c r="L568" i="23"/>
  <c r="Y567" i="23"/>
  <c r="V567" i="23"/>
  <c r="W567" i="23" s="1"/>
  <c r="M568" i="23" l="1"/>
  <c r="F568" i="23"/>
  <c r="P568" i="23"/>
  <c r="R568" i="23"/>
  <c r="S568" i="23" s="1"/>
  <c r="K568" i="23" l="1"/>
  <c r="H568" i="23"/>
  <c r="I568" i="23" s="1"/>
  <c r="Q569" i="23"/>
  <c r="AB569" i="23"/>
  <c r="Z568" i="23"/>
  <c r="AA568" i="23" s="1"/>
  <c r="B569" i="23" l="1"/>
  <c r="D569" i="23"/>
  <c r="E569" i="23" s="1"/>
  <c r="T568" i="23"/>
  <c r="L569" i="23" l="1"/>
  <c r="N570" i="23"/>
  <c r="C570" i="23"/>
  <c r="J569" i="23"/>
  <c r="Y568" i="23"/>
  <c r="V568" i="23"/>
  <c r="W568" i="23" s="1"/>
  <c r="M569" i="23" l="1"/>
  <c r="F569" i="23"/>
  <c r="P569" i="23"/>
  <c r="R569" i="23"/>
  <c r="S569" i="23" s="1"/>
  <c r="H569" i="23" l="1"/>
  <c r="I569" i="23" s="1"/>
  <c r="K569" i="23"/>
  <c r="Q570" i="23"/>
  <c r="Z569" i="23"/>
  <c r="AA569" i="23" s="1"/>
  <c r="AB570" i="23"/>
  <c r="T569" i="23" l="1"/>
  <c r="Y569" i="23" s="1"/>
  <c r="D570" i="23"/>
  <c r="E570" i="23" s="1"/>
  <c r="B570" i="23"/>
  <c r="V569" i="23"/>
  <c r="W569" i="23" s="1"/>
  <c r="R570" i="23" s="1"/>
  <c r="S570" i="23" s="1"/>
  <c r="P570" i="23" l="1"/>
  <c r="L570" i="23"/>
  <c r="N571" i="23"/>
  <c r="C571" i="23"/>
  <c r="J570" i="23"/>
  <c r="Q571" i="23"/>
  <c r="AB571" i="23"/>
  <c r="Z570" i="23"/>
  <c r="AA570" i="23" s="1"/>
  <c r="M570" i="23" l="1"/>
  <c r="F570" i="23"/>
  <c r="T570" i="23"/>
  <c r="Y570" i="23" s="1"/>
  <c r="K570" i="23" l="1"/>
  <c r="H570" i="23"/>
  <c r="I570" i="23" s="1"/>
  <c r="V570" i="23"/>
  <c r="W570" i="23" s="1"/>
  <c r="P571" i="23" s="1"/>
  <c r="D571" i="23" l="1"/>
  <c r="E571" i="23" s="1"/>
  <c r="B571" i="23"/>
  <c r="R571" i="23"/>
  <c r="S571" i="23" s="1"/>
  <c r="Z571" i="23" s="1"/>
  <c r="Q572" i="23" l="1"/>
  <c r="N572" i="23"/>
  <c r="L571" i="23"/>
  <c r="J571" i="23"/>
  <c r="C572" i="23"/>
  <c r="AA571" i="23"/>
  <c r="T571" i="23"/>
  <c r="V571" i="23" s="1"/>
  <c r="W571" i="23" s="1"/>
  <c r="AB572" i="23"/>
  <c r="M571" i="23" l="1"/>
  <c r="F571" i="23"/>
  <c r="Y571" i="23"/>
  <c r="P572" i="23"/>
  <c r="R572" i="23"/>
  <c r="S572" i="23" s="1"/>
  <c r="K571" i="23" l="1"/>
  <c r="H571" i="23"/>
  <c r="I571" i="23" s="1"/>
  <c r="AB573" i="23"/>
  <c r="Q573" i="23"/>
  <c r="Z572" i="23"/>
  <c r="AA572" i="23" s="1"/>
  <c r="B572" i="23" l="1"/>
  <c r="D572" i="23"/>
  <c r="E572" i="23" s="1"/>
  <c r="T572" i="23"/>
  <c r="Y572" i="23" s="1"/>
  <c r="L572" i="23" l="1"/>
  <c r="C573" i="23"/>
  <c r="J572" i="23"/>
  <c r="N573" i="23"/>
  <c r="V572" i="23"/>
  <c r="W572" i="23" s="1"/>
  <c r="R573" i="23"/>
  <c r="S573" i="23" s="1"/>
  <c r="P573" i="23"/>
  <c r="M572" i="23" l="1"/>
  <c r="F572" i="23"/>
  <c r="Z573" i="23"/>
  <c r="AA573" i="23" s="1"/>
  <c r="Q574" i="23"/>
  <c r="AB574" i="23"/>
  <c r="T573" i="23"/>
  <c r="Y573" i="23" s="1"/>
  <c r="K572" i="23" l="1"/>
  <c r="H572" i="23"/>
  <c r="I572" i="23" s="1"/>
  <c r="V573" i="23"/>
  <c r="W573" i="23" s="1"/>
  <c r="B573" i="23" l="1"/>
  <c r="D573" i="23"/>
  <c r="E573" i="23" s="1"/>
  <c r="R574" i="23"/>
  <c r="S574" i="23" s="1"/>
  <c r="P574" i="23"/>
  <c r="J573" i="23" l="1"/>
  <c r="C574" i="23"/>
  <c r="N574" i="23"/>
  <c r="L573" i="23"/>
  <c r="M573" i="23" s="1"/>
  <c r="Z574" i="23"/>
  <c r="AA574" i="23" s="1"/>
  <c r="Q575" i="23"/>
  <c r="AB575" i="23"/>
  <c r="T574" i="23" l="1"/>
  <c r="Y574" i="23" s="1"/>
  <c r="F573" i="23"/>
  <c r="V574" i="23" l="1"/>
  <c r="W574" i="23" s="1"/>
  <c r="P575" i="23" s="1"/>
  <c r="K573" i="23"/>
  <c r="H573" i="23"/>
  <c r="I573" i="23" s="1"/>
  <c r="R575" i="23" l="1"/>
  <c r="S575" i="23" s="1"/>
  <c r="D574" i="23"/>
  <c r="E574" i="23" s="1"/>
  <c r="B574" i="23"/>
  <c r="AB576" i="23"/>
  <c r="Z575" i="23"/>
  <c r="AA575" i="23" s="1"/>
  <c r="Q576" i="23"/>
  <c r="C575" i="23" l="1"/>
  <c r="L574" i="23"/>
  <c r="M574" i="23" s="1"/>
  <c r="J574" i="23"/>
  <c r="N575" i="23"/>
  <c r="T575" i="23"/>
  <c r="F574" i="23" l="1"/>
  <c r="Y575" i="23"/>
  <c r="V575" i="23"/>
  <c r="W575" i="23" s="1"/>
  <c r="K574" i="23" l="1"/>
  <c r="H574" i="23"/>
  <c r="I574" i="23" s="1"/>
  <c r="R576" i="23"/>
  <c r="S576" i="23" s="1"/>
  <c r="P576" i="23"/>
  <c r="B575" i="23" l="1"/>
  <c r="D575" i="23"/>
  <c r="E575" i="23" s="1"/>
  <c r="Q577" i="23"/>
  <c r="AB577" i="23"/>
  <c r="Z576" i="23"/>
  <c r="AA576" i="23" s="1"/>
  <c r="C576" i="23" l="1"/>
  <c r="L575" i="23"/>
  <c r="M575" i="23" s="1"/>
  <c r="N576" i="23"/>
  <c r="J575" i="23"/>
  <c r="T576" i="23"/>
  <c r="F575" i="23" l="1"/>
  <c r="Y576" i="23"/>
  <c r="V576" i="23"/>
  <c r="W576" i="23" s="1"/>
  <c r="K575" i="23" l="1"/>
  <c r="H575" i="23"/>
  <c r="I575" i="23" s="1"/>
  <c r="R577" i="23"/>
  <c r="S577" i="23" s="1"/>
  <c r="P577" i="23"/>
  <c r="D576" i="23" l="1"/>
  <c r="E576" i="23" s="1"/>
  <c r="B576" i="23"/>
  <c r="Z577" i="23"/>
  <c r="AA577" i="23" s="1"/>
  <c r="AB578" i="23"/>
  <c r="Q578" i="23"/>
  <c r="T577" i="23"/>
  <c r="Y577" i="23" s="1"/>
  <c r="C577" i="23" l="1"/>
  <c r="N577" i="23"/>
  <c r="L576" i="23"/>
  <c r="M576" i="23" s="1"/>
  <c r="J576" i="23"/>
  <c r="F576" i="23"/>
  <c r="K576" i="23" s="1"/>
  <c r="V577" i="23"/>
  <c r="W577" i="23" s="1"/>
  <c r="H576" i="23" l="1"/>
  <c r="I576" i="23" s="1"/>
  <c r="P578" i="23"/>
  <c r="R578" i="23"/>
  <c r="S578" i="23" s="1"/>
  <c r="D577" i="23" l="1"/>
  <c r="E577" i="23" s="1"/>
  <c r="B577" i="23"/>
  <c r="Z578" i="23"/>
  <c r="AA578" i="23" s="1"/>
  <c r="Q579" i="23"/>
  <c r="AB579" i="23"/>
  <c r="N578" i="23" l="1"/>
  <c r="J577" i="23"/>
  <c r="C578" i="23"/>
  <c r="L577" i="23"/>
  <c r="M577" i="23" s="1"/>
  <c r="T578" i="23"/>
  <c r="Y578" i="23" s="1"/>
  <c r="F577" i="23" l="1"/>
  <c r="V578" i="23"/>
  <c r="W578" i="23" s="1"/>
  <c r="P579" i="23" s="1"/>
  <c r="R579" i="23"/>
  <c r="S579" i="23" s="1"/>
  <c r="K577" i="23" l="1"/>
  <c r="H577" i="23"/>
  <c r="I577" i="23" s="1"/>
  <c r="Q580" i="23"/>
  <c r="AB580" i="23"/>
  <c r="Z579" i="23"/>
  <c r="AA579" i="23" s="1"/>
  <c r="T579" i="23"/>
  <c r="Y579" i="23" s="1"/>
  <c r="B578" i="23" l="1"/>
  <c r="D578" i="23"/>
  <c r="E578" i="23" s="1"/>
  <c r="V579" i="23"/>
  <c r="W579" i="23" s="1"/>
  <c r="P580" i="23" s="1"/>
  <c r="R580" i="23" l="1"/>
  <c r="S580" i="23" s="1"/>
  <c r="N579" i="23"/>
  <c r="L578" i="23"/>
  <c r="M578" i="23" s="1"/>
  <c r="J578" i="23"/>
  <c r="C579" i="23"/>
  <c r="AB581" i="23"/>
  <c r="Q581" i="23"/>
  <c r="Z580" i="23"/>
  <c r="F578" i="23" l="1"/>
  <c r="AA580" i="23"/>
  <c r="T580" i="23"/>
  <c r="K578" i="23" l="1"/>
  <c r="H578" i="23"/>
  <c r="I578" i="23" s="1"/>
  <c r="V580" i="23"/>
  <c r="W580" i="23" s="1"/>
  <c r="Y580" i="23"/>
  <c r="B579" i="23" l="1"/>
  <c r="D579" i="23"/>
  <c r="E579" i="23" s="1"/>
  <c r="P581" i="23"/>
  <c r="R581" i="23"/>
  <c r="S581" i="23" s="1"/>
  <c r="J579" i="23" l="1"/>
  <c r="L579" i="23"/>
  <c r="M579" i="23" s="1"/>
  <c r="C580" i="23"/>
  <c r="N580" i="23"/>
  <c r="Z581" i="23"/>
  <c r="AB582" i="23"/>
  <c r="Q582" i="23"/>
  <c r="F579" i="23" l="1"/>
  <c r="AA581" i="23"/>
  <c r="T581" i="23"/>
  <c r="K579" i="23" l="1"/>
  <c r="H579" i="23"/>
  <c r="I579" i="23" s="1"/>
  <c r="V581" i="23"/>
  <c r="W581" i="23" s="1"/>
  <c r="Y581" i="23"/>
  <c r="B580" i="23" l="1"/>
  <c r="D580" i="23"/>
  <c r="E580" i="23" s="1"/>
  <c r="R582" i="23"/>
  <c r="S582" i="23" s="1"/>
  <c r="P582" i="23"/>
  <c r="N581" i="23" l="1"/>
  <c r="L580" i="23"/>
  <c r="M580" i="23" s="1"/>
  <c r="C581" i="23"/>
  <c r="J580" i="23"/>
  <c r="Z582" i="23"/>
  <c r="AB583" i="23"/>
  <c r="Q583" i="23"/>
  <c r="F580" i="23" l="1"/>
  <c r="AA582" i="23"/>
  <c r="T582" i="23"/>
  <c r="K580" i="23" l="1"/>
  <c r="H580" i="23"/>
  <c r="I580" i="23" s="1"/>
  <c r="V582" i="23"/>
  <c r="W582" i="23" s="1"/>
  <c r="Y582" i="23"/>
  <c r="D581" i="23" l="1"/>
  <c r="E581" i="23" s="1"/>
  <c r="B581" i="23"/>
  <c r="R583" i="23"/>
  <c r="S583" i="23" s="1"/>
  <c r="P583" i="23"/>
  <c r="L581" i="23" l="1"/>
  <c r="M581" i="23" s="1"/>
  <c r="N582" i="23"/>
  <c r="J581" i="23"/>
  <c r="C582" i="23"/>
  <c r="AB584" i="23"/>
  <c r="Q584" i="23"/>
  <c r="Z583" i="23"/>
  <c r="F581" i="23" l="1"/>
  <c r="AA583" i="23"/>
  <c r="T583" i="23"/>
  <c r="K581" i="23" l="1"/>
  <c r="H581" i="23"/>
  <c r="I581" i="23" s="1"/>
  <c r="Y583" i="23"/>
  <c r="V583" i="23"/>
  <c r="W583" i="23" s="1"/>
  <c r="D582" i="23" l="1"/>
  <c r="E582" i="23" s="1"/>
  <c r="B582" i="23"/>
  <c r="P584" i="23"/>
  <c r="R584" i="23"/>
  <c r="S584" i="23" s="1"/>
  <c r="C583" i="23" l="1"/>
  <c r="L582" i="23"/>
  <c r="M582" i="23" s="1"/>
  <c r="N583" i="23"/>
  <c r="J582" i="23"/>
  <c r="AB585" i="23"/>
  <c r="Q585" i="23"/>
  <c r="Z584" i="23"/>
  <c r="F582" i="23" l="1"/>
  <c r="AA584" i="23"/>
  <c r="T584" i="23"/>
  <c r="K582" i="23" l="1"/>
  <c r="H582" i="23"/>
  <c r="I582" i="23" s="1"/>
  <c r="V584" i="23"/>
  <c r="W584" i="23" s="1"/>
  <c r="Y584" i="23"/>
  <c r="B583" i="23" l="1"/>
  <c r="D583" i="23"/>
  <c r="E583" i="23" s="1"/>
  <c r="R585" i="23"/>
  <c r="S585" i="23" s="1"/>
  <c r="P585" i="23"/>
  <c r="L583" i="23" l="1"/>
  <c r="M583" i="23" s="1"/>
  <c r="J583" i="23"/>
  <c r="N584" i="23"/>
  <c r="C584" i="23"/>
  <c r="F583" i="23"/>
  <c r="K583" i="23" s="1"/>
  <c r="Q586" i="23"/>
  <c r="AB586" i="23"/>
  <c r="Z585" i="23"/>
  <c r="H583" i="23" l="1"/>
  <c r="I583" i="23" s="1"/>
  <c r="AA585" i="23"/>
  <c r="T585" i="23"/>
  <c r="D584" i="23" l="1"/>
  <c r="E584" i="23" s="1"/>
  <c r="B584" i="23"/>
  <c r="V585" i="23"/>
  <c r="W585" i="23" s="1"/>
  <c r="Y585" i="23"/>
  <c r="L584" i="23" l="1"/>
  <c r="M584" i="23" s="1"/>
  <c r="N585" i="23"/>
  <c r="C585" i="23"/>
  <c r="J584" i="23"/>
  <c r="F584" i="23"/>
  <c r="K584" i="23" s="1"/>
  <c r="R586" i="23"/>
  <c r="S586" i="23" s="1"/>
  <c r="P586" i="23"/>
  <c r="H584" i="23" l="1"/>
  <c r="I584" i="23" s="1"/>
  <c r="AB587" i="23"/>
  <c r="Z586" i="23"/>
  <c r="Q587" i="23"/>
  <c r="B585" i="23" l="1"/>
  <c r="D585" i="23"/>
  <c r="E585" i="23" s="1"/>
  <c r="AA586" i="23"/>
  <c r="T586" i="23"/>
  <c r="C586" i="23" l="1"/>
  <c r="J585" i="23"/>
  <c r="L585" i="23"/>
  <c r="M585" i="23" s="1"/>
  <c r="N586" i="23"/>
  <c r="Y586" i="23"/>
  <c r="V586" i="23"/>
  <c r="W586" i="23" s="1"/>
  <c r="F585" i="23" l="1"/>
  <c r="P587" i="23"/>
  <c r="R587" i="23"/>
  <c r="S587" i="23" s="1"/>
  <c r="K585" i="23" l="1"/>
  <c r="H585" i="23"/>
  <c r="I585" i="23" s="1"/>
  <c r="Z587" i="23"/>
  <c r="AB588" i="23"/>
  <c r="Q588" i="23"/>
  <c r="D586" i="23" l="1"/>
  <c r="E586" i="23" s="1"/>
  <c r="B586" i="23"/>
  <c r="AA587" i="23"/>
  <c r="T587" i="23"/>
  <c r="N587" i="23" l="1"/>
  <c r="L586" i="23"/>
  <c r="M586" i="23" s="1"/>
  <c r="J586" i="23"/>
  <c r="C587" i="23"/>
  <c r="Y587" i="23"/>
  <c r="V587" i="23"/>
  <c r="W587" i="23" s="1"/>
  <c r="F586" i="23" l="1"/>
  <c r="P588" i="23"/>
  <c r="R588" i="23"/>
  <c r="S588" i="23" s="1"/>
  <c r="K586" i="23" l="1"/>
  <c r="H586" i="23"/>
  <c r="I586" i="23" s="1"/>
  <c r="Q589" i="23"/>
  <c r="Z588" i="23"/>
  <c r="AA588" i="23" s="1"/>
  <c r="AB589" i="23"/>
  <c r="B587" i="23" l="1"/>
  <c r="D587" i="23"/>
  <c r="E587" i="23" s="1"/>
  <c r="T588" i="23"/>
  <c r="V588" i="23" s="1"/>
  <c r="W588" i="23" s="1"/>
  <c r="Y588" i="23" l="1"/>
  <c r="N588" i="23"/>
  <c r="J587" i="23"/>
  <c r="L587" i="23"/>
  <c r="M587" i="23" s="1"/>
  <c r="C588" i="23"/>
  <c r="R589" i="23"/>
  <c r="S589" i="23" s="1"/>
  <c r="P589" i="23"/>
  <c r="F587" i="23" l="1"/>
  <c r="Z589" i="23"/>
  <c r="AB590" i="23"/>
  <c r="Q590" i="23"/>
  <c r="K587" i="23" l="1"/>
  <c r="H587" i="23"/>
  <c r="I587" i="23" s="1"/>
  <c r="AA589" i="23"/>
  <c r="T589" i="23"/>
  <c r="D588" i="23" l="1"/>
  <c r="E588" i="23" s="1"/>
  <c r="B588" i="23"/>
  <c r="V589" i="23"/>
  <c r="W589" i="23" s="1"/>
  <c r="Y589" i="23"/>
  <c r="J588" i="23" l="1"/>
  <c r="N589" i="23"/>
  <c r="L588" i="23"/>
  <c r="M588" i="23" s="1"/>
  <c r="C589" i="23"/>
  <c r="R590" i="23"/>
  <c r="S590" i="23" s="1"/>
  <c r="P590" i="23"/>
  <c r="F588" i="23" l="1"/>
  <c r="Q591" i="23"/>
  <c r="Z590" i="23"/>
  <c r="AB591" i="23"/>
  <c r="K588" i="23" l="1"/>
  <c r="H588" i="23"/>
  <c r="I588" i="23" s="1"/>
  <c r="AA590" i="23"/>
  <c r="T590" i="23"/>
  <c r="B589" i="23" l="1"/>
  <c r="D589" i="23"/>
  <c r="E589" i="23" s="1"/>
  <c r="Y590" i="23"/>
  <c r="V590" i="23"/>
  <c r="W590" i="23" s="1"/>
  <c r="J589" i="23" l="1"/>
  <c r="N590" i="23"/>
  <c r="C590" i="23"/>
  <c r="L589" i="23"/>
  <c r="M589" i="23" s="1"/>
  <c r="P591" i="23"/>
  <c r="R591" i="23"/>
  <c r="S591" i="23" s="1"/>
  <c r="F589" i="23" l="1"/>
  <c r="Q592" i="23"/>
  <c r="Z591" i="23"/>
  <c r="AB592" i="23"/>
  <c r="K589" i="23" l="1"/>
  <c r="H589" i="23"/>
  <c r="I589" i="23" s="1"/>
  <c r="AA591" i="23"/>
  <c r="T591" i="23"/>
  <c r="B590" i="23" l="1"/>
  <c r="D590" i="23"/>
  <c r="E590" i="23" s="1"/>
  <c r="Y591" i="23"/>
  <c r="V591" i="23"/>
  <c r="W591" i="23" s="1"/>
  <c r="C591" i="23" l="1"/>
  <c r="N591" i="23"/>
  <c r="J590" i="23"/>
  <c r="L590" i="23"/>
  <c r="M590" i="23" s="1"/>
  <c r="P592" i="23"/>
  <c r="R592" i="23"/>
  <c r="S592" i="23" s="1"/>
  <c r="F590" i="23" l="1"/>
  <c r="Z592" i="23"/>
  <c r="AA592" i="23" s="1"/>
  <c r="AB593" i="23"/>
  <c r="Q593" i="23"/>
  <c r="T592" i="23"/>
  <c r="K590" i="23" l="1"/>
  <c r="H590" i="23"/>
  <c r="I590" i="23" s="1"/>
  <c r="Y592" i="23"/>
  <c r="V592" i="23"/>
  <c r="W592" i="23" s="1"/>
  <c r="B591" i="23" l="1"/>
  <c r="D591" i="23"/>
  <c r="E591" i="23" s="1"/>
  <c r="P593" i="23"/>
  <c r="R593" i="23"/>
  <c r="S593" i="23" s="1"/>
  <c r="C592" i="23" l="1"/>
  <c r="J591" i="23"/>
  <c r="N592" i="23"/>
  <c r="L591" i="23"/>
  <c r="M591" i="23" s="1"/>
  <c r="AB594" i="23"/>
  <c r="Q594" i="23"/>
  <c r="Z593" i="23"/>
  <c r="F591" i="23" l="1"/>
  <c r="AA593" i="23"/>
  <c r="T593" i="23"/>
  <c r="K591" i="23" l="1"/>
  <c r="H591" i="23"/>
  <c r="I591" i="23" s="1"/>
  <c r="Y593" i="23"/>
  <c r="V593" i="23"/>
  <c r="W593" i="23" s="1"/>
  <c r="D592" i="23" l="1"/>
  <c r="E592" i="23" s="1"/>
  <c r="B592" i="23"/>
  <c r="R594" i="23"/>
  <c r="S594" i="23" s="1"/>
  <c r="P594" i="23"/>
  <c r="N593" i="23" l="1"/>
  <c r="C593" i="23"/>
  <c r="J592" i="23"/>
  <c r="L592" i="23"/>
  <c r="M592" i="23" s="1"/>
  <c r="F592" i="23"/>
  <c r="K592" i="23" s="1"/>
  <c r="AB595" i="23"/>
  <c r="Q595" i="23"/>
  <c r="Z594" i="23"/>
  <c r="AA594" i="23" s="1"/>
  <c r="H592" i="23" l="1"/>
  <c r="I592" i="23" s="1"/>
  <c r="T594" i="23"/>
  <c r="B593" i="23" l="1"/>
  <c r="D593" i="23"/>
  <c r="E593" i="23" s="1"/>
  <c r="Y594" i="23"/>
  <c r="V594" i="23"/>
  <c r="W594" i="23" s="1"/>
  <c r="N594" i="23" l="1"/>
  <c r="C594" i="23"/>
  <c r="L593" i="23"/>
  <c r="M593" i="23" s="1"/>
  <c r="J593" i="23"/>
  <c r="R595" i="23"/>
  <c r="S595" i="23" s="1"/>
  <c r="P595" i="23"/>
  <c r="F593" i="23" l="1"/>
  <c r="Q596" i="23"/>
  <c r="AB596" i="23"/>
  <c r="Z595" i="23"/>
  <c r="AA595" i="23" s="1"/>
  <c r="K593" i="23" l="1"/>
  <c r="H593" i="23"/>
  <c r="I593" i="23" s="1"/>
  <c r="T595" i="23"/>
  <c r="D594" i="23" l="1"/>
  <c r="E594" i="23" s="1"/>
  <c r="B594" i="23"/>
  <c r="Y595" i="23"/>
  <c r="V595" i="23"/>
  <c r="W595" i="23" s="1"/>
  <c r="N595" i="23" l="1"/>
  <c r="C595" i="23"/>
  <c r="J594" i="23"/>
  <c r="L594" i="23"/>
  <c r="M594" i="23" s="1"/>
  <c r="F594" i="23"/>
  <c r="K594" i="23" s="1"/>
  <c r="P596" i="23"/>
  <c r="R596" i="23"/>
  <c r="S596" i="23" s="1"/>
  <c r="H594" i="23" l="1"/>
  <c r="I594" i="23" s="1"/>
  <c r="Z596" i="23"/>
  <c r="AA596" i="23" s="1"/>
  <c r="T596" i="23"/>
  <c r="Y596" i="23" s="1"/>
  <c r="Q597" i="23"/>
  <c r="AB597" i="23"/>
  <c r="D595" i="23" l="1"/>
  <c r="E595" i="23" s="1"/>
  <c r="B595" i="23"/>
  <c r="V596" i="23"/>
  <c r="W596" i="23" s="1"/>
  <c r="R597" i="23" s="1"/>
  <c r="S597" i="23" s="1"/>
  <c r="P597" i="23" l="1"/>
  <c r="L595" i="23"/>
  <c r="M595" i="23" s="1"/>
  <c r="C596" i="23"/>
  <c r="J595" i="23"/>
  <c r="N596" i="23"/>
  <c r="Z597" i="23"/>
  <c r="AA597" i="23" s="1"/>
  <c r="Q598" i="23"/>
  <c r="AB598" i="23"/>
  <c r="T597" i="23" l="1"/>
  <c r="F595" i="23"/>
  <c r="Y597" i="23"/>
  <c r="V597" i="23"/>
  <c r="W597" i="23" s="1"/>
  <c r="K595" i="23" l="1"/>
  <c r="H595" i="23"/>
  <c r="I595" i="23" s="1"/>
  <c r="R598" i="23"/>
  <c r="S598" i="23" s="1"/>
  <c r="P598" i="23"/>
  <c r="D596" i="23" l="1"/>
  <c r="E596" i="23" s="1"/>
  <c r="B596" i="23"/>
  <c r="Q599" i="23"/>
  <c r="Z598" i="23"/>
  <c r="AA598" i="23" s="1"/>
  <c r="AB599" i="23"/>
  <c r="T598" i="23" l="1"/>
  <c r="J596" i="23"/>
  <c r="N597" i="23"/>
  <c r="L596" i="23"/>
  <c r="M596" i="23" s="1"/>
  <c r="C597" i="23"/>
  <c r="F596" i="23"/>
  <c r="K596" i="23" s="1"/>
  <c r="V598" i="23"/>
  <c r="W598" i="23" s="1"/>
  <c r="Y598" i="23"/>
  <c r="H596" i="23" l="1"/>
  <c r="I596" i="23" s="1"/>
  <c r="P599" i="23"/>
  <c r="R599" i="23"/>
  <c r="S599" i="23" s="1"/>
  <c r="B597" i="23" l="1"/>
  <c r="D597" i="23"/>
  <c r="E597" i="23" s="1"/>
  <c r="AB600" i="23"/>
  <c r="Z599" i="23"/>
  <c r="Q600" i="23"/>
  <c r="C598" i="23" l="1"/>
  <c r="N598" i="23"/>
  <c r="L597" i="23"/>
  <c r="M597" i="23" s="1"/>
  <c r="J597" i="23"/>
  <c r="AA599" i="23"/>
  <c r="T599" i="23"/>
  <c r="F597" i="23" l="1"/>
  <c r="Y599" i="23"/>
  <c r="V599" i="23"/>
  <c r="W599" i="23" s="1"/>
  <c r="K597" i="23" l="1"/>
  <c r="H597" i="23"/>
  <c r="I597" i="23" s="1"/>
  <c r="P600" i="23"/>
  <c r="R600" i="23"/>
  <c r="S600" i="23" s="1"/>
  <c r="B598" i="23" l="1"/>
  <c r="D598" i="23"/>
  <c r="E598" i="23" s="1"/>
  <c r="Q601" i="23"/>
  <c r="AB601" i="23"/>
  <c r="Z600" i="23"/>
  <c r="N599" i="23" l="1"/>
  <c r="J598" i="23"/>
  <c r="L598" i="23"/>
  <c r="M598" i="23" s="1"/>
  <c r="F598" i="23"/>
  <c r="K598" i="23" s="1"/>
  <c r="C599" i="23"/>
  <c r="AA600" i="23"/>
  <c r="T600" i="23"/>
  <c r="H598" i="23" l="1"/>
  <c r="I598" i="23" s="1"/>
  <c r="Y600" i="23"/>
  <c r="V600" i="23"/>
  <c r="W600" i="23" s="1"/>
  <c r="B599" i="23" l="1"/>
  <c r="D599" i="23"/>
  <c r="E599" i="23" s="1"/>
  <c r="R601" i="23"/>
  <c r="S601" i="23" s="1"/>
  <c r="P601" i="23"/>
  <c r="L599" i="23" l="1"/>
  <c r="M599" i="23" s="1"/>
  <c r="J599" i="23"/>
  <c r="N600" i="23"/>
  <c r="C600" i="23"/>
  <c r="F599" i="23"/>
  <c r="K599" i="23" s="1"/>
  <c r="H599" i="23"/>
  <c r="I599" i="23" s="1"/>
  <c r="AB602" i="23"/>
  <c r="Q602" i="23"/>
  <c r="Z601" i="23"/>
  <c r="D600" i="23" l="1"/>
  <c r="E600" i="23" s="1"/>
  <c r="B600" i="23"/>
  <c r="AA601" i="23"/>
  <c r="T601" i="23"/>
  <c r="N601" i="23" l="1"/>
  <c r="J600" i="23"/>
  <c r="C601" i="23"/>
  <c r="L600" i="23"/>
  <c r="M600" i="23" s="1"/>
  <c r="Y601" i="23"/>
  <c r="V601" i="23"/>
  <c r="W601" i="23" s="1"/>
  <c r="F600" i="23" l="1"/>
  <c r="P602" i="23"/>
  <c r="R602" i="23"/>
  <c r="S602" i="23" s="1"/>
  <c r="K600" i="23" l="1"/>
  <c r="H600" i="23"/>
  <c r="I600" i="23" s="1"/>
  <c r="Q603" i="23"/>
  <c r="AB603" i="23"/>
  <c r="Z602" i="23"/>
  <c r="B601" i="23" l="1"/>
  <c r="D601" i="23"/>
  <c r="E601" i="23" s="1"/>
  <c r="AA602" i="23"/>
  <c r="T602" i="23"/>
  <c r="J601" i="23" l="1"/>
  <c r="N602" i="23"/>
  <c r="L601" i="23"/>
  <c r="M601" i="23" s="1"/>
  <c r="C602" i="23"/>
  <c r="V602" i="23"/>
  <c r="W602" i="23" s="1"/>
  <c r="Y602" i="23"/>
  <c r="F601" i="23" l="1"/>
  <c r="P603" i="23"/>
  <c r="R603" i="23"/>
  <c r="S603" i="23" s="1"/>
  <c r="K601" i="23" l="1"/>
  <c r="H601" i="23"/>
  <c r="I601" i="23" s="1"/>
  <c r="Z603" i="23"/>
  <c r="AB604" i="23"/>
  <c r="Q604" i="23"/>
  <c r="B602" i="23" l="1"/>
  <c r="D602" i="23"/>
  <c r="E602" i="23" s="1"/>
  <c r="T603" i="23"/>
  <c r="AA603" i="23"/>
  <c r="C603" i="23" l="1"/>
  <c r="J602" i="23"/>
  <c r="L602" i="23"/>
  <c r="M602" i="23" s="1"/>
  <c r="N603" i="23"/>
  <c r="V603" i="23"/>
  <c r="W603" i="23" s="1"/>
  <c r="Y603" i="23"/>
  <c r="F602" i="23" l="1"/>
  <c r="P604" i="23"/>
  <c r="R604" i="23"/>
  <c r="S604" i="23" s="1"/>
  <c r="K602" i="23" l="1"/>
  <c r="H602" i="23"/>
  <c r="I602" i="23" s="1"/>
  <c r="Z604" i="23"/>
  <c r="Q605" i="23"/>
  <c r="AB605" i="23"/>
  <c r="B603" i="23" l="1"/>
  <c r="D603" i="23"/>
  <c r="E603" i="23" s="1"/>
  <c r="AA604" i="23"/>
  <c r="T604" i="23"/>
  <c r="L603" i="23" l="1"/>
  <c r="M603" i="23" s="1"/>
  <c r="N604" i="23"/>
  <c r="J603" i="23"/>
  <c r="C604" i="23"/>
  <c r="F603" i="23"/>
  <c r="K603" i="23" s="1"/>
  <c r="V604" i="23"/>
  <c r="W604" i="23" s="1"/>
  <c r="Y604" i="23"/>
  <c r="H603" i="23" l="1"/>
  <c r="I603" i="23" s="1"/>
  <c r="P605" i="23"/>
  <c r="R605" i="23"/>
  <c r="S605" i="23" s="1"/>
  <c r="D604" i="23" l="1"/>
  <c r="E604" i="23" s="1"/>
  <c r="B604" i="23"/>
  <c r="Q606" i="23"/>
  <c r="AB606" i="23"/>
  <c r="Z605" i="23"/>
  <c r="J604" i="23" l="1"/>
  <c r="C605" i="23"/>
  <c r="N605" i="23"/>
  <c r="L604" i="23"/>
  <c r="M604" i="23" s="1"/>
  <c r="F604" i="23"/>
  <c r="K604" i="23" s="1"/>
  <c r="AA605" i="23"/>
  <c r="T605" i="23"/>
  <c r="H604" i="23" l="1"/>
  <c r="I604" i="23" s="1"/>
  <c r="V605" i="23"/>
  <c r="W605" i="23" s="1"/>
  <c r="Y605" i="23"/>
  <c r="D605" i="23" l="1"/>
  <c r="E605" i="23" s="1"/>
  <c r="B605" i="23"/>
  <c r="P606" i="23"/>
  <c r="R606" i="23"/>
  <c r="S606" i="23" s="1"/>
  <c r="L605" i="23" l="1"/>
  <c r="M605" i="23" s="1"/>
  <c r="J605" i="23"/>
  <c r="C606" i="23"/>
  <c r="N606" i="23"/>
  <c r="Q607" i="23"/>
  <c r="AB607" i="23"/>
  <c r="Z606" i="23"/>
  <c r="F605" i="23" l="1"/>
  <c r="AA606" i="23"/>
  <c r="T606" i="23"/>
  <c r="K605" i="23" l="1"/>
  <c r="H605" i="23"/>
  <c r="I605" i="23" s="1"/>
  <c r="V606" i="23"/>
  <c r="W606" i="23" s="1"/>
  <c r="Y606" i="23"/>
  <c r="B606" i="23" l="1"/>
  <c r="D606" i="23"/>
  <c r="E606" i="23" s="1"/>
  <c r="R607" i="23"/>
  <c r="S607" i="23" s="1"/>
  <c r="P607" i="23"/>
  <c r="L606" i="23" l="1"/>
  <c r="M606" i="23" s="1"/>
  <c r="N607" i="23"/>
  <c r="C607" i="23"/>
  <c r="J606" i="23"/>
  <c r="F606" i="23"/>
  <c r="K606" i="23" s="1"/>
  <c r="AB608" i="23"/>
  <c r="Z607" i="23"/>
  <c r="Q608" i="23"/>
  <c r="H606" i="23" l="1"/>
  <c r="I606" i="23" s="1"/>
  <c r="AA607" i="23"/>
  <c r="T607" i="23"/>
  <c r="B607" i="23" l="1"/>
  <c r="D607" i="23"/>
  <c r="E607" i="23" s="1"/>
  <c r="Y607" i="23"/>
  <c r="V607" i="23"/>
  <c r="W607" i="23" s="1"/>
  <c r="N608" i="23" l="1"/>
  <c r="J607" i="23"/>
  <c r="C608" i="23"/>
  <c r="L607" i="23"/>
  <c r="M607" i="23" s="1"/>
  <c r="P608" i="23"/>
  <c r="R608" i="23"/>
  <c r="S608" i="23" s="1"/>
  <c r="F607" i="23" l="1"/>
  <c r="Z608" i="23"/>
  <c r="AA608" i="23" s="1"/>
  <c r="AB609" i="23"/>
  <c r="Q609" i="23"/>
  <c r="T608" i="23"/>
  <c r="K607" i="23" l="1"/>
  <c r="H607" i="23"/>
  <c r="I607" i="23" s="1"/>
  <c r="Y608" i="23"/>
  <c r="V608" i="23"/>
  <c r="W608" i="23" s="1"/>
  <c r="B608" i="23" l="1"/>
  <c r="D608" i="23"/>
  <c r="E608" i="23" s="1"/>
  <c r="P609" i="23"/>
  <c r="R609" i="23"/>
  <c r="S609" i="23" s="1"/>
  <c r="C609" i="23" l="1"/>
  <c r="L608" i="23"/>
  <c r="M608" i="23" s="1"/>
  <c r="N609" i="23"/>
  <c r="J608" i="23"/>
  <c r="Q610" i="23"/>
  <c r="Z609" i="23"/>
  <c r="AB610" i="23"/>
  <c r="F608" i="23" l="1"/>
  <c r="AA609" i="23"/>
  <c r="T609" i="23"/>
  <c r="K608" i="23" l="1"/>
  <c r="H608" i="23"/>
  <c r="I608" i="23" s="1"/>
  <c r="V609" i="23"/>
  <c r="W609" i="23" s="1"/>
  <c r="Y609" i="23"/>
  <c r="B609" i="23" l="1"/>
  <c r="D609" i="23"/>
  <c r="E609" i="23" s="1"/>
  <c r="R610" i="23"/>
  <c r="S610" i="23" s="1"/>
  <c r="P610" i="23"/>
  <c r="L609" i="23" l="1"/>
  <c r="M609" i="23" s="1"/>
  <c r="N610" i="23"/>
  <c r="J609" i="23"/>
  <c r="C610" i="23"/>
  <c r="Q611" i="23"/>
  <c r="AB611" i="23"/>
  <c r="Z610" i="23"/>
  <c r="AA610" i="23" s="1"/>
  <c r="F609" i="23" l="1"/>
  <c r="T610" i="23"/>
  <c r="K609" i="23" l="1"/>
  <c r="H609" i="23"/>
  <c r="I609" i="23" s="1"/>
  <c r="Y610" i="23"/>
  <c r="V610" i="23"/>
  <c r="W610" i="23" s="1"/>
  <c r="B610" i="23" l="1"/>
  <c r="D610" i="23"/>
  <c r="E610" i="23" s="1"/>
  <c r="P611" i="23"/>
  <c r="R611" i="23"/>
  <c r="S611" i="23" s="1"/>
  <c r="L610" i="23" l="1"/>
  <c r="M610" i="23" s="1"/>
  <c r="J610" i="23"/>
  <c r="C611" i="23"/>
  <c r="N611" i="23"/>
  <c r="F610" i="23"/>
  <c r="K610" i="23" s="1"/>
  <c r="Z611" i="23"/>
  <c r="AA611" i="23" s="1"/>
  <c r="AB612" i="23"/>
  <c r="Q612" i="23"/>
  <c r="T611" i="23" l="1"/>
  <c r="H610" i="23"/>
  <c r="I610" i="23" s="1"/>
  <c r="Y611" i="23"/>
  <c r="V611" i="23"/>
  <c r="W611" i="23" s="1"/>
  <c r="D611" i="23" l="1"/>
  <c r="E611" i="23" s="1"/>
  <c r="B611" i="23"/>
  <c r="R612" i="23"/>
  <c r="S612" i="23" s="1"/>
  <c r="P612" i="23"/>
  <c r="J611" i="23" l="1"/>
  <c r="N612" i="23"/>
  <c r="F611" i="23"/>
  <c r="K611" i="23" s="1"/>
  <c r="L611" i="23"/>
  <c r="M611" i="23" s="1"/>
  <c r="C612" i="23"/>
  <c r="Z612" i="23"/>
  <c r="AA612" i="23" s="1"/>
  <c r="Q613" i="23"/>
  <c r="AB613" i="23"/>
  <c r="T612" i="23" l="1"/>
  <c r="H611" i="23"/>
  <c r="I611" i="23" s="1"/>
  <c r="Y612" i="23"/>
  <c r="V612" i="23"/>
  <c r="W612" i="23" s="1"/>
  <c r="D612" i="23" l="1"/>
  <c r="E612" i="23" s="1"/>
  <c r="B612" i="23"/>
  <c r="P613" i="23"/>
  <c r="R613" i="23"/>
  <c r="S613" i="23" s="1"/>
  <c r="J612" i="23" l="1"/>
  <c r="N613" i="23"/>
  <c r="C613" i="23"/>
  <c r="L612" i="23"/>
  <c r="M612" i="23" s="1"/>
  <c r="F612" i="23"/>
  <c r="K612" i="23" s="1"/>
  <c r="AB614" i="23"/>
  <c r="Q614" i="23"/>
  <c r="Z613" i="23"/>
  <c r="H612" i="23" l="1"/>
  <c r="I612" i="23" s="1"/>
  <c r="AA613" i="23"/>
  <c r="T613" i="23"/>
  <c r="D613" i="23" l="1"/>
  <c r="E613" i="23" s="1"/>
  <c r="B613" i="23"/>
  <c r="V613" i="23"/>
  <c r="W613" i="23" s="1"/>
  <c r="Y613" i="23"/>
  <c r="L613" i="23" l="1"/>
  <c r="M613" i="23" s="1"/>
  <c r="F613" i="23"/>
  <c r="K613" i="23" s="1"/>
  <c r="N614" i="23"/>
  <c r="C614" i="23"/>
  <c r="J613" i="23"/>
  <c r="P614" i="23"/>
  <c r="R614" i="23"/>
  <c r="S614" i="23" s="1"/>
  <c r="H613" i="23" l="1"/>
  <c r="I613" i="23" s="1"/>
  <c r="Q615" i="23"/>
  <c r="AB615" i="23"/>
  <c r="Z614" i="23"/>
  <c r="D614" i="23" l="1"/>
  <c r="E614" i="23" s="1"/>
  <c r="B614" i="23"/>
  <c r="AA614" i="23"/>
  <c r="T614" i="23"/>
  <c r="L614" i="23" l="1"/>
  <c r="M614" i="23" s="1"/>
  <c r="N615" i="23"/>
  <c r="C615" i="23"/>
  <c r="J614" i="23"/>
  <c r="Y614" i="23"/>
  <c r="V614" i="23"/>
  <c r="W614" i="23" s="1"/>
  <c r="F614" i="23" l="1"/>
  <c r="P615" i="23"/>
  <c r="R615" i="23"/>
  <c r="S615" i="23" s="1"/>
  <c r="K614" i="23" l="1"/>
  <c r="H614" i="23"/>
  <c r="I614" i="23" s="1"/>
  <c r="AB616" i="23"/>
  <c r="Q616" i="23"/>
  <c r="Z615" i="23"/>
  <c r="AA615" i="23" s="1"/>
  <c r="B615" i="23" l="1"/>
  <c r="D615" i="23"/>
  <c r="E615" i="23" s="1"/>
  <c r="T615" i="23"/>
  <c r="V615" i="23" s="1"/>
  <c r="W615" i="23" s="1"/>
  <c r="Y615" i="23" l="1"/>
  <c r="L615" i="23"/>
  <c r="M615" i="23" s="1"/>
  <c r="C616" i="23"/>
  <c r="J615" i="23"/>
  <c r="N616" i="23"/>
  <c r="F615" i="23"/>
  <c r="K615" i="23" s="1"/>
  <c r="H615" i="23"/>
  <c r="I615" i="23" s="1"/>
  <c r="P616" i="23"/>
  <c r="R616" i="23"/>
  <c r="S616" i="23" s="1"/>
  <c r="D616" i="23" l="1"/>
  <c r="E616" i="23" s="1"/>
  <c r="B616" i="23"/>
  <c r="Z616" i="23"/>
  <c r="AB617" i="23"/>
  <c r="Q617" i="23"/>
  <c r="C617" i="23" l="1"/>
  <c r="L616" i="23"/>
  <c r="M616" i="23" s="1"/>
  <c r="N617" i="23"/>
  <c r="J616" i="23"/>
  <c r="AA616" i="23"/>
  <c r="T616" i="23"/>
  <c r="F616" i="23" l="1"/>
  <c r="Y616" i="23"/>
  <c r="V616" i="23"/>
  <c r="W616" i="23" s="1"/>
  <c r="K616" i="23" l="1"/>
  <c r="H616" i="23"/>
  <c r="I616" i="23" s="1"/>
  <c r="R617" i="23"/>
  <c r="S617" i="23" s="1"/>
  <c r="P617" i="23"/>
  <c r="B617" i="23" l="1"/>
  <c r="D617" i="23"/>
  <c r="E617" i="23" s="1"/>
  <c r="Q618" i="23"/>
  <c r="Z617" i="23"/>
  <c r="AB618" i="23"/>
  <c r="J617" i="23" l="1"/>
  <c r="N618" i="23"/>
  <c r="L617" i="23"/>
  <c r="M617" i="23" s="1"/>
  <c r="C618" i="23"/>
  <c r="T617" i="23"/>
  <c r="AA617" i="23"/>
  <c r="F617" i="23" l="1"/>
  <c r="Y617" i="23"/>
  <c r="V617" i="23"/>
  <c r="W617" i="23" s="1"/>
  <c r="K617" i="23" l="1"/>
  <c r="H617" i="23"/>
  <c r="I617" i="23" s="1"/>
  <c r="R618" i="23"/>
  <c r="S618" i="23" s="1"/>
  <c r="P618" i="23"/>
  <c r="B618" i="23" l="1"/>
  <c r="D618" i="23"/>
  <c r="E618" i="23" s="1"/>
  <c r="Z618" i="23"/>
  <c r="AB619" i="23"/>
  <c r="Q619" i="23"/>
  <c r="L618" i="23" l="1"/>
  <c r="M618" i="23" s="1"/>
  <c r="C619" i="23"/>
  <c r="N619" i="23"/>
  <c r="J618" i="23"/>
  <c r="F618" i="23"/>
  <c r="K618" i="23" s="1"/>
  <c r="AA618" i="23"/>
  <c r="T618" i="23"/>
  <c r="H618" i="23" l="1"/>
  <c r="I618" i="23" s="1"/>
  <c r="Y618" i="23"/>
  <c r="V618" i="23"/>
  <c r="W618" i="23" s="1"/>
  <c r="B619" i="23" l="1"/>
  <c r="D619" i="23"/>
  <c r="E619" i="23" s="1"/>
  <c r="P619" i="23"/>
  <c r="R619" i="23"/>
  <c r="S619" i="23" s="1"/>
  <c r="J619" i="23" l="1"/>
  <c r="N620" i="23"/>
  <c r="L619" i="23"/>
  <c r="M619" i="23" s="1"/>
  <c r="C620" i="23"/>
  <c r="F619" i="23"/>
  <c r="K619" i="23" s="1"/>
  <c r="AB620" i="23"/>
  <c r="Q620" i="23"/>
  <c r="Z619" i="23"/>
  <c r="H619" i="23" l="1"/>
  <c r="I619" i="23" s="1"/>
  <c r="AA619" i="23"/>
  <c r="T619" i="23"/>
  <c r="B620" i="23" l="1"/>
  <c r="D620" i="23"/>
  <c r="E620" i="23" s="1"/>
  <c r="Y619" i="23"/>
  <c r="V619" i="23"/>
  <c r="W619" i="23" s="1"/>
  <c r="L620" i="23" l="1"/>
  <c r="M620" i="23" s="1"/>
  <c r="N621" i="23"/>
  <c r="C621" i="23"/>
  <c r="J620" i="23"/>
  <c r="F620" i="23"/>
  <c r="K620" i="23" s="1"/>
  <c r="R620" i="23"/>
  <c r="S620" i="23" s="1"/>
  <c r="P620" i="23"/>
  <c r="H620" i="23" l="1"/>
  <c r="I620" i="23" s="1"/>
  <c r="Z620" i="23"/>
  <c r="AB621" i="23"/>
  <c r="Q621" i="23"/>
  <c r="D621" i="23" l="1"/>
  <c r="E621" i="23" s="1"/>
  <c r="B621" i="23"/>
  <c r="AA620" i="23"/>
  <c r="T620" i="23"/>
  <c r="J621" i="23" l="1"/>
  <c r="C622" i="23"/>
  <c r="N622" i="23"/>
  <c r="L621" i="23"/>
  <c r="M621" i="23" s="1"/>
  <c r="F621" i="23"/>
  <c r="K621" i="23" s="1"/>
  <c r="Y620" i="23"/>
  <c r="V620" i="23"/>
  <c r="W620" i="23" s="1"/>
  <c r="H621" i="23" l="1"/>
  <c r="I621" i="23" s="1"/>
  <c r="R621" i="23"/>
  <c r="S621" i="23" s="1"/>
  <c r="P621" i="23"/>
  <c r="B622" i="23" l="1"/>
  <c r="D622" i="23"/>
  <c r="E622" i="23" s="1"/>
  <c r="Z621" i="23"/>
  <c r="AA621" i="23" s="1"/>
  <c r="Q622" i="23"/>
  <c r="AB622" i="23"/>
  <c r="T621" i="23" l="1"/>
  <c r="C623" i="23"/>
  <c r="N623" i="23"/>
  <c r="J622" i="23"/>
  <c r="L622" i="23"/>
  <c r="M622" i="23" s="1"/>
  <c r="Y621" i="23"/>
  <c r="V621" i="23"/>
  <c r="W621" i="23" s="1"/>
  <c r="F622" i="23" l="1"/>
  <c r="P622" i="23"/>
  <c r="R622" i="23"/>
  <c r="S622" i="23" s="1"/>
  <c r="K622" i="23" l="1"/>
  <c r="H622" i="23"/>
  <c r="I622" i="23" s="1"/>
  <c r="Q623" i="23"/>
  <c r="Z622" i="23"/>
  <c r="AA622" i="23" s="1"/>
  <c r="AB623" i="23"/>
  <c r="T622" i="23" l="1"/>
  <c r="B623" i="23"/>
  <c r="D623" i="23"/>
  <c r="E623" i="23" s="1"/>
  <c r="V622" i="23"/>
  <c r="W622" i="23" s="1"/>
  <c r="Y622" i="23"/>
  <c r="C624" i="23" l="1"/>
  <c r="N624" i="23"/>
  <c r="L623" i="23"/>
  <c r="M623" i="23" s="1"/>
  <c r="J623" i="23"/>
  <c r="R623" i="23"/>
  <c r="S623" i="23" s="1"/>
  <c r="P623" i="23"/>
  <c r="F623" i="23" l="1"/>
  <c r="AB624" i="23"/>
  <c r="Q624" i="23"/>
  <c r="Z623" i="23"/>
  <c r="K623" i="23" l="1"/>
  <c r="H623" i="23"/>
  <c r="I623" i="23" s="1"/>
  <c r="AA623" i="23"/>
  <c r="T623" i="23"/>
  <c r="D624" i="23" l="1"/>
  <c r="E624" i="23" s="1"/>
  <c r="B624" i="23"/>
  <c r="Y623" i="23"/>
  <c r="V623" i="23"/>
  <c r="W623" i="23" s="1"/>
  <c r="N625" i="23" l="1"/>
  <c r="L624" i="23"/>
  <c r="M624" i="23" s="1"/>
  <c r="J624" i="23"/>
  <c r="C625" i="23"/>
  <c r="R624" i="23"/>
  <c r="S624" i="23" s="1"/>
  <c r="P624" i="23"/>
  <c r="F624" i="23" l="1"/>
  <c r="AB625" i="23"/>
  <c r="Q625" i="23"/>
  <c r="Z624" i="23"/>
  <c r="K624" i="23" l="1"/>
  <c r="H624" i="23"/>
  <c r="I624" i="23" s="1"/>
  <c r="AA624" i="23"/>
  <c r="T624" i="23"/>
  <c r="D625" i="23" l="1"/>
  <c r="E625" i="23" s="1"/>
  <c r="B625" i="23"/>
  <c r="Y624" i="23"/>
  <c r="V624" i="23"/>
  <c r="W624" i="23" s="1"/>
  <c r="N626" i="23" l="1"/>
  <c r="C626" i="23"/>
  <c r="L625" i="23"/>
  <c r="M625" i="23" s="1"/>
  <c r="J625" i="23"/>
  <c r="R625" i="23"/>
  <c r="S625" i="23" s="1"/>
  <c r="P625" i="23"/>
  <c r="F625" i="23" l="1"/>
  <c r="AB626" i="23"/>
  <c r="Q626" i="23"/>
  <c r="Z625" i="23"/>
  <c r="AA625" i="23" s="1"/>
  <c r="T625" i="23" l="1"/>
  <c r="Y625" i="23" s="1"/>
  <c r="K625" i="23"/>
  <c r="H625" i="23"/>
  <c r="I625" i="23" s="1"/>
  <c r="B626" i="23" l="1"/>
  <c r="D626" i="23"/>
  <c r="E626" i="23" s="1"/>
  <c r="V625" i="23"/>
  <c r="W625" i="23" s="1"/>
  <c r="P626" i="23" s="1"/>
  <c r="R626" i="23"/>
  <c r="S626" i="23" s="1"/>
  <c r="L626" i="23" l="1"/>
  <c r="M626" i="23" s="1"/>
  <c r="C627" i="23"/>
  <c r="J626" i="23"/>
  <c r="N627" i="23"/>
  <c r="F626" i="23"/>
  <c r="K626" i="23" s="1"/>
  <c r="Z626" i="23"/>
  <c r="AA626" i="23" s="1"/>
  <c r="AB627" i="23"/>
  <c r="Q627" i="23"/>
  <c r="T626" i="23" l="1"/>
  <c r="Y626" i="23" s="1"/>
  <c r="H626" i="23"/>
  <c r="I626" i="23" s="1"/>
  <c r="V626" i="23"/>
  <c r="W626" i="23" s="1"/>
  <c r="B627" i="23" l="1"/>
  <c r="D627" i="23"/>
  <c r="E627" i="23" s="1"/>
  <c r="R627" i="23"/>
  <c r="S627" i="23" s="1"/>
  <c r="P627" i="23"/>
  <c r="L627" i="23" l="1"/>
  <c r="M627" i="23" s="1"/>
  <c r="C628" i="23"/>
  <c r="N628" i="23"/>
  <c r="J627" i="23"/>
  <c r="F627" i="23"/>
  <c r="K627" i="23" s="1"/>
  <c r="Q628" i="23"/>
  <c r="AB628" i="23"/>
  <c r="Z627" i="23"/>
  <c r="AA627" i="23" s="1"/>
  <c r="H627" i="23" l="1"/>
  <c r="I627" i="23" s="1"/>
  <c r="T627" i="23"/>
  <c r="B628" i="23" l="1"/>
  <c r="D628" i="23"/>
  <c r="E628" i="23" s="1"/>
  <c r="Y627" i="23"/>
  <c r="V627" i="23"/>
  <c r="W627" i="23" s="1"/>
  <c r="L628" i="23" l="1"/>
  <c r="M628" i="23" s="1"/>
  <c r="C629" i="23"/>
  <c r="N629" i="23"/>
  <c r="J628" i="23"/>
  <c r="F628" i="23"/>
  <c r="R628" i="23"/>
  <c r="S628" i="23" s="1"/>
  <c r="P628" i="23"/>
  <c r="K628" i="23" l="1"/>
  <c r="H628" i="23"/>
  <c r="I628" i="23" s="1"/>
  <c r="Q629" i="23"/>
  <c r="AB629" i="23"/>
  <c r="Z628" i="23"/>
  <c r="AA628" i="23" s="1"/>
  <c r="D629" i="23" l="1"/>
  <c r="E629" i="23" s="1"/>
  <c r="B629" i="23"/>
  <c r="T628" i="23"/>
  <c r="Y628" i="23" s="1"/>
  <c r="N630" i="23" l="1"/>
  <c r="C630" i="23"/>
  <c r="J629" i="23"/>
  <c r="L629" i="23"/>
  <c r="V628" i="23"/>
  <c r="W628" i="23" s="1"/>
  <c r="P629" i="23"/>
  <c r="R629" i="23"/>
  <c r="S629" i="23" s="1"/>
  <c r="M629" i="23" l="1"/>
  <c r="F629" i="23"/>
  <c r="Z629" i="23"/>
  <c r="AA629" i="23" s="1"/>
  <c r="Q630" i="23"/>
  <c r="AB630" i="23"/>
  <c r="K629" i="23" l="1"/>
  <c r="H629" i="23"/>
  <c r="I629" i="23" s="1"/>
  <c r="T629" i="23"/>
  <c r="V629" i="23" s="1"/>
  <c r="W629" i="23" s="1"/>
  <c r="B630" i="23" l="1"/>
  <c r="D630" i="23"/>
  <c r="E630" i="23" s="1"/>
  <c r="Y629" i="23"/>
  <c r="P630" i="23"/>
  <c r="R630" i="23"/>
  <c r="S630" i="23" s="1"/>
  <c r="C631" i="23" l="1"/>
  <c r="J630" i="23"/>
  <c r="L630" i="23"/>
  <c r="M630" i="23" s="1"/>
  <c r="N631" i="23"/>
  <c r="Z630" i="23"/>
  <c r="Q631" i="23"/>
  <c r="AB631" i="23"/>
  <c r="F630" i="23" l="1"/>
  <c r="AA630" i="23"/>
  <c r="T630" i="23"/>
  <c r="H630" i="23" l="1"/>
  <c r="I630" i="23" s="1"/>
  <c r="K630" i="23"/>
  <c r="Y630" i="23"/>
  <c r="V630" i="23"/>
  <c r="W630" i="23" s="1"/>
  <c r="D631" i="23" l="1"/>
  <c r="E631" i="23" s="1"/>
  <c r="B631" i="23"/>
  <c r="P631" i="23"/>
  <c r="R631" i="23"/>
  <c r="S631" i="23" s="1"/>
  <c r="N632" i="23" l="1"/>
  <c r="J631" i="23"/>
  <c r="L631" i="23"/>
  <c r="M631" i="23" s="1"/>
  <c r="C632" i="23"/>
  <c r="Z631" i="23"/>
  <c r="AB632" i="23"/>
  <c r="Q632" i="23"/>
  <c r="F631" i="23" l="1"/>
  <c r="AA631" i="23"/>
  <c r="T631" i="23"/>
  <c r="K631" i="23" l="1"/>
  <c r="H631" i="23"/>
  <c r="I631" i="23" s="1"/>
  <c r="Y631" i="23"/>
  <c r="V631" i="23"/>
  <c r="W631" i="23" s="1"/>
  <c r="D632" i="23" l="1"/>
  <c r="E632" i="23" s="1"/>
  <c r="B632" i="23"/>
  <c r="P632" i="23"/>
  <c r="R632" i="23"/>
  <c r="S632" i="23" s="1"/>
  <c r="J632" i="23" l="1"/>
  <c r="L632" i="23"/>
  <c r="M632" i="23" s="1"/>
  <c r="N633" i="23"/>
  <c r="C633" i="23"/>
  <c r="AB633" i="23"/>
  <c r="Z632" i="23"/>
  <c r="Q633" i="23"/>
  <c r="F632" i="23" l="1"/>
  <c r="AA632" i="23"/>
  <c r="T632" i="23"/>
  <c r="K632" i="23" l="1"/>
  <c r="H632" i="23"/>
  <c r="I632" i="23" s="1"/>
  <c r="Y632" i="23"/>
  <c r="V632" i="23"/>
  <c r="W632" i="23" s="1"/>
  <c r="B633" i="23" l="1"/>
  <c r="D633" i="23"/>
  <c r="E633" i="23" s="1"/>
  <c r="R633" i="23"/>
  <c r="S633" i="23" s="1"/>
  <c r="P633" i="23"/>
  <c r="N634" i="23" l="1"/>
  <c r="C634" i="23"/>
  <c r="L633" i="23"/>
  <c r="M633" i="23" s="1"/>
  <c r="J633" i="23"/>
  <c r="Z633" i="23"/>
  <c r="AA633" i="23" s="1"/>
  <c r="Q634" i="23"/>
  <c r="AB634" i="23"/>
  <c r="F633" i="23" l="1"/>
  <c r="T633" i="23"/>
  <c r="V633" i="23" s="1"/>
  <c r="W633" i="23" s="1"/>
  <c r="K633" i="23" l="1"/>
  <c r="H633" i="23"/>
  <c r="I633" i="23" s="1"/>
  <c r="Y633" i="23"/>
  <c r="P634" i="23"/>
  <c r="R634" i="23"/>
  <c r="S634" i="23" s="1"/>
  <c r="D634" i="23" l="1"/>
  <c r="E634" i="23" s="1"/>
  <c r="B634" i="23"/>
  <c r="Q635" i="23"/>
  <c r="Z634" i="23"/>
  <c r="AB635" i="23"/>
  <c r="J634" i="23" l="1"/>
  <c r="C635" i="23"/>
  <c r="N635" i="23"/>
  <c r="L634" i="23"/>
  <c r="M634" i="23" s="1"/>
  <c r="AA634" i="23"/>
  <c r="T634" i="23"/>
  <c r="F634" i="23" l="1"/>
  <c r="Y634" i="23"/>
  <c r="V634" i="23"/>
  <c r="W634" i="23" s="1"/>
  <c r="K634" i="23" l="1"/>
  <c r="H634" i="23"/>
  <c r="I634" i="23" s="1"/>
  <c r="P635" i="23"/>
  <c r="R635" i="23"/>
  <c r="S635" i="23" s="1"/>
  <c r="D635" i="23" l="1"/>
  <c r="E635" i="23" s="1"/>
  <c r="B635" i="23"/>
  <c r="Q636" i="23"/>
  <c r="AB636" i="23"/>
  <c r="Z635" i="23"/>
  <c r="AA635" i="23" s="1"/>
  <c r="N636" i="23" l="1"/>
  <c r="J635" i="23"/>
  <c r="C636" i="23"/>
  <c r="L635" i="23"/>
  <c r="M635" i="23" s="1"/>
  <c r="F635" i="23"/>
  <c r="K635" i="23" s="1"/>
  <c r="T635" i="23"/>
  <c r="H635" i="23" l="1"/>
  <c r="I635" i="23" s="1"/>
  <c r="Y635" i="23"/>
  <c r="V635" i="23"/>
  <c r="W635" i="23" s="1"/>
  <c r="D636" i="23" l="1"/>
  <c r="E636" i="23" s="1"/>
  <c r="B636" i="23"/>
  <c r="P636" i="23"/>
  <c r="R636" i="23"/>
  <c r="S636" i="23" s="1"/>
  <c r="J636" i="23" l="1"/>
  <c r="C637" i="23"/>
  <c r="L636" i="23"/>
  <c r="M636" i="23" s="1"/>
  <c r="N637" i="23"/>
  <c r="AB637" i="23"/>
  <c r="Z636" i="23"/>
  <c r="AA636" i="23" s="1"/>
  <c r="Q637" i="23"/>
  <c r="F636" i="23" l="1"/>
  <c r="T636" i="23"/>
  <c r="K636" i="23" l="1"/>
  <c r="H636" i="23"/>
  <c r="I636" i="23" s="1"/>
  <c r="Y636" i="23"/>
  <c r="V636" i="23"/>
  <c r="W636" i="23" s="1"/>
  <c r="D637" i="23" l="1"/>
  <c r="E637" i="23" s="1"/>
  <c r="B637" i="23"/>
  <c r="R637" i="23"/>
  <c r="S637" i="23" s="1"/>
  <c r="P637" i="23"/>
  <c r="J637" i="23" l="1"/>
  <c r="N638" i="23"/>
  <c r="C638" i="23"/>
  <c r="L637" i="23"/>
  <c r="M637" i="23" s="1"/>
  <c r="Z637" i="23"/>
  <c r="AA637" i="23" s="1"/>
  <c r="Q638" i="23"/>
  <c r="AB638" i="23"/>
  <c r="T637" i="23"/>
  <c r="F637" i="23" l="1"/>
  <c r="Y637" i="23"/>
  <c r="V637" i="23"/>
  <c r="W637" i="23" s="1"/>
  <c r="K637" i="23" l="1"/>
  <c r="H637" i="23"/>
  <c r="I637" i="23" s="1"/>
  <c r="P638" i="23"/>
  <c r="R638" i="23"/>
  <c r="S638" i="23" s="1"/>
  <c r="B638" i="23" l="1"/>
  <c r="D638" i="23"/>
  <c r="E638" i="23" s="1"/>
  <c r="AB639" i="23"/>
  <c r="Z638" i="23"/>
  <c r="AA638" i="23" s="1"/>
  <c r="Q639" i="23"/>
  <c r="N639" i="23" l="1"/>
  <c r="J638" i="23"/>
  <c r="C639" i="23"/>
  <c r="L638" i="23"/>
  <c r="M638" i="23" s="1"/>
  <c r="T638" i="23"/>
  <c r="V638" i="23" s="1"/>
  <c r="W638" i="23" s="1"/>
  <c r="F638" i="23" l="1"/>
  <c r="Y638" i="23"/>
  <c r="P639" i="23"/>
  <c r="R639" i="23"/>
  <c r="S639" i="23" s="1"/>
  <c r="K638" i="23" l="1"/>
  <c r="H638" i="23"/>
  <c r="I638" i="23" s="1"/>
  <c r="AB640" i="23"/>
  <c r="Q640" i="23"/>
  <c r="Z639" i="23"/>
  <c r="B639" i="23" l="1"/>
  <c r="D639" i="23"/>
  <c r="E639" i="23" s="1"/>
  <c r="AA639" i="23"/>
  <c r="T639" i="23"/>
  <c r="C640" i="23" l="1"/>
  <c r="N640" i="23"/>
  <c r="J639" i="23"/>
  <c r="L639" i="23"/>
  <c r="M639" i="23" s="1"/>
  <c r="Y639" i="23"/>
  <c r="V639" i="23"/>
  <c r="W639" i="23" s="1"/>
  <c r="F639" i="23" l="1"/>
  <c r="P640" i="23"/>
  <c r="R640" i="23"/>
  <c r="S640" i="23" s="1"/>
  <c r="K639" i="23" l="1"/>
  <c r="H639" i="23"/>
  <c r="I639" i="23" s="1"/>
  <c r="Z640" i="23"/>
  <c r="AA640" i="23" s="1"/>
  <c r="Q641" i="23"/>
  <c r="AB641" i="23"/>
  <c r="D640" i="23" l="1"/>
  <c r="E640" i="23" s="1"/>
  <c r="B640" i="23"/>
  <c r="T640" i="23"/>
  <c r="Y640" i="23" s="1"/>
  <c r="V640" i="23" l="1"/>
  <c r="W640" i="23" s="1"/>
  <c r="J640" i="23"/>
  <c r="C641" i="23"/>
  <c r="L640" i="23"/>
  <c r="M640" i="23" s="1"/>
  <c r="N641" i="23"/>
  <c r="F640" i="23"/>
  <c r="K640" i="23" s="1"/>
  <c r="R641" i="23"/>
  <c r="S641" i="23" s="1"/>
  <c r="P641" i="23"/>
  <c r="H640" i="23" l="1"/>
  <c r="I640" i="23" s="1"/>
  <c r="Q642" i="23"/>
  <c r="Z641" i="23"/>
  <c r="AA641" i="23" s="1"/>
  <c r="AB642" i="23"/>
  <c r="D641" i="23" l="1"/>
  <c r="E641" i="23" s="1"/>
  <c r="B641" i="23"/>
  <c r="T641" i="23"/>
  <c r="Y641" i="23" s="1"/>
  <c r="V641" i="23" l="1"/>
  <c r="W641" i="23" s="1"/>
  <c r="L641" i="23"/>
  <c r="M641" i="23" s="1"/>
  <c r="C642" i="23"/>
  <c r="N642" i="23"/>
  <c r="J641" i="23"/>
  <c r="R642" i="23"/>
  <c r="S642" i="23" s="1"/>
  <c r="P642" i="23"/>
  <c r="F641" i="23" l="1"/>
  <c r="AB643" i="23"/>
  <c r="Z642" i="23"/>
  <c r="Q643" i="23"/>
  <c r="K641" i="23" l="1"/>
  <c r="H641" i="23"/>
  <c r="I641" i="23" s="1"/>
  <c r="T642" i="23"/>
  <c r="AA642" i="23"/>
  <c r="D642" i="23" l="1"/>
  <c r="E642" i="23" s="1"/>
  <c r="B642" i="23"/>
  <c r="V642" i="23"/>
  <c r="W642" i="23" s="1"/>
  <c r="Y642" i="23"/>
  <c r="J642" i="23" l="1"/>
  <c r="L642" i="23"/>
  <c r="M642" i="23" s="1"/>
  <c r="N643" i="23"/>
  <c r="C643" i="23"/>
  <c r="R643" i="23"/>
  <c r="S643" i="23" s="1"/>
  <c r="P643" i="23"/>
  <c r="F642" i="23" l="1"/>
  <c r="Z643" i="23"/>
  <c r="Q644" i="23"/>
  <c r="AB644" i="23"/>
  <c r="K642" i="23" l="1"/>
  <c r="H642" i="23"/>
  <c r="I642" i="23" s="1"/>
  <c r="AA643" i="23"/>
  <c r="T643" i="23"/>
  <c r="D643" i="23" l="1"/>
  <c r="E643" i="23" s="1"/>
  <c r="B643" i="23"/>
  <c r="Y643" i="23"/>
  <c r="V643" i="23"/>
  <c r="W643" i="23" s="1"/>
  <c r="C644" i="23" l="1"/>
  <c r="N644" i="23"/>
  <c r="L643" i="23"/>
  <c r="M643" i="23" s="1"/>
  <c r="J643" i="23"/>
  <c r="P644" i="23"/>
  <c r="R644" i="23"/>
  <c r="S644" i="23" s="1"/>
  <c r="F643" i="23" l="1"/>
  <c r="Z644" i="23"/>
  <c r="Q645" i="23"/>
  <c r="AB645" i="23"/>
  <c r="K643" i="23" l="1"/>
  <c r="H643" i="23"/>
  <c r="I643" i="23" s="1"/>
  <c r="AA644" i="23"/>
  <c r="T644" i="23"/>
  <c r="D644" i="23" l="1"/>
  <c r="E644" i="23" s="1"/>
  <c r="B644" i="23"/>
  <c r="Y644" i="23"/>
  <c r="V644" i="23"/>
  <c r="W644" i="23" s="1"/>
  <c r="N645" i="23" l="1"/>
  <c r="L644" i="23"/>
  <c r="M644" i="23" s="1"/>
  <c r="J644" i="23"/>
  <c r="C645" i="23"/>
  <c r="R645" i="23"/>
  <c r="S645" i="23" s="1"/>
  <c r="P645" i="23"/>
  <c r="F644" i="23" l="1"/>
  <c r="AB646" i="23"/>
  <c r="Z645" i="23"/>
  <c r="AA645" i="23" s="1"/>
  <c r="Q646" i="23"/>
  <c r="K644" i="23" l="1"/>
  <c r="H644" i="23"/>
  <c r="I644" i="23" s="1"/>
  <c r="T645" i="23"/>
  <c r="B645" i="23" l="1"/>
  <c r="D645" i="23"/>
  <c r="E645" i="23" s="1"/>
  <c r="Y645" i="23"/>
  <c r="V645" i="23"/>
  <c r="W645" i="23" s="1"/>
  <c r="C646" i="23" l="1"/>
  <c r="L645" i="23"/>
  <c r="M645" i="23" s="1"/>
  <c r="J645" i="23"/>
  <c r="N646" i="23"/>
  <c r="P646" i="23"/>
  <c r="R646" i="23"/>
  <c r="S646" i="23" s="1"/>
  <c r="F645" i="23" l="1"/>
  <c r="Q647" i="23"/>
  <c r="AB647" i="23"/>
  <c r="Z646" i="23"/>
  <c r="K645" i="23" l="1"/>
  <c r="H645" i="23"/>
  <c r="I645" i="23" s="1"/>
  <c r="T646" i="23"/>
  <c r="AA646" i="23"/>
  <c r="B646" i="23" l="1"/>
  <c r="D646" i="23"/>
  <c r="E646" i="23" s="1"/>
  <c r="Y646" i="23"/>
  <c r="V646" i="23"/>
  <c r="W646" i="23" s="1"/>
  <c r="C647" i="23" l="1"/>
  <c r="L646" i="23"/>
  <c r="M646" i="23" s="1"/>
  <c r="N647" i="23"/>
  <c r="J646" i="23"/>
  <c r="P647" i="23"/>
  <c r="R647" i="23"/>
  <c r="S647" i="23" s="1"/>
  <c r="F646" i="23" l="1"/>
  <c r="Z647" i="23"/>
  <c r="AA647" i="23" s="1"/>
  <c r="AB648" i="23"/>
  <c r="Q648" i="23"/>
  <c r="K646" i="23" l="1"/>
  <c r="H646" i="23"/>
  <c r="I646" i="23" s="1"/>
  <c r="T647" i="23"/>
  <c r="Y647" i="23" s="1"/>
  <c r="D647" i="23" l="1"/>
  <c r="E647" i="23" s="1"/>
  <c r="B647" i="23"/>
  <c r="V647" i="23"/>
  <c r="W647" i="23" s="1"/>
  <c r="R648" i="23" s="1"/>
  <c r="S648" i="23" s="1"/>
  <c r="P648" i="23" l="1"/>
  <c r="J647" i="23"/>
  <c r="L647" i="23"/>
  <c r="M647" i="23" s="1"/>
  <c r="N648" i="23"/>
  <c r="C648" i="23"/>
  <c r="F647" i="23"/>
  <c r="K647" i="23" s="1"/>
  <c r="AB649" i="23"/>
  <c r="Q649" i="23"/>
  <c r="Z648" i="23"/>
  <c r="AA648" i="23" s="1"/>
  <c r="T648" i="23"/>
  <c r="H647" i="23" l="1"/>
  <c r="I647" i="23" s="1"/>
  <c r="Y648" i="23"/>
  <c r="V648" i="23"/>
  <c r="W648" i="23" s="1"/>
  <c r="B648" i="23" l="1"/>
  <c r="D648" i="23"/>
  <c r="E648" i="23" s="1"/>
  <c r="P649" i="23"/>
  <c r="R649" i="23"/>
  <c r="S649" i="23" s="1"/>
  <c r="C649" i="23" l="1"/>
  <c r="J648" i="23"/>
  <c r="N649" i="23"/>
  <c r="L648" i="23"/>
  <c r="M648" i="23" s="1"/>
  <c r="AB650" i="23"/>
  <c r="Q650" i="23"/>
  <c r="Z649" i="23"/>
  <c r="F648" i="23" l="1"/>
  <c r="AA649" i="23"/>
  <c r="T649" i="23"/>
  <c r="K648" i="23" l="1"/>
  <c r="H648" i="23"/>
  <c r="I648" i="23" s="1"/>
  <c r="V649" i="23"/>
  <c r="W649" i="23" s="1"/>
  <c r="Y649" i="23"/>
  <c r="D649" i="23" l="1"/>
  <c r="E649" i="23" s="1"/>
  <c r="B649" i="23"/>
  <c r="P650" i="23"/>
  <c r="R650" i="23"/>
  <c r="S650" i="23" s="1"/>
  <c r="N650" i="23" l="1"/>
  <c r="C650" i="23"/>
  <c r="J649" i="23"/>
  <c r="L649" i="23"/>
  <c r="M649" i="23" s="1"/>
  <c r="F649" i="23"/>
  <c r="K649" i="23" s="1"/>
  <c r="Q651" i="23"/>
  <c r="Z650" i="23"/>
  <c r="AA650" i="23" s="1"/>
  <c r="AB651" i="23"/>
  <c r="H649" i="23" l="1"/>
  <c r="I649" i="23" s="1"/>
  <c r="T650" i="23"/>
  <c r="Y650" i="23" s="1"/>
  <c r="D650" i="23" l="1"/>
  <c r="E650" i="23" s="1"/>
  <c r="B650" i="23"/>
  <c r="V650" i="23"/>
  <c r="W650" i="23" s="1"/>
  <c r="P651" i="23" s="1"/>
  <c r="R651" i="23"/>
  <c r="S651" i="23" s="1"/>
  <c r="N651" i="23" l="1"/>
  <c r="L650" i="23"/>
  <c r="M650" i="23" s="1"/>
  <c r="F650" i="23"/>
  <c r="K650" i="23" s="1"/>
  <c r="J650" i="23"/>
  <c r="C651" i="23"/>
  <c r="AB652" i="23"/>
  <c r="Q652" i="23"/>
  <c r="Z651" i="23"/>
  <c r="H650" i="23" l="1"/>
  <c r="I650" i="23" s="1"/>
  <c r="AA651" i="23"/>
  <c r="T651" i="23"/>
  <c r="D651" i="23" l="1"/>
  <c r="E651" i="23" s="1"/>
  <c r="B651" i="23"/>
  <c r="Y651" i="23"/>
  <c r="V651" i="23"/>
  <c r="W651" i="23" s="1"/>
  <c r="J651" i="23" l="1"/>
  <c r="N652" i="23"/>
  <c r="L651" i="23"/>
  <c r="M651" i="23" s="1"/>
  <c r="C652" i="23"/>
  <c r="P652" i="23"/>
  <c r="R652" i="23"/>
  <c r="S652" i="23" s="1"/>
  <c r="F651" i="23" l="1"/>
  <c r="Q653" i="23"/>
  <c r="Z652" i="23"/>
  <c r="AB653" i="23"/>
  <c r="K651" i="23" l="1"/>
  <c r="H651" i="23"/>
  <c r="I651" i="23" s="1"/>
  <c r="AA652" i="23"/>
  <c r="T652" i="23"/>
  <c r="D652" i="23" l="1"/>
  <c r="E652" i="23" s="1"/>
  <c r="B652" i="23"/>
  <c r="Y652" i="23"/>
  <c r="V652" i="23"/>
  <c r="W652" i="23" s="1"/>
  <c r="N653" i="23" l="1"/>
  <c r="L652" i="23"/>
  <c r="M652" i="23" s="1"/>
  <c r="C653" i="23"/>
  <c r="J652" i="23"/>
  <c r="R653" i="23"/>
  <c r="S653" i="23" s="1"/>
  <c r="P653" i="23"/>
  <c r="F652" i="23" l="1"/>
  <c r="Z653" i="23"/>
  <c r="AA653" i="23" s="1"/>
  <c r="Q654" i="23"/>
  <c r="AB654" i="23"/>
  <c r="T653" i="23" l="1"/>
  <c r="K652" i="23"/>
  <c r="H652" i="23"/>
  <c r="I652" i="23" s="1"/>
  <c r="Y653" i="23"/>
  <c r="V653" i="23"/>
  <c r="W653" i="23" s="1"/>
  <c r="B653" i="23" l="1"/>
  <c r="D653" i="23"/>
  <c r="E653" i="23" s="1"/>
  <c r="R654" i="23"/>
  <c r="S654" i="23" s="1"/>
  <c r="P654" i="23"/>
  <c r="L653" i="23" l="1"/>
  <c r="M653" i="23" s="1"/>
  <c r="N654" i="23"/>
  <c r="C654" i="23"/>
  <c r="J653" i="23"/>
  <c r="F653" i="23"/>
  <c r="K653" i="23" s="1"/>
  <c r="Z654" i="23"/>
  <c r="Q655" i="23"/>
  <c r="AB655" i="23"/>
  <c r="H653" i="23" l="1"/>
  <c r="I653" i="23" s="1"/>
  <c r="AA654" i="23"/>
  <c r="T654" i="23"/>
  <c r="D654" i="23" l="1"/>
  <c r="E654" i="23" s="1"/>
  <c r="B654" i="23"/>
  <c r="Y654" i="23"/>
  <c r="V654" i="23"/>
  <c r="W654" i="23" s="1"/>
  <c r="L654" i="23" l="1"/>
  <c r="M654" i="23" s="1"/>
  <c r="J654" i="23"/>
  <c r="C655" i="23"/>
  <c r="N655" i="23"/>
  <c r="F654" i="23"/>
  <c r="K654" i="23" s="1"/>
  <c r="P655" i="23"/>
  <c r="R655" i="23"/>
  <c r="S655" i="23" s="1"/>
  <c r="H654" i="23" l="1"/>
  <c r="I654" i="23" s="1"/>
  <c r="AB656" i="23"/>
  <c r="Q656" i="23"/>
  <c r="Z655" i="23"/>
  <c r="AA655" i="23" s="1"/>
  <c r="B655" i="23" l="1"/>
  <c r="D655" i="23"/>
  <c r="E655" i="23" s="1"/>
  <c r="T655" i="23"/>
  <c r="Y655" i="23" s="1"/>
  <c r="V655" i="23" l="1"/>
  <c r="W655" i="23" s="1"/>
  <c r="N656" i="23"/>
  <c r="C656" i="23"/>
  <c r="F655" i="23"/>
  <c r="K655" i="23" s="1"/>
  <c r="J655" i="23"/>
  <c r="L655" i="23"/>
  <c r="M655" i="23" s="1"/>
  <c r="P656" i="23"/>
  <c r="R656" i="23"/>
  <c r="S656" i="23" s="1"/>
  <c r="H655" i="23" l="1"/>
  <c r="I655" i="23" s="1"/>
  <c r="Q657" i="23"/>
  <c r="AB657" i="23"/>
  <c r="Z656" i="23"/>
  <c r="B656" i="23" l="1"/>
  <c r="D656" i="23"/>
  <c r="E656" i="23" s="1"/>
  <c r="AA656" i="23"/>
  <c r="T656" i="23"/>
  <c r="J656" i="23" l="1"/>
  <c r="C657" i="23"/>
  <c r="F656" i="23"/>
  <c r="K656" i="23" s="1"/>
  <c r="N657" i="23"/>
  <c r="L656" i="23"/>
  <c r="M656" i="23" s="1"/>
  <c r="V656" i="23"/>
  <c r="W656" i="23" s="1"/>
  <c r="Y656" i="23"/>
  <c r="H656" i="23" l="1"/>
  <c r="I656" i="23" s="1"/>
  <c r="R657" i="23"/>
  <c r="S657" i="23" s="1"/>
  <c r="P657" i="23"/>
  <c r="D657" i="23" l="1"/>
  <c r="E657" i="23" s="1"/>
  <c r="B657" i="23"/>
  <c r="Q658" i="23"/>
  <c r="AB658" i="23"/>
  <c r="Z657" i="23"/>
  <c r="L657" i="23" l="1"/>
  <c r="M657" i="23" s="1"/>
  <c r="J657" i="23"/>
  <c r="N658" i="23"/>
  <c r="C658" i="23"/>
  <c r="AA657" i="23"/>
  <c r="T657" i="23"/>
  <c r="F657" i="23" l="1"/>
  <c r="V657" i="23"/>
  <c r="W657" i="23" s="1"/>
  <c r="Y657" i="23"/>
  <c r="K657" i="23" l="1"/>
  <c r="H657" i="23"/>
  <c r="I657" i="23" s="1"/>
  <c r="R658" i="23"/>
  <c r="S658" i="23" s="1"/>
  <c r="P658" i="23"/>
  <c r="D658" i="23" l="1"/>
  <c r="E658" i="23" s="1"/>
  <c r="B658" i="23"/>
  <c r="Z658" i="23"/>
  <c r="AB659" i="23"/>
  <c r="Q659" i="23"/>
  <c r="N659" i="23" l="1"/>
  <c r="J658" i="23"/>
  <c r="L658" i="23"/>
  <c r="M658" i="23" s="1"/>
  <c r="C659" i="23"/>
  <c r="AA658" i="23"/>
  <c r="T658" i="23"/>
  <c r="F658" i="23" l="1"/>
  <c r="V658" i="23"/>
  <c r="W658" i="23" s="1"/>
  <c r="Y658" i="23"/>
  <c r="K658" i="23" l="1"/>
  <c r="H658" i="23"/>
  <c r="I658" i="23" s="1"/>
  <c r="P659" i="23"/>
  <c r="R659" i="23"/>
  <c r="S659" i="23" s="1"/>
  <c r="D659" i="23" l="1"/>
  <c r="E659" i="23" s="1"/>
  <c r="B659" i="23"/>
  <c r="Z659" i="23"/>
  <c r="Q660" i="23"/>
  <c r="AB660" i="23"/>
  <c r="N660" i="23" l="1"/>
  <c r="L659" i="23"/>
  <c r="M659" i="23" s="1"/>
  <c r="C660" i="23"/>
  <c r="J659" i="23"/>
  <c r="AA659" i="23"/>
  <c r="T659" i="23"/>
  <c r="F659" i="23" l="1"/>
  <c r="Y659" i="23"/>
  <c r="V659" i="23"/>
  <c r="W659" i="23" s="1"/>
  <c r="K659" i="23" l="1"/>
  <c r="H659" i="23"/>
  <c r="I659" i="23" s="1"/>
  <c r="P660" i="23"/>
  <c r="R660" i="23"/>
  <c r="S660" i="23" s="1"/>
  <c r="D660" i="23" l="1"/>
  <c r="E660" i="23" s="1"/>
  <c r="B660" i="23"/>
  <c r="AB661" i="23"/>
  <c r="Z660" i="23"/>
  <c r="Q661" i="23"/>
  <c r="C661" i="23" l="1"/>
  <c r="L660" i="23"/>
  <c r="M660" i="23" s="1"/>
  <c r="J660" i="23"/>
  <c r="N661" i="23"/>
  <c r="AA660" i="23"/>
  <c r="T660" i="23"/>
  <c r="F660" i="23" l="1"/>
  <c r="Y660" i="23"/>
  <c r="V660" i="23"/>
  <c r="W660" i="23" s="1"/>
  <c r="K660" i="23" l="1"/>
  <c r="H660" i="23"/>
  <c r="I660" i="23" s="1"/>
  <c r="R661" i="23"/>
  <c r="S661" i="23" s="1"/>
  <c r="P661" i="23"/>
  <c r="D661" i="23" l="1"/>
  <c r="E661" i="23" s="1"/>
  <c r="B661" i="23"/>
  <c r="AB662" i="23"/>
  <c r="Q662" i="23"/>
  <c r="Z661" i="23"/>
  <c r="AA661" i="23" s="1"/>
  <c r="L661" i="23" l="1"/>
  <c r="M661" i="23" s="1"/>
  <c r="C662" i="23"/>
  <c r="N662" i="23"/>
  <c r="J661" i="23"/>
  <c r="F661" i="23"/>
  <c r="K661" i="23" s="1"/>
  <c r="T661" i="23"/>
  <c r="V661" i="23" s="1"/>
  <c r="W661" i="23" s="1"/>
  <c r="Y661" i="23"/>
  <c r="H661" i="23" l="1"/>
  <c r="I661" i="23" s="1"/>
  <c r="P662" i="23"/>
  <c r="R662" i="23"/>
  <c r="S662" i="23" s="1"/>
  <c r="D662" i="23" l="1"/>
  <c r="E662" i="23" s="1"/>
  <c r="B662" i="23"/>
  <c r="Q663" i="23"/>
  <c r="AB663" i="23"/>
  <c r="Z662" i="23"/>
  <c r="C663" i="23" l="1"/>
  <c r="N663" i="23"/>
  <c r="J662" i="23"/>
  <c r="L662" i="23"/>
  <c r="M662" i="23" s="1"/>
  <c r="AA662" i="23"/>
  <c r="T662" i="23"/>
  <c r="F662" i="23" l="1"/>
  <c r="Y662" i="23"/>
  <c r="V662" i="23"/>
  <c r="W662" i="23" s="1"/>
  <c r="K662" i="23" l="1"/>
  <c r="H662" i="23"/>
  <c r="I662" i="23" s="1"/>
  <c r="R663" i="23"/>
  <c r="S663" i="23" s="1"/>
  <c r="P663" i="23"/>
  <c r="B663" i="23" l="1"/>
  <c r="D663" i="23"/>
  <c r="E663" i="23" s="1"/>
  <c r="Z663" i="23"/>
  <c r="AA663" i="23" s="1"/>
  <c r="Q664" i="23"/>
  <c r="AB664" i="23"/>
  <c r="J663" i="23" l="1"/>
  <c r="C664" i="23"/>
  <c r="N664" i="23"/>
  <c r="L663" i="23"/>
  <c r="M663" i="23" s="1"/>
  <c r="T663" i="23"/>
  <c r="Y663" i="23"/>
  <c r="V663" i="23"/>
  <c r="W663" i="23" s="1"/>
  <c r="F663" i="23" l="1"/>
  <c r="R664" i="23"/>
  <c r="S664" i="23" s="1"/>
  <c r="P664" i="23"/>
  <c r="K663" i="23" l="1"/>
  <c r="H663" i="23"/>
  <c r="I663" i="23" s="1"/>
  <c r="AB665" i="23"/>
  <c r="Q665" i="23"/>
  <c r="Z664" i="23"/>
  <c r="AA664" i="23" s="1"/>
  <c r="B664" i="23" l="1"/>
  <c r="D664" i="23"/>
  <c r="E664" i="23" s="1"/>
  <c r="T664" i="23"/>
  <c r="Y664" i="23" s="1"/>
  <c r="V664" i="23" l="1"/>
  <c r="W664" i="23" s="1"/>
  <c r="C665" i="23"/>
  <c r="N665" i="23"/>
  <c r="L664" i="23"/>
  <c r="M664" i="23" s="1"/>
  <c r="J664" i="23"/>
  <c r="P665" i="23"/>
  <c r="R665" i="23"/>
  <c r="S665" i="23" s="1"/>
  <c r="F664" i="23" l="1"/>
  <c r="AB666" i="23"/>
  <c r="Z665" i="23"/>
  <c r="AA665" i="23" s="1"/>
  <c r="Q666" i="23"/>
  <c r="K664" i="23" l="1"/>
  <c r="H664" i="23"/>
  <c r="I664" i="23" s="1"/>
  <c r="T665" i="23"/>
  <c r="B665" i="23" l="1"/>
  <c r="D665" i="23"/>
  <c r="E665" i="23" s="1"/>
  <c r="Y665" i="23"/>
  <c r="V665" i="23"/>
  <c r="W665" i="23" s="1"/>
  <c r="J665" i="23" l="1"/>
  <c r="N666" i="23"/>
  <c r="L665" i="23"/>
  <c r="M665" i="23" s="1"/>
  <c r="C666" i="23"/>
  <c r="P666" i="23"/>
  <c r="R666" i="23"/>
  <c r="S666" i="23" s="1"/>
  <c r="F665" i="23" l="1"/>
  <c r="Q667" i="23"/>
  <c r="Z666" i="23"/>
  <c r="AA666" i="23" s="1"/>
  <c r="AB667" i="23"/>
  <c r="K665" i="23" l="1"/>
  <c r="H665" i="23"/>
  <c r="I665" i="23" s="1"/>
  <c r="T666" i="23"/>
  <c r="B666" i="23" l="1"/>
  <c r="D666" i="23"/>
  <c r="E666" i="23" s="1"/>
  <c r="Y666" i="23"/>
  <c r="V666" i="23"/>
  <c r="W666" i="23" s="1"/>
  <c r="L666" i="23" l="1"/>
  <c r="M666" i="23" s="1"/>
  <c r="N667" i="23"/>
  <c r="J666" i="23"/>
  <c r="C667" i="23"/>
  <c r="F666" i="23"/>
  <c r="K666" i="23" s="1"/>
  <c r="H666" i="23"/>
  <c r="I666" i="23" s="1"/>
  <c r="P667" i="23"/>
  <c r="R667" i="23"/>
  <c r="S667" i="23" s="1"/>
  <c r="B667" i="23" l="1"/>
  <c r="D667" i="23"/>
  <c r="E667" i="23" s="1"/>
  <c r="AB668" i="23"/>
  <c r="Q668" i="23"/>
  <c r="Z667" i="23"/>
  <c r="AA667" i="23" s="1"/>
  <c r="C668" i="23" l="1"/>
  <c r="L667" i="23"/>
  <c r="M667" i="23" s="1"/>
  <c r="N668" i="23"/>
  <c r="J667" i="23"/>
  <c r="F667" i="23"/>
  <c r="K667" i="23" s="1"/>
  <c r="T667" i="23"/>
  <c r="H667" i="23" l="1"/>
  <c r="I667" i="23" s="1"/>
  <c r="Y667" i="23"/>
  <c r="V667" i="23"/>
  <c r="W667" i="23" s="1"/>
  <c r="B668" i="23" l="1"/>
  <c r="D668" i="23"/>
  <c r="E668" i="23" s="1"/>
  <c r="P668" i="23"/>
  <c r="R668" i="23"/>
  <c r="S668" i="23" s="1"/>
  <c r="N669" i="23" l="1"/>
  <c r="L668" i="23"/>
  <c r="M668" i="23" s="1"/>
  <c r="J668" i="23"/>
  <c r="C669" i="23"/>
  <c r="Q669" i="23"/>
  <c r="Z668" i="23"/>
  <c r="AA668" i="23" s="1"/>
  <c r="AB669" i="23"/>
  <c r="T668" i="23" l="1"/>
  <c r="Y668" i="23" s="1"/>
  <c r="F668" i="23"/>
  <c r="V668" i="23"/>
  <c r="W668" i="23" s="1"/>
  <c r="P669" i="23" s="1"/>
  <c r="R669" i="23" l="1"/>
  <c r="S669" i="23" s="1"/>
  <c r="K668" i="23"/>
  <c r="H668" i="23"/>
  <c r="I668" i="23" s="1"/>
  <c r="Q670" i="23"/>
  <c r="Z669" i="23"/>
  <c r="AA669" i="23" s="1"/>
  <c r="AB670" i="23"/>
  <c r="D669" i="23" l="1"/>
  <c r="E669" i="23" s="1"/>
  <c r="B669" i="23"/>
  <c r="T669" i="23"/>
  <c r="Y669" i="23" s="1"/>
  <c r="V669" i="23"/>
  <c r="W669" i="23" s="1"/>
  <c r="C670" i="23" l="1"/>
  <c r="L669" i="23"/>
  <c r="M669" i="23" s="1"/>
  <c r="N670" i="23"/>
  <c r="J669" i="23"/>
  <c r="R670" i="23"/>
  <c r="S670" i="23" s="1"/>
  <c r="P670" i="23"/>
  <c r="F669" i="23" l="1"/>
  <c r="Z670" i="23"/>
  <c r="AB671" i="23"/>
  <c r="Q671" i="23"/>
  <c r="K669" i="23" l="1"/>
  <c r="H669" i="23"/>
  <c r="I669" i="23" s="1"/>
  <c r="AA670" i="23"/>
  <c r="T670" i="23"/>
  <c r="D670" i="23" l="1"/>
  <c r="E670" i="23" s="1"/>
  <c r="B670" i="23"/>
  <c r="V670" i="23"/>
  <c r="W670" i="23" s="1"/>
  <c r="Y670" i="23"/>
  <c r="C671" i="23" l="1"/>
  <c r="J670" i="23"/>
  <c r="N671" i="23"/>
  <c r="L670" i="23"/>
  <c r="M670" i="23" s="1"/>
  <c r="R671" i="23"/>
  <c r="S671" i="23" s="1"/>
  <c r="P671" i="23"/>
  <c r="F670" i="23" l="1"/>
  <c r="Q672" i="23"/>
  <c r="Z671" i="23"/>
  <c r="AB672" i="23"/>
  <c r="K670" i="23" l="1"/>
  <c r="H670" i="23"/>
  <c r="I670" i="23" s="1"/>
  <c r="AA671" i="23"/>
  <c r="T671" i="23"/>
  <c r="B671" i="23" l="1"/>
  <c r="D671" i="23"/>
  <c r="E671" i="23" s="1"/>
  <c r="V671" i="23"/>
  <c r="W671" i="23" s="1"/>
  <c r="Y671" i="23"/>
  <c r="C672" i="23" l="1"/>
  <c r="J671" i="23"/>
  <c r="L671" i="23"/>
  <c r="M671" i="23" s="1"/>
  <c r="N672" i="23"/>
  <c r="P672" i="23"/>
  <c r="R672" i="23"/>
  <c r="S672" i="23" s="1"/>
  <c r="F671" i="23" l="1"/>
  <c r="Q673" i="23"/>
  <c r="AB673" i="23"/>
  <c r="Z672" i="23"/>
  <c r="AA672" i="23" s="1"/>
  <c r="K671" i="23" l="1"/>
  <c r="H671" i="23"/>
  <c r="I671" i="23" s="1"/>
  <c r="T672" i="23"/>
  <c r="V672" i="23" s="1"/>
  <c r="W672" i="23" s="1"/>
  <c r="D672" i="23" l="1"/>
  <c r="E672" i="23" s="1"/>
  <c r="B672" i="23"/>
  <c r="Y672" i="23"/>
  <c r="R673" i="23"/>
  <c r="S673" i="23" s="1"/>
  <c r="P673" i="23"/>
  <c r="N673" i="23" l="1"/>
  <c r="J672" i="23"/>
  <c r="F672" i="23"/>
  <c r="K672" i="23" s="1"/>
  <c r="L672" i="23"/>
  <c r="M672" i="23" s="1"/>
  <c r="C673" i="23"/>
  <c r="AB674" i="23"/>
  <c r="Q674" i="23"/>
  <c r="Z673" i="23"/>
  <c r="AA673" i="23" s="1"/>
  <c r="H672" i="23" l="1"/>
  <c r="I672" i="23" s="1"/>
  <c r="T673" i="23"/>
  <c r="Y673" i="23" s="1"/>
  <c r="B673" i="23" l="1"/>
  <c r="D673" i="23"/>
  <c r="E673" i="23" s="1"/>
  <c r="V673" i="23"/>
  <c r="W673" i="23" s="1"/>
  <c r="P674" i="23" s="1"/>
  <c r="R674" i="23"/>
  <c r="S674" i="23" s="1"/>
  <c r="C674" i="23" l="1"/>
  <c r="J673" i="23"/>
  <c r="N674" i="23"/>
  <c r="L673" i="23"/>
  <c r="M673" i="23" s="1"/>
  <c r="AB675" i="23"/>
  <c r="Q675" i="23"/>
  <c r="Z674" i="23"/>
  <c r="AA674" i="23" s="1"/>
  <c r="F673" i="23" l="1"/>
  <c r="T674" i="23"/>
  <c r="V674" i="23" s="1"/>
  <c r="W674" i="23" s="1"/>
  <c r="Y674" i="23"/>
  <c r="K673" i="23" l="1"/>
  <c r="H673" i="23"/>
  <c r="I673" i="23" s="1"/>
  <c r="R675" i="23"/>
  <c r="S675" i="23" s="1"/>
  <c r="P675" i="23"/>
  <c r="D674" i="23" l="1"/>
  <c r="E674" i="23" s="1"/>
  <c r="B674" i="23"/>
  <c r="Q676" i="23"/>
  <c r="Z675" i="23"/>
  <c r="AB676" i="23"/>
  <c r="C675" i="23" l="1"/>
  <c r="L674" i="23"/>
  <c r="M674" i="23" s="1"/>
  <c r="N675" i="23"/>
  <c r="J674" i="23"/>
  <c r="F674" i="23"/>
  <c r="K674" i="23" s="1"/>
  <c r="AA675" i="23"/>
  <c r="T675" i="23"/>
  <c r="H674" i="23" l="1"/>
  <c r="I674" i="23" s="1"/>
  <c r="V675" i="23"/>
  <c r="W675" i="23" s="1"/>
  <c r="Y675" i="23"/>
  <c r="D675" i="23" l="1"/>
  <c r="E675" i="23" s="1"/>
  <c r="B675" i="23"/>
  <c r="R676" i="23"/>
  <c r="S676" i="23" s="1"/>
  <c r="P676" i="23"/>
  <c r="J675" i="23" l="1"/>
  <c r="C676" i="23"/>
  <c r="F675" i="23"/>
  <c r="K675" i="23" s="1"/>
  <c r="L675" i="23"/>
  <c r="M675" i="23" s="1"/>
  <c r="N676" i="23"/>
  <c r="Z676" i="23"/>
  <c r="AB677" i="23"/>
  <c r="Q677" i="23"/>
  <c r="H675" i="23" l="1"/>
  <c r="I675" i="23" s="1"/>
  <c r="AA676" i="23"/>
  <c r="T676" i="23"/>
  <c r="D676" i="23" l="1"/>
  <c r="E676" i="23" s="1"/>
  <c r="B676" i="23"/>
  <c r="V676" i="23"/>
  <c r="W676" i="23" s="1"/>
  <c r="Y676" i="23"/>
  <c r="L676" i="23" l="1"/>
  <c r="M676" i="23" s="1"/>
  <c r="C677" i="23"/>
  <c r="J676" i="23"/>
  <c r="N677" i="23"/>
  <c r="P677" i="23"/>
  <c r="R677" i="23"/>
  <c r="S677" i="23" s="1"/>
  <c r="F676" i="23" l="1"/>
  <c r="AB678" i="23"/>
  <c r="Q678" i="23"/>
  <c r="Z677" i="23"/>
  <c r="AA677" i="23" s="1"/>
  <c r="K676" i="23" l="1"/>
  <c r="H676" i="23"/>
  <c r="I676" i="23" s="1"/>
  <c r="T677" i="23"/>
  <c r="V677" i="23"/>
  <c r="W677" i="23" s="1"/>
  <c r="Y677" i="23"/>
  <c r="B677" i="23" l="1"/>
  <c r="D677" i="23"/>
  <c r="E677" i="23" s="1"/>
  <c r="P678" i="23"/>
  <c r="R678" i="23"/>
  <c r="S678" i="23" s="1"/>
  <c r="C678" i="23" l="1"/>
  <c r="J677" i="23"/>
  <c r="N678" i="23"/>
  <c r="L677" i="23"/>
  <c r="M677" i="23" s="1"/>
  <c r="Q679" i="23"/>
  <c r="Z678" i="23"/>
  <c r="AB679" i="23"/>
  <c r="F677" i="23" l="1"/>
  <c r="AA678" i="23"/>
  <c r="T678" i="23"/>
  <c r="K677" i="23" l="1"/>
  <c r="H677" i="23"/>
  <c r="I677" i="23" s="1"/>
  <c r="Y678" i="23"/>
  <c r="V678" i="23"/>
  <c r="W678" i="23" s="1"/>
  <c r="B678" i="23" l="1"/>
  <c r="D678" i="23"/>
  <c r="E678" i="23" s="1"/>
  <c r="R679" i="23"/>
  <c r="S679" i="23" s="1"/>
  <c r="P679" i="23"/>
  <c r="L678" i="23" l="1"/>
  <c r="M678" i="23" s="1"/>
  <c r="C679" i="23"/>
  <c r="J678" i="23"/>
  <c r="N679" i="23"/>
  <c r="F678" i="23"/>
  <c r="K678" i="23" s="1"/>
  <c r="H678" i="23"/>
  <c r="I678" i="23" s="1"/>
  <c r="Z679" i="23"/>
  <c r="AA679" i="23" s="1"/>
  <c r="AB680" i="23"/>
  <c r="Q680" i="23"/>
  <c r="D679" i="23" l="1"/>
  <c r="E679" i="23" s="1"/>
  <c r="B679" i="23"/>
  <c r="T679" i="23"/>
  <c r="V679" i="23" s="1"/>
  <c r="W679" i="23" s="1"/>
  <c r="Y679" i="23" l="1"/>
  <c r="J679" i="23"/>
  <c r="L679" i="23"/>
  <c r="M679" i="23" s="1"/>
  <c r="C680" i="23"/>
  <c r="N680" i="23"/>
  <c r="P680" i="23"/>
  <c r="R680" i="23"/>
  <c r="S680" i="23" s="1"/>
  <c r="F679" i="23" l="1"/>
  <c r="AB681" i="23"/>
  <c r="Q681" i="23"/>
  <c r="Z680" i="23"/>
  <c r="K679" i="23" l="1"/>
  <c r="H679" i="23"/>
  <c r="I679" i="23" s="1"/>
  <c r="AA680" i="23"/>
  <c r="T680" i="23"/>
  <c r="D680" i="23" l="1"/>
  <c r="E680" i="23" s="1"/>
  <c r="B680" i="23"/>
  <c r="Y680" i="23"/>
  <c r="V680" i="23"/>
  <c r="W680" i="23" s="1"/>
  <c r="L680" i="23" l="1"/>
  <c r="M680" i="23" s="1"/>
  <c r="J680" i="23"/>
  <c r="C681" i="23"/>
  <c r="N681" i="23"/>
  <c r="F680" i="23"/>
  <c r="K680" i="23" s="1"/>
  <c r="R681" i="23"/>
  <c r="S681" i="23" s="1"/>
  <c r="P681" i="23"/>
  <c r="H680" i="23" l="1"/>
  <c r="I680" i="23" s="1"/>
  <c r="AB682" i="23"/>
  <c r="Q682" i="23"/>
  <c r="Z681" i="23"/>
  <c r="B681" i="23" l="1"/>
  <c r="D681" i="23"/>
  <c r="E681" i="23" s="1"/>
  <c r="AA681" i="23"/>
  <c r="T681" i="23"/>
  <c r="C682" i="23" l="1"/>
  <c r="L681" i="23"/>
  <c r="M681" i="23" s="1"/>
  <c r="N682" i="23"/>
  <c r="J681" i="23"/>
  <c r="Y681" i="23"/>
  <c r="V681" i="23"/>
  <c r="W681" i="23" s="1"/>
  <c r="F681" i="23" l="1"/>
  <c r="P682" i="23"/>
  <c r="R682" i="23"/>
  <c r="S682" i="23" s="1"/>
  <c r="K681" i="23" l="1"/>
  <c r="H681" i="23"/>
  <c r="I681" i="23" s="1"/>
  <c r="AB683" i="23"/>
  <c r="Z682" i="23"/>
  <c r="Q683" i="23"/>
  <c r="D682" i="23" l="1"/>
  <c r="E682" i="23" s="1"/>
  <c r="B682" i="23"/>
  <c r="AA682" i="23"/>
  <c r="T682" i="23"/>
  <c r="N683" i="23" l="1"/>
  <c r="L682" i="23"/>
  <c r="M682" i="23" s="1"/>
  <c r="C683" i="23"/>
  <c r="J682" i="23"/>
  <c r="Y682" i="23"/>
  <c r="V682" i="23"/>
  <c r="W682" i="23" s="1"/>
  <c r="F682" i="23" l="1"/>
  <c r="R683" i="23"/>
  <c r="S683" i="23" s="1"/>
  <c r="P683" i="23"/>
  <c r="K682" i="23" l="1"/>
  <c r="H682" i="23"/>
  <c r="I682" i="23" s="1"/>
  <c r="AB684" i="23"/>
  <c r="Z683" i="23"/>
  <c r="AA683" i="23" s="1"/>
  <c r="Q684" i="23"/>
  <c r="B683" i="23" l="1"/>
  <c r="D683" i="23"/>
  <c r="E683" i="23" s="1"/>
  <c r="T683" i="23"/>
  <c r="J683" i="23" l="1"/>
  <c r="L683" i="23"/>
  <c r="M683" i="23" s="1"/>
  <c r="C684" i="23"/>
  <c r="N684" i="23"/>
  <c r="Y683" i="23"/>
  <c r="V683" i="23"/>
  <c r="W683" i="23" s="1"/>
  <c r="F683" i="23" l="1"/>
  <c r="R684" i="23"/>
  <c r="S684" i="23" s="1"/>
  <c r="P684" i="23"/>
  <c r="K683" i="23" l="1"/>
  <c r="H683" i="23"/>
  <c r="I683" i="23" s="1"/>
  <c r="AB685" i="23"/>
  <c r="Z684" i="23"/>
  <c r="AA684" i="23" s="1"/>
  <c r="Q685" i="23"/>
  <c r="D684" i="23" l="1"/>
  <c r="E684" i="23" s="1"/>
  <c r="B684" i="23"/>
  <c r="T684" i="23"/>
  <c r="Y684" i="23" s="1"/>
  <c r="V684" i="23" l="1"/>
  <c r="W684" i="23" s="1"/>
  <c r="R685" i="23" s="1"/>
  <c r="S685" i="23" s="1"/>
  <c r="J684" i="23"/>
  <c r="L684" i="23"/>
  <c r="M684" i="23" s="1"/>
  <c r="N685" i="23"/>
  <c r="C685" i="23"/>
  <c r="F684" i="23"/>
  <c r="K684" i="23" s="1"/>
  <c r="P685" i="23"/>
  <c r="H684" i="23" l="1"/>
  <c r="I684" i="23" s="1"/>
  <c r="AB686" i="23"/>
  <c r="Q686" i="23"/>
  <c r="Z685" i="23"/>
  <c r="B685" i="23" l="1"/>
  <c r="D685" i="23"/>
  <c r="E685" i="23" s="1"/>
  <c r="AA685" i="23"/>
  <c r="T685" i="23"/>
  <c r="J685" i="23" l="1"/>
  <c r="L685" i="23"/>
  <c r="M685" i="23" s="1"/>
  <c r="C686" i="23"/>
  <c r="N686" i="23"/>
  <c r="V685" i="23"/>
  <c r="W685" i="23" s="1"/>
  <c r="Y685" i="23"/>
  <c r="F685" i="23" l="1"/>
  <c r="R686" i="23"/>
  <c r="S686" i="23" s="1"/>
  <c r="P686" i="23"/>
  <c r="K685" i="23" l="1"/>
  <c r="H685" i="23"/>
  <c r="I685" i="23" s="1"/>
  <c r="AB687" i="23"/>
  <c r="Q687" i="23"/>
  <c r="Z686" i="23"/>
  <c r="AA686" i="23" s="1"/>
  <c r="D686" i="23" l="1"/>
  <c r="E686" i="23" s="1"/>
  <c r="B686" i="23"/>
  <c r="T686" i="23"/>
  <c r="V686" i="23" s="1"/>
  <c r="W686" i="23" s="1"/>
  <c r="Y686" i="23" l="1"/>
  <c r="C687" i="23"/>
  <c r="J686" i="23"/>
  <c r="L686" i="23"/>
  <c r="M686" i="23" s="1"/>
  <c r="N687" i="23"/>
  <c r="F686" i="23"/>
  <c r="K686" i="23" s="1"/>
  <c r="R687" i="23"/>
  <c r="S687" i="23" s="1"/>
  <c r="P687" i="23"/>
  <c r="H686" i="23" l="1"/>
  <c r="I686" i="23" s="1"/>
  <c r="AB688" i="23"/>
  <c r="Q688" i="23"/>
  <c r="Z687" i="23"/>
  <c r="B687" i="23" l="1"/>
  <c r="D687" i="23"/>
  <c r="E687" i="23" s="1"/>
  <c r="AA687" i="23"/>
  <c r="T687" i="23"/>
  <c r="J687" i="23" l="1"/>
  <c r="C688" i="23"/>
  <c r="L687" i="23"/>
  <c r="M687" i="23" s="1"/>
  <c r="N688" i="23"/>
  <c r="Y687" i="23"/>
  <c r="V687" i="23"/>
  <c r="W687" i="23" s="1"/>
  <c r="F687" i="23" l="1"/>
  <c r="R688" i="23"/>
  <c r="S688" i="23" s="1"/>
  <c r="P688" i="23"/>
  <c r="K687" i="23" l="1"/>
  <c r="H687" i="23"/>
  <c r="I687" i="23" s="1"/>
  <c r="AB689" i="23"/>
  <c r="Q689" i="23"/>
  <c r="Z688" i="23"/>
  <c r="D688" i="23" l="1"/>
  <c r="E688" i="23" s="1"/>
  <c r="B688" i="23"/>
  <c r="AA688" i="23"/>
  <c r="T688" i="23"/>
  <c r="L688" i="23" l="1"/>
  <c r="M688" i="23" s="1"/>
  <c r="C689" i="23"/>
  <c r="N689" i="23"/>
  <c r="J688" i="23"/>
  <c r="V688" i="23"/>
  <c r="W688" i="23" s="1"/>
  <c r="Y688" i="23"/>
  <c r="F688" i="23" l="1"/>
  <c r="R689" i="23"/>
  <c r="S689" i="23" s="1"/>
  <c r="P689" i="23"/>
  <c r="K688" i="23" l="1"/>
  <c r="H688" i="23"/>
  <c r="I688" i="23" s="1"/>
  <c r="Z689" i="23"/>
  <c r="AB690" i="23"/>
  <c r="Q690" i="23"/>
  <c r="B689" i="23" l="1"/>
  <c r="D689" i="23"/>
  <c r="E689" i="23" s="1"/>
  <c r="AA689" i="23"/>
  <c r="T689" i="23"/>
  <c r="J689" i="23" l="1"/>
  <c r="L689" i="23"/>
  <c r="M689" i="23" s="1"/>
  <c r="C690" i="23"/>
  <c r="N690" i="23"/>
  <c r="Y689" i="23"/>
  <c r="V689" i="23"/>
  <c r="W689" i="23" s="1"/>
  <c r="F689" i="23" l="1"/>
  <c r="R690" i="23"/>
  <c r="S690" i="23" s="1"/>
  <c r="P690" i="23"/>
  <c r="K689" i="23" l="1"/>
  <c r="H689" i="23"/>
  <c r="I689" i="23" s="1"/>
  <c r="Q691" i="23"/>
  <c r="AB691" i="23"/>
  <c r="Z690" i="23"/>
  <c r="AA690" i="23" s="1"/>
  <c r="D690" i="23" l="1"/>
  <c r="E690" i="23" s="1"/>
  <c r="B690" i="23"/>
  <c r="T690" i="23"/>
  <c r="N691" i="23" l="1"/>
  <c r="J690" i="23"/>
  <c r="L690" i="23"/>
  <c r="M690" i="23" s="1"/>
  <c r="C691" i="23"/>
  <c r="V690" i="23"/>
  <c r="W690" i="23" s="1"/>
  <c r="Y690" i="23"/>
  <c r="F690" i="23" l="1"/>
  <c r="P691" i="23"/>
  <c r="R691" i="23"/>
  <c r="S691" i="23" s="1"/>
  <c r="K690" i="23" l="1"/>
  <c r="H690" i="23"/>
  <c r="I690" i="23" s="1"/>
  <c r="Z691" i="23"/>
  <c r="AA691" i="23" s="1"/>
  <c r="AB692" i="23"/>
  <c r="Q692" i="23"/>
  <c r="T691" i="23"/>
  <c r="D691" i="23" l="1"/>
  <c r="E691" i="23" s="1"/>
  <c r="B691" i="23"/>
  <c r="Y691" i="23"/>
  <c r="V691" i="23"/>
  <c r="W691" i="23" s="1"/>
  <c r="C692" i="23" l="1"/>
  <c r="J691" i="23"/>
  <c r="N692" i="23"/>
  <c r="L691" i="23"/>
  <c r="M691" i="23" s="1"/>
  <c r="F691" i="23"/>
  <c r="K691" i="23" s="1"/>
  <c r="R692" i="23"/>
  <c r="S692" i="23" s="1"/>
  <c r="P692" i="23"/>
  <c r="H691" i="23" l="1"/>
  <c r="I691" i="23" s="1"/>
  <c r="AB693" i="23"/>
  <c r="Z692" i="23"/>
  <c r="AA692" i="23" s="1"/>
  <c r="Q693" i="23"/>
  <c r="D692" i="23" l="1"/>
  <c r="E692" i="23" s="1"/>
  <c r="B692" i="23"/>
  <c r="T692" i="23"/>
  <c r="Y692" i="23" s="1"/>
  <c r="N693" i="23" l="1"/>
  <c r="L692" i="23"/>
  <c r="M692" i="23" s="1"/>
  <c r="C693" i="23"/>
  <c r="J692" i="23"/>
  <c r="V692" i="23"/>
  <c r="W692" i="23" s="1"/>
  <c r="P693" i="23" s="1"/>
  <c r="F692" i="23" l="1"/>
  <c r="R693" i="23"/>
  <c r="S693" i="23" s="1"/>
  <c r="Z693" i="23" s="1"/>
  <c r="AA693" i="23" s="1"/>
  <c r="AB694" i="23" l="1"/>
  <c r="Q694" i="23"/>
  <c r="K692" i="23"/>
  <c r="H692" i="23"/>
  <c r="I692" i="23" s="1"/>
  <c r="T693" i="23"/>
  <c r="Y693" i="23"/>
  <c r="V693" i="23"/>
  <c r="W693" i="23" s="1"/>
  <c r="D693" i="23" l="1"/>
  <c r="E693" i="23" s="1"/>
  <c r="B693" i="23"/>
  <c r="P694" i="23"/>
  <c r="R694" i="23"/>
  <c r="S694" i="23" s="1"/>
  <c r="J693" i="23" l="1"/>
  <c r="L693" i="23"/>
  <c r="M693" i="23" s="1"/>
  <c r="N694" i="23"/>
  <c r="C694" i="23"/>
  <c r="Q695" i="23"/>
  <c r="AB695" i="23"/>
  <c r="Z694" i="23"/>
  <c r="F693" i="23" l="1"/>
  <c r="AA694" i="23"/>
  <c r="T694" i="23"/>
  <c r="K693" i="23" l="1"/>
  <c r="H693" i="23"/>
  <c r="I693" i="23" s="1"/>
  <c r="V694" i="23"/>
  <c r="W694" i="23" s="1"/>
  <c r="Y694" i="23"/>
  <c r="B694" i="23" l="1"/>
  <c r="D694" i="23"/>
  <c r="E694" i="23" s="1"/>
  <c r="R695" i="23"/>
  <c r="S695" i="23" s="1"/>
  <c r="P695" i="23"/>
  <c r="C695" i="23" l="1"/>
  <c r="J694" i="23"/>
  <c r="L694" i="23"/>
  <c r="M694" i="23" s="1"/>
  <c r="F694" i="23"/>
  <c r="K694" i="23" s="1"/>
  <c r="N695" i="23"/>
  <c r="AB696" i="23"/>
  <c r="Z695" i="23"/>
  <c r="Q696" i="23"/>
  <c r="H694" i="23" l="1"/>
  <c r="I694" i="23" s="1"/>
  <c r="AA695" i="23"/>
  <c r="T695" i="23"/>
  <c r="D695" i="23" l="1"/>
  <c r="E695" i="23" s="1"/>
  <c r="B695" i="23"/>
  <c r="V695" i="23"/>
  <c r="W695" i="23" s="1"/>
  <c r="Y695" i="23"/>
  <c r="C696" i="23" l="1"/>
  <c r="L695" i="23"/>
  <c r="M695" i="23" s="1"/>
  <c r="F695" i="23"/>
  <c r="K695" i="23" s="1"/>
  <c r="J695" i="23"/>
  <c r="N696" i="23"/>
  <c r="R696" i="23"/>
  <c r="S696" i="23" s="1"/>
  <c r="P696" i="23"/>
  <c r="H695" i="23" l="1"/>
  <c r="I695" i="23" s="1"/>
  <c r="Q697" i="23"/>
  <c r="AB697" i="23"/>
  <c r="Z696" i="23"/>
  <c r="B696" i="23" l="1"/>
  <c r="D696" i="23"/>
  <c r="E696" i="23" s="1"/>
  <c r="AA696" i="23"/>
  <c r="T696" i="23"/>
  <c r="J696" i="23" l="1"/>
  <c r="C697" i="23"/>
  <c r="L696" i="23"/>
  <c r="M696" i="23" s="1"/>
  <c r="N697" i="23"/>
  <c r="Y696" i="23"/>
  <c r="V696" i="23"/>
  <c r="W696" i="23" s="1"/>
  <c r="F696" i="23" l="1"/>
  <c r="R697" i="23"/>
  <c r="S697" i="23" s="1"/>
  <c r="P697" i="23"/>
  <c r="K696" i="23" l="1"/>
  <c r="H696" i="23"/>
  <c r="I696" i="23" s="1"/>
  <c r="Z697" i="23"/>
  <c r="AA697" i="23" s="1"/>
  <c r="Q698" i="23"/>
  <c r="AB698" i="23"/>
  <c r="D697" i="23" l="1"/>
  <c r="E697" i="23" s="1"/>
  <c r="B697" i="23"/>
  <c r="T697" i="23"/>
  <c r="Y697" i="23" s="1"/>
  <c r="V697" i="23" l="1"/>
  <c r="W697" i="23" s="1"/>
  <c r="L697" i="23"/>
  <c r="M697" i="23" s="1"/>
  <c r="C698" i="23"/>
  <c r="J697" i="23"/>
  <c r="N698" i="23"/>
  <c r="R698" i="23"/>
  <c r="S698" i="23" s="1"/>
  <c r="P698" i="23"/>
  <c r="F697" i="23" l="1"/>
  <c r="Q699" i="23"/>
  <c r="AB699" i="23"/>
  <c r="Z698" i="23"/>
  <c r="K697" i="23" l="1"/>
  <c r="H697" i="23"/>
  <c r="I697" i="23" s="1"/>
  <c r="AA698" i="23"/>
  <c r="T698" i="23"/>
  <c r="D698" i="23" l="1"/>
  <c r="E698" i="23" s="1"/>
  <c r="B698" i="23"/>
  <c r="V698" i="23"/>
  <c r="W698" i="23" s="1"/>
  <c r="Y698" i="23"/>
  <c r="N699" i="23" l="1"/>
  <c r="J698" i="23"/>
  <c r="L698" i="23"/>
  <c r="M698" i="23" s="1"/>
  <c r="C699" i="23"/>
  <c r="R699" i="23"/>
  <c r="S699" i="23" s="1"/>
  <c r="P699" i="23"/>
  <c r="F698" i="23" l="1"/>
  <c r="Q700" i="23"/>
  <c r="Z699" i="23"/>
  <c r="AB700" i="23"/>
  <c r="K698" i="23" l="1"/>
  <c r="H698" i="23"/>
  <c r="I698" i="23" s="1"/>
  <c r="T699" i="23"/>
  <c r="AA699" i="23"/>
  <c r="D699" i="23" l="1"/>
  <c r="E699" i="23" s="1"/>
  <c r="B699" i="23"/>
  <c r="V699" i="23"/>
  <c r="W699" i="23" s="1"/>
  <c r="Y699" i="23"/>
  <c r="L699" i="23" l="1"/>
  <c r="M699" i="23" s="1"/>
  <c r="C700" i="23"/>
  <c r="J699" i="23"/>
  <c r="N700" i="23"/>
  <c r="R700" i="23"/>
  <c r="S700" i="23" s="1"/>
  <c r="P700" i="23"/>
  <c r="F699" i="23" l="1"/>
  <c r="Q701" i="23"/>
  <c r="AB701" i="23"/>
  <c r="Z700" i="23"/>
  <c r="K699" i="23" l="1"/>
  <c r="H699" i="23"/>
  <c r="I699" i="23" s="1"/>
  <c r="AA700" i="23"/>
  <c r="T700" i="23"/>
  <c r="B700" i="23" l="1"/>
  <c r="D700" i="23"/>
  <c r="E700" i="23" s="1"/>
  <c r="V700" i="23"/>
  <c r="W700" i="23" s="1"/>
  <c r="Y700" i="23"/>
  <c r="N701" i="23" l="1"/>
  <c r="J700" i="23"/>
  <c r="L700" i="23"/>
  <c r="M700" i="23" s="1"/>
  <c r="C701" i="23"/>
  <c r="P701" i="23"/>
  <c r="R701" i="23"/>
  <c r="S701" i="23" s="1"/>
  <c r="F700" i="23" l="1"/>
  <c r="AB702" i="23"/>
  <c r="Q702" i="23"/>
  <c r="Z701" i="23"/>
  <c r="AA701" i="23" s="1"/>
  <c r="T701" i="23"/>
  <c r="K700" i="23" l="1"/>
  <c r="H700" i="23"/>
  <c r="I700" i="23" s="1"/>
  <c r="V701" i="23"/>
  <c r="W701" i="23" s="1"/>
  <c r="Y701" i="23"/>
  <c r="B701" i="23" l="1"/>
  <c r="D701" i="23"/>
  <c r="E701" i="23" s="1"/>
  <c r="P702" i="23"/>
  <c r="R702" i="23"/>
  <c r="S702" i="23" s="1"/>
  <c r="C702" i="23" l="1"/>
  <c r="L701" i="23"/>
  <c r="M701" i="23" s="1"/>
  <c r="F701" i="23"/>
  <c r="K701" i="23" s="1"/>
  <c r="N702" i="23"/>
  <c r="J701" i="23"/>
  <c r="AB703" i="23"/>
  <c r="Q703" i="23"/>
  <c r="Z702" i="23"/>
  <c r="H701" i="23" l="1"/>
  <c r="I701" i="23" s="1"/>
  <c r="AA702" i="23"/>
  <c r="T702" i="23"/>
  <c r="B702" i="23" l="1"/>
  <c r="D702" i="23"/>
  <c r="E702" i="23" s="1"/>
  <c r="Y702" i="23"/>
  <c r="V702" i="23"/>
  <c r="W702" i="23" s="1"/>
  <c r="N703" i="23" l="1"/>
  <c r="J702" i="23"/>
  <c r="L702" i="23"/>
  <c r="M702" i="23" s="1"/>
  <c r="C703" i="23"/>
  <c r="P703" i="23"/>
  <c r="R703" i="23"/>
  <c r="S703" i="23" s="1"/>
  <c r="F702" i="23" l="1"/>
  <c r="Q704" i="23"/>
  <c r="AB704" i="23"/>
  <c r="Z703" i="23"/>
  <c r="K702" i="23" l="1"/>
  <c r="H702" i="23"/>
  <c r="I702" i="23" s="1"/>
  <c r="AA703" i="23"/>
  <c r="T703" i="23"/>
  <c r="B703" i="23" l="1"/>
  <c r="D703" i="23"/>
  <c r="E703" i="23" s="1"/>
  <c r="Y703" i="23"/>
  <c r="V703" i="23"/>
  <c r="W703" i="23" s="1"/>
  <c r="L703" i="23" l="1"/>
  <c r="M703" i="23" s="1"/>
  <c r="C704" i="23"/>
  <c r="N704" i="23"/>
  <c r="J703" i="23"/>
  <c r="F703" i="23"/>
  <c r="K703" i="23" s="1"/>
  <c r="R704" i="23"/>
  <c r="S704" i="23" s="1"/>
  <c r="P704" i="23"/>
  <c r="H703" i="23" l="1"/>
  <c r="I703" i="23" s="1"/>
  <c r="Q705" i="23"/>
  <c r="Z704" i="23"/>
  <c r="AB705" i="23"/>
  <c r="D704" i="23" l="1"/>
  <c r="E704" i="23" s="1"/>
  <c r="B704" i="23"/>
  <c r="AA704" i="23"/>
  <c r="T704" i="23"/>
  <c r="L704" i="23" l="1"/>
  <c r="M704" i="23" s="1"/>
  <c r="C705" i="23"/>
  <c r="N705" i="23"/>
  <c r="J704" i="23"/>
  <c r="F704" i="23"/>
  <c r="K704" i="23" s="1"/>
  <c r="V704" i="23"/>
  <c r="W704" i="23" s="1"/>
  <c r="Y704" i="23"/>
  <c r="H704" i="23" l="1"/>
  <c r="I704" i="23" s="1"/>
  <c r="R705" i="23"/>
  <c r="S705" i="23" s="1"/>
  <c r="P705" i="23"/>
  <c r="B705" i="23" l="1"/>
  <c r="D705" i="23"/>
  <c r="E705" i="23" s="1"/>
  <c r="Q706" i="23"/>
  <c r="Z705" i="23"/>
  <c r="AB706" i="23"/>
  <c r="C706" i="23" l="1"/>
  <c r="L705" i="23"/>
  <c r="M705" i="23" s="1"/>
  <c r="J705" i="23"/>
  <c r="N706" i="23"/>
  <c r="T705" i="23"/>
  <c r="AA705" i="23"/>
  <c r="F705" i="23" l="1"/>
  <c r="V705" i="23"/>
  <c r="W705" i="23" s="1"/>
  <c r="Y705" i="23"/>
  <c r="K705" i="23" l="1"/>
  <c r="H705" i="23"/>
  <c r="I705" i="23" s="1"/>
  <c r="R706" i="23"/>
  <c r="S706" i="23" s="1"/>
  <c r="P706" i="23"/>
  <c r="D706" i="23" l="1"/>
  <c r="E706" i="23" s="1"/>
  <c r="B706" i="23"/>
  <c r="Z706" i="23"/>
  <c r="Q707" i="23"/>
  <c r="AB707" i="23"/>
  <c r="C707" i="23" l="1"/>
  <c r="N707" i="23"/>
  <c r="J706" i="23"/>
  <c r="L706" i="23"/>
  <c r="M706" i="23" s="1"/>
  <c r="AA706" i="23"/>
  <c r="T706" i="23"/>
  <c r="F706" i="23" l="1"/>
  <c r="V706" i="23"/>
  <c r="W706" i="23" s="1"/>
  <c r="Y706" i="23"/>
  <c r="K706" i="23" l="1"/>
  <c r="H706" i="23"/>
  <c r="I706" i="23" s="1"/>
  <c r="P707" i="23"/>
  <c r="R707" i="23"/>
  <c r="S707" i="23" s="1"/>
  <c r="B707" i="23" l="1"/>
  <c r="D707" i="23"/>
  <c r="E707" i="23" s="1"/>
  <c r="Q708" i="23"/>
  <c r="Z707" i="23"/>
  <c r="AA707" i="23" s="1"/>
  <c r="AB708" i="23"/>
  <c r="C708" i="23" l="1"/>
  <c r="L707" i="23"/>
  <c r="M707" i="23" s="1"/>
  <c r="J707" i="23"/>
  <c r="N708" i="23"/>
  <c r="T707" i="23"/>
  <c r="Y707" i="23" s="1"/>
  <c r="V707" i="23" l="1"/>
  <c r="W707" i="23" s="1"/>
  <c r="F707" i="23"/>
  <c r="P708" i="23"/>
  <c r="R708" i="23"/>
  <c r="S708" i="23" s="1"/>
  <c r="K707" i="23" l="1"/>
  <c r="H707" i="23"/>
  <c r="I707" i="23" s="1"/>
  <c r="Q709" i="23"/>
  <c r="AB709" i="23"/>
  <c r="Z708" i="23"/>
  <c r="B708" i="23" l="1"/>
  <c r="D708" i="23"/>
  <c r="E708" i="23" s="1"/>
  <c r="T708" i="23"/>
  <c r="AA708" i="23"/>
  <c r="N709" i="23" l="1"/>
  <c r="L708" i="23"/>
  <c r="M708" i="23" s="1"/>
  <c r="C709" i="23"/>
  <c r="J708" i="23"/>
  <c r="Y708" i="23"/>
  <c r="V708" i="23"/>
  <c r="W708" i="23" s="1"/>
  <c r="F708" i="23" l="1"/>
  <c r="P709" i="23"/>
  <c r="R709" i="23"/>
  <c r="S709" i="23" s="1"/>
  <c r="K708" i="23" l="1"/>
  <c r="H708" i="23"/>
  <c r="I708" i="23" s="1"/>
  <c r="AB710" i="23"/>
  <c r="Z709" i="23"/>
  <c r="Q710" i="23"/>
  <c r="B709" i="23" l="1"/>
  <c r="D709" i="23"/>
  <c r="E709" i="23" s="1"/>
  <c r="T709" i="23"/>
  <c r="AA709" i="23"/>
  <c r="C710" i="23" l="1"/>
  <c r="J709" i="23"/>
  <c r="N710" i="23"/>
  <c r="F709" i="23"/>
  <c r="K709" i="23" s="1"/>
  <c r="L709" i="23"/>
  <c r="M709" i="23" s="1"/>
  <c r="V709" i="23"/>
  <c r="W709" i="23" s="1"/>
  <c r="Y709" i="23"/>
  <c r="H709" i="23" l="1"/>
  <c r="I709" i="23" s="1"/>
  <c r="P710" i="23"/>
  <c r="R710" i="23"/>
  <c r="S710" i="23" s="1"/>
  <c r="B710" i="23" l="1"/>
  <c r="D710" i="23"/>
  <c r="E710" i="23" s="1"/>
  <c r="Z710" i="23"/>
  <c r="AB711" i="23"/>
  <c r="Q711" i="23"/>
  <c r="C711" i="23" l="1"/>
  <c r="N711" i="23"/>
  <c r="L710" i="23"/>
  <c r="M710" i="23" s="1"/>
  <c r="F710" i="23"/>
  <c r="K710" i="23" s="1"/>
  <c r="J710" i="23"/>
  <c r="T710" i="23"/>
  <c r="AA710" i="23"/>
  <c r="H710" i="23" l="1"/>
  <c r="I710" i="23" s="1"/>
  <c r="V710" i="23"/>
  <c r="W710" i="23" s="1"/>
  <c r="Y710" i="23"/>
  <c r="D711" i="23" l="1"/>
  <c r="E711" i="23" s="1"/>
  <c r="B711" i="23"/>
  <c r="P711" i="23"/>
  <c r="R711" i="23"/>
  <c r="S711" i="23" s="1"/>
  <c r="J711" i="23" l="1"/>
  <c r="N712" i="23"/>
  <c r="L711" i="23"/>
  <c r="M711" i="23" s="1"/>
  <c r="C712" i="23"/>
  <c r="Z711" i="23"/>
  <c r="Q712" i="23"/>
  <c r="AB712" i="23"/>
  <c r="F711" i="23" l="1"/>
  <c r="AA711" i="23"/>
  <c r="T711" i="23"/>
  <c r="K711" i="23" l="1"/>
  <c r="H711" i="23"/>
  <c r="I711" i="23" s="1"/>
  <c r="Y711" i="23"/>
  <c r="V711" i="23"/>
  <c r="W711" i="23" s="1"/>
  <c r="B712" i="23" l="1"/>
  <c r="D712" i="23"/>
  <c r="E712" i="23" s="1"/>
  <c r="P712" i="23"/>
  <c r="R712" i="23"/>
  <c r="S712" i="23" s="1"/>
  <c r="L712" i="23" l="1"/>
  <c r="M712" i="23" s="1"/>
  <c r="J712" i="23"/>
  <c r="C713" i="23"/>
  <c r="N713" i="23"/>
  <c r="F712" i="23"/>
  <c r="K712" i="23" s="1"/>
  <c r="AB713" i="23"/>
  <c r="Q713" i="23"/>
  <c r="Z712" i="23"/>
  <c r="AA712" i="23" s="1"/>
  <c r="T712" i="23" l="1"/>
  <c r="H712" i="23"/>
  <c r="I712" i="23" s="1"/>
  <c r="V712" i="23"/>
  <c r="W712" i="23" s="1"/>
  <c r="Y712" i="23"/>
  <c r="D713" i="23" l="1"/>
  <c r="E713" i="23" s="1"/>
  <c r="B713" i="23"/>
  <c r="R713" i="23"/>
  <c r="S713" i="23" s="1"/>
  <c r="P713" i="23"/>
  <c r="J713" i="23" l="1"/>
  <c r="C714" i="23"/>
  <c r="F713" i="23"/>
  <c r="K713" i="23" s="1"/>
  <c r="L713" i="23"/>
  <c r="M713" i="23" s="1"/>
  <c r="N714" i="23"/>
  <c r="Z713" i="23"/>
  <c r="Q714" i="23"/>
  <c r="AB714" i="23"/>
  <c r="H713" i="23" l="1"/>
  <c r="I713" i="23" s="1"/>
  <c r="AA713" i="23"/>
  <c r="T713" i="23"/>
  <c r="B714" i="23" l="1"/>
  <c r="D714" i="23"/>
  <c r="E714" i="23" s="1"/>
  <c r="V713" i="23"/>
  <c r="W713" i="23" s="1"/>
  <c r="Y713" i="23"/>
  <c r="C715" i="23" l="1"/>
  <c r="N715" i="23"/>
  <c r="L714" i="23"/>
  <c r="M714" i="23" s="1"/>
  <c r="J714" i="23"/>
  <c r="P714" i="23"/>
  <c r="R714" i="23"/>
  <c r="S714" i="23" s="1"/>
  <c r="F714" i="23" l="1"/>
  <c r="Q715" i="23"/>
  <c r="AB715" i="23"/>
  <c r="Z714" i="23"/>
  <c r="K714" i="23" l="1"/>
  <c r="H714" i="23"/>
  <c r="I714" i="23" s="1"/>
  <c r="AA714" i="23"/>
  <c r="T714" i="23"/>
  <c r="D715" i="23" l="1"/>
  <c r="E715" i="23" s="1"/>
  <c r="B715" i="23"/>
  <c r="Y714" i="23"/>
  <c r="V714" i="23"/>
  <c r="W714" i="23" s="1"/>
  <c r="N716" i="23" l="1"/>
  <c r="C716" i="23"/>
  <c r="L715" i="23"/>
  <c r="M715" i="23" s="1"/>
  <c r="J715" i="23"/>
  <c r="P715" i="23"/>
  <c r="R715" i="23"/>
  <c r="S715" i="23" s="1"/>
  <c r="F715" i="23" l="1"/>
  <c r="AB716" i="23"/>
  <c r="Q716" i="23"/>
  <c r="Z715" i="23"/>
  <c r="K715" i="23" l="1"/>
  <c r="H715" i="23"/>
  <c r="I715" i="23" s="1"/>
  <c r="AA715" i="23"/>
  <c r="T715" i="23"/>
  <c r="D716" i="23" l="1"/>
  <c r="E716" i="23" s="1"/>
  <c r="B716" i="23"/>
  <c r="V715" i="23"/>
  <c r="W715" i="23" s="1"/>
  <c r="Y715" i="23"/>
  <c r="L716" i="23" l="1"/>
  <c r="M716" i="23" s="1"/>
  <c r="C717" i="23"/>
  <c r="J716" i="23"/>
  <c r="N717" i="23"/>
  <c r="F716" i="23"/>
  <c r="K716" i="23" s="1"/>
  <c r="R716" i="23"/>
  <c r="S716" i="23" s="1"/>
  <c r="P716" i="23"/>
  <c r="H716" i="23" l="1"/>
  <c r="I716" i="23" s="1"/>
  <c r="Z716" i="23"/>
  <c r="AB717" i="23"/>
  <c r="Q717" i="23"/>
  <c r="D717" i="23" l="1"/>
  <c r="E717" i="23" s="1"/>
  <c r="B717" i="23"/>
  <c r="AA716" i="23"/>
  <c r="T716" i="23"/>
  <c r="L717" i="23" l="1"/>
  <c r="M717" i="23" s="1"/>
  <c r="C718" i="23"/>
  <c r="J717" i="23"/>
  <c r="N718" i="23"/>
  <c r="F717" i="23"/>
  <c r="K717" i="23" s="1"/>
  <c r="V716" i="23"/>
  <c r="W716" i="23" s="1"/>
  <c r="Y716" i="23"/>
  <c r="H717" i="23" l="1"/>
  <c r="I717" i="23" s="1"/>
  <c r="R717" i="23"/>
  <c r="S717" i="23" s="1"/>
  <c r="P717" i="23"/>
  <c r="B718" i="23" l="1"/>
  <c r="D718" i="23"/>
  <c r="E718" i="23" s="1"/>
  <c r="Q718" i="23"/>
  <c r="AB718" i="23"/>
  <c r="Z717" i="23"/>
  <c r="N719" i="23" l="1"/>
  <c r="L718" i="23"/>
  <c r="M718" i="23" s="1"/>
  <c r="J718" i="23"/>
  <c r="C719" i="23"/>
  <c r="AA717" i="23"/>
  <c r="T717" i="23"/>
  <c r="F718" i="23" l="1"/>
  <c r="Y717" i="23"/>
  <c r="V717" i="23"/>
  <c r="W717" i="23" s="1"/>
  <c r="K718" i="23" l="1"/>
  <c r="H718" i="23"/>
  <c r="I718" i="23" s="1"/>
  <c r="P718" i="23"/>
  <c r="R718" i="23"/>
  <c r="S718" i="23" s="1"/>
  <c r="D719" i="23" l="1"/>
  <c r="E719" i="23" s="1"/>
  <c r="B719" i="23"/>
  <c r="AB719" i="23"/>
  <c r="Z718" i="23"/>
  <c r="Q719" i="23"/>
  <c r="J719" i="23" l="1"/>
  <c r="N720" i="23"/>
  <c r="L719" i="23"/>
  <c r="M719" i="23" s="1"/>
  <c r="C720" i="23"/>
  <c r="AA718" i="23"/>
  <c r="T718" i="23"/>
  <c r="F719" i="23" l="1"/>
  <c r="Y718" i="23"/>
  <c r="V718" i="23"/>
  <c r="W718" i="23" s="1"/>
  <c r="K719" i="23" l="1"/>
  <c r="H719" i="23"/>
  <c r="I719" i="23" s="1"/>
  <c r="P719" i="23"/>
  <c r="R719" i="23"/>
  <c r="S719" i="23" s="1"/>
  <c r="D720" i="23" l="1"/>
  <c r="E720" i="23" s="1"/>
  <c r="B720" i="23"/>
  <c r="Q720" i="23"/>
  <c r="AB720" i="23"/>
  <c r="Z719" i="23"/>
  <c r="N721" i="23" l="1"/>
  <c r="L720" i="23"/>
  <c r="M720" i="23" s="1"/>
  <c r="J720" i="23"/>
  <c r="C721" i="23"/>
  <c r="AA719" i="23"/>
  <c r="T719" i="23"/>
  <c r="F720" i="23" l="1"/>
  <c r="V719" i="23"/>
  <c r="W719" i="23" s="1"/>
  <c r="Y719" i="23"/>
  <c r="K720" i="23" l="1"/>
  <c r="H720" i="23"/>
  <c r="I720" i="23" s="1"/>
  <c r="R720" i="23"/>
  <c r="S720" i="23" s="1"/>
  <c r="P720" i="23"/>
  <c r="B721" i="23" l="1"/>
  <c r="D721" i="23"/>
  <c r="E721" i="23" s="1"/>
  <c r="Q721" i="23"/>
  <c r="Z720" i="23"/>
  <c r="AB721" i="23"/>
  <c r="J721" i="23" l="1"/>
  <c r="L721" i="23"/>
  <c r="M721" i="23" s="1"/>
  <c r="C722" i="23"/>
  <c r="N722" i="23"/>
  <c r="AA720" i="23"/>
  <c r="T720" i="23"/>
  <c r="F721" i="23" l="1"/>
  <c r="Y720" i="23"/>
  <c r="V720" i="23"/>
  <c r="W720" i="23" s="1"/>
  <c r="K721" i="23" l="1"/>
  <c r="H721" i="23"/>
  <c r="I721" i="23" s="1"/>
  <c r="R721" i="23"/>
  <c r="S721" i="23" s="1"/>
  <c r="P721" i="23"/>
  <c r="D722" i="23" l="1"/>
  <c r="E722" i="23" s="1"/>
  <c r="B722" i="23"/>
  <c r="AB722" i="23"/>
  <c r="Z721" i="23"/>
  <c r="AA721" i="23" s="1"/>
  <c r="Q722" i="23"/>
  <c r="L722" i="23" l="1"/>
  <c r="M722" i="23" s="1"/>
  <c r="N723" i="23"/>
  <c r="J722" i="23"/>
  <c r="C723" i="23"/>
  <c r="T721" i="23"/>
  <c r="F722" i="23" l="1"/>
  <c r="Y721" i="23"/>
  <c r="V721" i="23"/>
  <c r="W721" i="23" s="1"/>
  <c r="K722" i="23" l="1"/>
  <c r="H722" i="23"/>
  <c r="I722" i="23" s="1"/>
  <c r="P722" i="23"/>
  <c r="R722" i="23"/>
  <c r="S722" i="23" s="1"/>
  <c r="B723" i="23" l="1"/>
  <c r="D723" i="23"/>
  <c r="E723" i="23" s="1"/>
  <c r="Z722" i="23"/>
  <c r="AA722" i="23" s="1"/>
  <c r="AB723" i="23"/>
  <c r="Q723" i="23"/>
  <c r="J723" i="23" l="1"/>
  <c r="L723" i="23"/>
  <c r="M723" i="23" s="1"/>
  <c r="N724" i="23"/>
  <c r="C724" i="23"/>
  <c r="F723" i="23"/>
  <c r="K723" i="23" s="1"/>
  <c r="T722" i="23"/>
  <c r="Y722" i="23" s="1"/>
  <c r="V722" i="23"/>
  <c r="W722" i="23" s="1"/>
  <c r="H723" i="23" l="1"/>
  <c r="I723" i="23" s="1"/>
  <c r="P723" i="23"/>
  <c r="R723" i="23"/>
  <c r="S723" i="23" s="1"/>
  <c r="D724" i="23" l="1"/>
  <c r="E724" i="23" s="1"/>
  <c r="B724" i="23"/>
  <c r="AB724" i="23"/>
  <c r="Z723" i="23"/>
  <c r="Q724" i="23"/>
  <c r="C725" i="23" l="1"/>
  <c r="N725" i="23"/>
  <c r="J724" i="23"/>
  <c r="L724" i="23"/>
  <c r="M724" i="23" s="1"/>
  <c r="AA723" i="23"/>
  <c r="T723" i="23"/>
  <c r="F724" i="23" l="1"/>
  <c r="V723" i="23"/>
  <c r="W723" i="23" s="1"/>
  <c r="Y723" i="23"/>
  <c r="K724" i="23" l="1"/>
  <c r="H724" i="23"/>
  <c r="I724" i="23" s="1"/>
  <c r="P724" i="23"/>
  <c r="R724" i="23"/>
  <c r="S724" i="23" s="1"/>
  <c r="B725" i="23" l="1"/>
  <c r="D725" i="23"/>
  <c r="E725" i="23" s="1"/>
  <c r="Z724" i="23"/>
  <c r="AA724" i="23" s="1"/>
  <c r="Q725" i="23"/>
  <c r="AB725" i="23"/>
  <c r="L725" i="23" l="1"/>
  <c r="M725" i="23" s="1"/>
  <c r="C726" i="23"/>
  <c r="J725" i="23"/>
  <c r="N726" i="23"/>
  <c r="F725" i="23"/>
  <c r="K725" i="23" s="1"/>
  <c r="T724" i="23"/>
  <c r="Y724" i="23" s="1"/>
  <c r="V724" i="23" l="1"/>
  <c r="W724" i="23" s="1"/>
  <c r="H725" i="23"/>
  <c r="I725" i="23" s="1"/>
  <c r="R725" i="23"/>
  <c r="S725" i="23" s="1"/>
  <c r="P725" i="23"/>
  <c r="D726" i="23" l="1"/>
  <c r="E726" i="23" s="1"/>
  <c r="B726" i="23"/>
  <c r="Q726" i="23"/>
  <c r="AB726" i="23"/>
  <c r="Z725" i="23"/>
  <c r="N727" i="23" l="1"/>
  <c r="J726" i="23"/>
  <c r="L726" i="23"/>
  <c r="M726" i="23" s="1"/>
  <c r="C727" i="23"/>
  <c r="T725" i="23"/>
  <c r="AA725" i="23"/>
  <c r="F726" i="23" l="1"/>
  <c r="Y725" i="23"/>
  <c r="V725" i="23"/>
  <c r="W725" i="23" s="1"/>
  <c r="K726" i="23" l="1"/>
  <c r="H726" i="23"/>
  <c r="I726" i="23" s="1"/>
  <c r="P726" i="23"/>
  <c r="R726" i="23"/>
  <c r="S726" i="23" s="1"/>
  <c r="D727" i="23" l="1"/>
  <c r="E727" i="23" s="1"/>
  <c r="B727" i="23"/>
  <c r="AB727" i="23"/>
  <c r="Z726" i="23"/>
  <c r="Q727" i="23"/>
  <c r="C728" i="23" l="1"/>
  <c r="N728" i="23"/>
  <c r="L727" i="23"/>
  <c r="M727" i="23" s="1"/>
  <c r="J727" i="23"/>
  <c r="AA726" i="23"/>
  <c r="T726" i="23"/>
  <c r="F727" i="23" l="1"/>
  <c r="Y726" i="23"/>
  <c r="V726" i="23"/>
  <c r="W726" i="23" s="1"/>
  <c r="K727" i="23" l="1"/>
  <c r="H727" i="23"/>
  <c r="I727" i="23" s="1"/>
  <c r="P727" i="23"/>
  <c r="R727" i="23"/>
  <c r="S727" i="23" s="1"/>
  <c r="B728" i="23" l="1"/>
  <c r="D728" i="23"/>
  <c r="E728" i="23" s="1"/>
  <c r="Q728" i="23"/>
  <c r="Z727" i="23"/>
  <c r="AA727" i="23" s="1"/>
  <c r="AB728" i="23"/>
  <c r="L728" i="23" l="1"/>
  <c r="M728" i="23" s="1"/>
  <c r="J728" i="23"/>
  <c r="C729" i="23"/>
  <c r="N729" i="23"/>
  <c r="F728" i="23"/>
  <c r="K728" i="23" s="1"/>
  <c r="T727" i="23"/>
  <c r="Y727" i="23"/>
  <c r="V727" i="23"/>
  <c r="W727" i="23" s="1"/>
  <c r="H728" i="23" l="1"/>
  <c r="I728" i="23" s="1"/>
  <c r="R728" i="23"/>
  <c r="S728" i="23" s="1"/>
  <c r="P728" i="23"/>
  <c r="D729" i="23" l="1"/>
  <c r="E729" i="23" s="1"/>
  <c r="B729" i="23"/>
  <c r="AB729" i="23"/>
  <c r="Z728" i="23"/>
  <c r="Q729" i="23"/>
  <c r="C730" i="23" l="1"/>
  <c r="J729" i="23"/>
  <c r="L729" i="23"/>
  <c r="M729" i="23" s="1"/>
  <c r="N730" i="23"/>
  <c r="AA728" i="23"/>
  <c r="T728" i="23"/>
  <c r="F729" i="23" l="1"/>
  <c r="V728" i="23"/>
  <c r="W728" i="23" s="1"/>
  <c r="Y728" i="23"/>
  <c r="K729" i="23" l="1"/>
  <c r="H729" i="23"/>
  <c r="I729" i="23" s="1"/>
  <c r="P729" i="23"/>
  <c r="R729" i="23"/>
  <c r="S729" i="23" s="1"/>
  <c r="B730" i="23" l="1"/>
  <c r="D730" i="23"/>
  <c r="E730" i="23" s="1"/>
  <c r="Z729" i="23"/>
  <c r="AA729" i="23" s="1"/>
  <c r="AB730" i="23"/>
  <c r="Q730" i="23"/>
  <c r="J730" i="23" l="1"/>
  <c r="L730" i="23"/>
  <c r="M730" i="23" s="1"/>
  <c r="C731" i="23"/>
  <c r="N731" i="23"/>
  <c r="F730" i="23"/>
  <c r="K730" i="23" s="1"/>
  <c r="T729" i="23"/>
  <c r="Y729" i="23" s="1"/>
  <c r="V729" i="23" l="1"/>
  <c r="W729" i="23" s="1"/>
  <c r="H730" i="23"/>
  <c r="I730" i="23" s="1"/>
  <c r="R730" i="23"/>
  <c r="S730" i="23" s="1"/>
  <c r="P730" i="23"/>
  <c r="B731" i="23" l="1"/>
  <c r="D731" i="23"/>
  <c r="E731" i="23" s="1"/>
  <c r="AB731" i="23"/>
  <c r="Z730" i="23"/>
  <c r="AA730" i="23" s="1"/>
  <c r="Q731" i="23"/>
  <c r="L731" i="23" l="1"/>
  <c r="M731" i="23" s="1"/>
  <c r="J731" i="23"/>
  <c r="N732" i="23"/>
  <c r="C732" i="23"/>
  <c r="F731" i="23"/>
  <c r="K731" i="23" s="1"/>
  <c r="T730" i="23"/>
  <c r="H731" i="23" l="1"/>
  <c r="I731" i="23" s="1"/>
  <c r="Y730" i="23"/>
  <c r="V730" i="23"/>
  <c r="W730" i="23" s="1"/>
  <c r="D732" i="23" l="1"/>
  <c r="E732" i="23" s="1"/>
  <c r="B732" i="23"/>
  <c r="P731" i="23"/>
  <c r="R731" i="23"/>
  <c r="S731" i="23" s="1"/>
  <c r="J732" i="23" l="1"/>
  <c r="L732" i="23"/>
  <c r="M732" i="23" s="1"/>
  <c r="N733" i="23"/>
  <c r="C733" i="23"/>
  <c r="Q732" i="23"/>
  <c r="Z731" i="23"/>
  <c r="AA731" i="23" s="1"/>
  <c r="AB732" i="23"/>
  <c r="F732" i="23" l="1"/>
  <c r="T731" i="23"/>
  <c r="Y731" i="23"/>
  <c r="V731" i="23"/>
  <c r="W731" i="23" s="1"/>
  <c r="K732" i="23" l="1"/>
  <c r="H732" i="23"/>
  <c r="I732" i="23" s="1"/>
  <c r="R732" i="23"/>
  <c r="S732" i="23" s="1"/>
  <c r="P732" i="23"/>
  <c r="D733" i="23" l="1"/>
  <c r="E733" i="23" s="1"/>
  <c r="B733" i="23"/>
  <c r="AB733" i="23"/>
  <c r="Q733" i="23"/>
  <c r="Z732" i="23"/>
  <c r="AA732" i="23" s="1"/>
  <c r="T732" i="23" l="1"/>
  <c r="J733" i="23"/>
  <c r="L733" i="23"/>
  <c r="M733" i="23" s="1"/>
  <c r="C734" i="23"/>
  <c r="N734" i="23"/>
  <c r="F733" i="23"/>
  <c r="K733" i="23" s="1"/>
  <c r="V732" i="23"/>
  <c r="W732" i="23" s="1"/>
  <c r="Y732" i="23"/>
  <c r="H733" i="23" l="1"/>
  <c r="I733" i="23" s="1"/>
  <c r="R733" i="23"/>
  <c r="S733" i="23" s="1"/>
  <c r="P733" i="23"/>
  <c r="D734" i="23" l="1"/>
  <c r="E734" i="23" s="1"/>
  <c r="B734" i="23"/>
  <c r="AB734" i="23"/>
  <c r="Q734" i="23"/>
  <c r="Z733" i="23"/>
  <c r="AA733" i="23" s="1"/>
  <c r="L734" i="23" l="1"/>
  <c r="M734" i="23" s="1"/>
  <c r="N735" i="23"/>
  <c r="C735" i="23"/>
  <c r="J734" i="23"/>
  <c r="F734" i="23"/>
  <c r="K734" i="23" s="1"/>
  <c r="T733" i="23"/>
  <c r="H734" i="23" l="1"/>
  <c r="I734" i="23" s="1"/>
  <c r="Y733" i="23"/>
  <c r="V733" i="23"/>
  <c r="W733" i="23" s="1"/>
  <c r="B735" i="23" l="1"/>
  <c r="D735" i="23"/>
  <c r="E735" i="23" s="1"/>
  <c r="P734" i="23"/>
  <c r="R734" i="23"/>
  <c r="S734" i="23" s="1"/>
  <c r="N736" i="23" l="1"/>
  <c r="C736" i="23"/>
  <c r="L735" i="23"/>
  <c r="M735" i="23" s="1"/>
  <c r="J735" i="23"/>
  <c r="AB735" i="23"/>
  <c r="Z734" i="23"/>
  <c r="Q735" i="23"/>
  <c r="F735" i="23" l="1"/>
  <c r="AA734" i="23"/>
  <c r="T734" i="23"/>
  <c r="K735" i="23" l="1"/>
  <c r="H735" i="23"/>
  <c r="I735" i="23" s="1"/>
  <c r="Y734" i="23"/>
  <c r="V734" i="23"/>
  <c r="W734" i="23" s="1"/>
  <c r="D736" i="23" l="1"/>
  <c r="E736" i="23" s="1"/>
  <c r="B736" i="23"/>
  <c r="P735" i="23"/>
  <c r="R735" i="23"/>
  <c r="S735" i="23" s="1"/>
  <c r="N737" i="23" l="1"/>
  <c r="L736" i="23"/>
  <c r="M736" i="23" s="1"/>
  <c r="C737" i="23"/>
  <c r="J736" i="23"/>
  <c r="Z735" i="23"/>
  <c r="AA735" i="23" s="1"/>
  <c r="AB736" i="23"/>
  <c r="Q736" i="23"/>
  <c r="F736" i="23" l="1"/>
  <c r="T735" i="23"/>
  <c r="Y735" i="23"/>
  <c r="V735" i="23"/>
  <c r="W735" i="23" s="1"/>
  <c r="K736" i="23" l="1"/>
  <c r="H736" i="23"/>
  <c r="I736" i="23" s="1"/>
  <c r="P736" i="23"/>
  <c r="R736" i="23"/>
  <c r="S736" i="23" s="1"/>
  <c r="D737" i="23" l="1"/>
  <c r="E737" i="23" s="1"/>
  <c r="B737" i="23"/>
  <c r="Q737" i="23"/>
  <c r="AB737" i="23"/>
  <c r="Z736" i="23"/>
  <c r="AA736" i="23" s="1"/>
  <c r="C738" i="23" l="1"/>
  <c r="L737" i="23"/>
  <c r="M737" i="23" s="1"/>
  <c r="F737" i="23"/>
  <c r="K737" i="23" s="1"/>
  <c r="J737" i="23"/>
  <c r="N738" i="23"/>
  <c r="T736" i="23"/>
  <c r="V736" i="23" s="1"/>
  <c r="W736" i="23" s="1"/>
  <c r="Y736" i="23" l="1"/>
  <c r="H737" i="23"/>
  <c r="I737" i="23" s="1"/>
  <c r="R737" i="23"/>
  <c r="S737" i="23" s="1"/>
  <c r="P737" i="23"/>
  <c r="B738" i="23" l="1"/>
  <c r="D738" i="23"/>
  <c r="E738" i="23" s="1"/>
  <c r="Z737" i="23"/>
  <c r="AB738" i="23"/>
  <c r="Q738" i="23"/>
  <c r="J738" i="23" l="1"/>
  <c r="N739" i="23"/>
  <c r="C739" i="23"/>
  <c r="L738" i="23"/>
  <c r="M738" i="23" s="1"/>
  <c r="AA737" i="23"/>
  <c r="T737" i="23"/>
  <c r="F738" i="23" l="1"/>
  <c r="Y737" i="23"/>
  <c r="V737" i="23"/>
  <c r="W737" i="23" s="1"/>
  <c r="K738" i="23" l="1"/>
  <c r="H738" i="23"/>
  <c r="I738" i="23" s="1"/>
  <c r="P738" i="23"/>
  <c r="R738" i="23"/>
  <c r="S738" i="23" s="1"/>
  <c r="D739" i="23" l="1"/>
  <c r="E739" i="23" s="1"/>
  <c r="B739" i="23"/>
  <c r="AB739" i="23"/>
  <c r="Z738" i="23"/>
  <c r="Q739" i="23"/>
  <c r="J739" i="23" l="1"/>
  <c r="C740" i="23"/>
  <c r="L739" i="23"/>
  <c r="M739" i="23" s="1"/>
  <c r="N740" i="23"/>
  <c r="AA738" i="23"/>
  <c r="T738" i="23"/>
  <c r="F739" i="23" l="1"/>
  <c r="Y738" i="23"/>
  <c r="V738" i="23"/>
  <c r="W738" i="23" s="1"/>
  <c r="K739" i="23" l="1"/>
  <c r="H739" i="23"/>
  <c r="I739" i="23" s="1"/>
  <c r="P739" i="23"/>
  <c r="R739" i="23"/>
  <c r="S739" i="23" s="1"/>
  <c r="B740" i="23" l="1"/>
  <c r="D740" i="23"/>
  <c r="E740" i="23" s="1"/>
  <c r="Q740" i="23"/>
  <c r="AB740" i="23"/>
  <c r="Z739" i="23"/>
  <c r="L740" i="23" l="1"/>
  <c r="M740" i="23" s="1"/>
  <c r="N741" i="23"/>
  <c r="C741" i="23"/>
  <c r="J740" i="23"/>
  <c r="F740" i="23"/>
  <c r="K740" i="23" s="1"/>
  <c r="AA739" i="23"/>
  <c r="T739" i="23"/>
  <c r="H740" i="23" l="1"/>
  <c r="I740" i="23" s="1"/>
  <c r="V739" i="23"/>
  <c r="W739" i="23" s="1"/>
  <c r="Y739" i="23"/>
  <c r="B741" i="23" l="1"/>
  <c r="D741" i="23"/>
  <c r="E741" i="23" s="1"/>
  <c r="R740" i="23"/>
  <c r="S740" i="23" s="1"/>
  <c r="P740" i="23"/>
  <c r="L741" i="23" l="1"/>
  <c r="M741" i="23" s="1"/>
  <c r="C742" i="23"/>
  <c r="J741" i="23"/>
  <c r="N742" i="23"/>
  <c r="F741" i="23"/>
  <c r="K741" i="23" s="1"/>
  <c r="Z740" i="23"/>
  <c r="AB741" i="23"/>
  <c r="Q741" i="23"/>
  <c r="H741" i="23" l="1"/>
  <c r="I741" i="23" s="1"/>
  <c r="AA740" i="23"/>
  <c r="T740" i="23"/>
  <c r="B742" i="23" l="1"/>
  <c r="D742" i="23"/>
  <c r="E742" i="23" s="1"/>
  <c r="Y740" i="23"/>
  <c r="V740" i="23"/>
  <c r="W740" i="23" s="1"/>
  <c r="N743" i="23" l="1"/>
  <c r="J742" i="23"/>
  <c r="C743" i="23"/>
  <c r="L742" i="23"/>
  <c r="M742" i="23" s="1"/>
  <c r="P741" i="23"/>
  <c r="R741" i="23"/>
  <c r="S741" i="23" s="1"/>
  <c r="F742" i="23" l="1"/>
  <c r="Z741" i="23"/>
  <c r="Q742" i="23"/>
  <c r="AB742" i="23"/>
  <c r="K742" i="23" l="1"/>
  <c r="H742" i="23"/>
  <c r="I742" i="23" s="1"/>
  <c r="AA741" i="23"/>
  <c r="T741" i="23"/>
  <c r="B743" i="23" l="1"/>
  <c r="D743" i="23"/>
  <c r="E743" i="23" s="1"/>
  <c r="Y741" i="23"/>
  <c r="V741" i="23"/>
  <c r="W741" i="23" s="1"/>
  <c r="C744" i="23" l="1"/>
  <c r="L743" i="23"/>
  <c r="M743" i="23" s="1"/>
  <c r="J743" i="23"/>
  <c r="N744" i="23"/>
  <c r="R742" i="23"/>
  <c r="S742" i="23" s="1"/>
  <c r="P742" i="23"/>
  <c r="F743" i="23" l="1"/>
  <c r="AB743" i="23"/>
  <c r="Z742" i="23"/>
  <c r="Q743" i="23"/>
  <c r="K743" i="23" l="1"/>
  <c r="H743" i="23"/>
  <c r="I743" i="23" s="1"/>
  <c r="AA742" i="23"/>
  <c r="T742" i="23"/>
  <c r="B744" i="23" l="1"/>
  <c r="D744" i="23"/>
  <c r="E744" i="23" s="1"/>
  <c r="Y742" i="23"/>
  <c r="V742" i="23"/>
  <c r="W742" i="23" s="1"/>
  <c r="C745" i="23" l="1"/>
  <c r="N745" i="23"/>
  <c r="L744" i="23"/>
  <c r="M744" i="23" s="1"/>
  <c r="F744" i="23"/>
  <c r="K744" i="23" s="1"/>
  <c r="J744" i="23"/>
  <c r="R743" i="23"/>
  <c r="S743" i="23" s="1"/>
  <c r="P743" i="23"/>
  <c r="H744" i="23" l="1"/>
  <c r="I744" i="23" s="1"/>
  <c r="AB744" i="23"/>
  <c r="Q744" i="23"/>
  <c r="Z743" i="23"/>
  <c r="D745" i="23" l="1"/>
  <c r="E745" i="23" s="1"/>
  <c r="B745" i="23"/>
  <c r="AA743" i="23"/>
  <c r="T743" i="23"/>
  <c r="J745" i="23" l="1"/>
  <c r="N746" i="23"/>
  <c r="C746" i="23"/>
  <c r="L745" i="23"/>
  <c r="M745" i="23" s="1"/>
  <c r="F745" i="23"/>
  <c r="K745" i="23" s="1"/>
  <c r="Y743" i="23"/>
  <c r="V743" i="23"/>
  <c r="W743" i="23" s="1"/>
  <c r="H745" i="23" l="1"/>
  <c r="I745" i="23" s="1"/>
  <c r="R744" i="23"/>
  <c r="S744" i="23" s="1"/>
  <c r="P744" i="23"/>
  <c r="D746" i="23" l="1"/>
  <c r="E746" i="23" s="1"/>
  <c r="B746" i="23"/>
  <c r="AB745" i="23"/>
  <c r="Z744" i="23"/>
  <c r="Q745" i="23"/>
  <c r="L746" i="23" l="1"/>
  <c r="M746" i="23" s="1"/>
  <c r="C747" i="23"/>
  <c r="N747" i="23"/>
  <c r="J746" i="23"/>
  <c r="F746" i="23"/>
  <c r="K746" i="23" s="1"/>
  <c r="AA744" i="23"/>
  <c r="T744" i="23"/>
  <c r="H746" i="23" l="1"/>
  <c r="I746" i="23" s="1"/>
  <c r="Y744" i="23"/>
  <c r="V744" i="23"/>
  <c r="W744" i="23" s="1"/>
  <c r="D747" i="23" l="1"/>
  <c r="E747" i="23" s="1"/>
  <c r="B747" i="23"/>
  <c r="P745" i="23"/>
  <c r="R745" i="23"/>
  <c r="S745" i="23" s="1"/>
  <c r="L747" i="23" l="1"/>
  <c r="M747" i="23" s="1"/>
  <c r="J747" i="23"/>
  <c r="C748" i="23"/>
  <c r="N748" i="23"/>
  <c r="F747" i="23"/>
  <c r="K747" i="23" s="1"/>
  <c r="Z745" i="23"/>
  <c r="AA745" i="23" s="1"/>
  <c r="AB746" i="23"/>
  <c r="Q746" i="23"/>
  <c r="T745" i="23" l="1"/>
  <c r="Y745" i="23" s="1"/>
  <c r="H747" i="23"/>
  <c r="I747" i="23" s="1"/>
  <c r="V745" i="23"/>
  <c r="W745" i="23" s="1"/>
  <c r="D748" i="23" l="1"/>
  <c r="E748" i="23" s="1"/>
  <c r="B748" i="23"/>
  <c r="R746" i="23"/>
  <c r="S746" i="23" s="1"/>
  <c r="P746" i="23"/>
  <c r="L748" i="23" l="1"/>
  <c r="M748" i="23" s="1"/>
  <c r="J748" i="23"/>
  <c r="AB747" i="23"/>
  <c r="Q747" i="23"/>
  <c r="Z746" i="23"/>
  <c r="F748" i="23" l="1"/>
  <c r="AA746" i="23"/>
  <c r="T746" i="23"/>
  <c r="K748" i="23" l="1"/>
  <c r="H748" i="23"/>
  <c r="I748" i="23" s="1"/>
  <c r="Y746" i="23"/>
  <c r="V746" i="23"/>
  <c r="W746" i="23" s="1"/>
  <c r="P747" i="23" l="1"/>
  <c r="R747" i="23"/>
  <c r="S747" i="23" s="1"/>
  <c r="AB748" i="23" l="1"/>
  <c r="Z747" i="23"/>
  <c r="AA747" i="23" s="1"/>
  <c r="Q748" i="23"/>
  <c r="T747" i="23" l="1"/>
  <c r="Y747" i="23" l="1"/>
  <c r="V747" i="23"/>
  <c r="W747" i="23" s="1"/>
  <c r="R748" i="23" l="1"/>
  <c r="S748" i="23" s="1"/>
  <c r="P748" i="23"/>
  <c r="Q749" i="23" l="1"/>
  <c r="AB749" i="23"/>
  <c r="Z748" i="23"/>
  <c r="AA748" i="23" s="1"/>
  <c r="T748" i="23" l="1"/>
  <c r="Y748" i="23" s="1"/>
  <c r="V748" i="23"/>
  <c r="W748" i="23" s="1"/>
  <c r="R749" i="23" l="1"/>
  <c r="S749" i="23" s="1"/>
  <c r="P749" i="23"/>
  <c r="Z749" i="23" l="1"/>
  <c r="Q750" i="23"/>
  <c r="AB750" i="23"/>
  <c r="AA749" i="23" l="1"/>
  <c r="T749" i="23"/>
  <c r="Y749" i="23" l="1"/>
  <c r="V749" i="23"/>
  <c r="W749" i="23" s="1"/>
  <c r="R750" i="23" l="1"/>
  <c r="S750" i="23" s="1"/>
  <c r="P750" i="23"/>
  <c r="Q751" i="23" l="1"/>
  <c r="AB751" i="23"/>
  <c r="Z750" i="23"/>
  <c r="AA750" i="23" s="1"/>
  <c r="T750" i="23" l="1"/>
  <c r="Y750" i="23" l="1"/>
  <c r="V750" i="23"/>
  <c r="W750" i="23" s="1"/>
  <c r="P751" i="23" l="1"/>
  <c r="R751" i="23"/>
  <c r="S751" i="23" s="1"/>
  <c r="Z751" i="23" l="1"/>
  <c r="AA751" i="23" s="1"/>
  <c r="AB752" i="23"/>
  <c r="Q752" i="23"/>
  <c r="T751" i="23" l="1"/>
  <c r="Y751" i="23" s="1"/>
  <c r="V751" i="23" l="1"/>
  <c r="W751" i="23" s="1"/>
  <c r="P752" i="23" s="1"/>
  <c r="R752" i="23"/>
  <c r="S752" i="23" s="1"/>
  <c r="Q753" i="23" l="1"/>
  <c r="AB753" i="23"/>
  <c r="Z752" i="23"/>
  <c r="AA752" i="23" s="1"/>
  <c r="T752" i="23" l="1"/>
  <c r="Y752" i="23" l="1"/>
  <c r="V752" i="23"/>
  <c r="W752" i="23" s="1"/>
  <c r="P753" i="23" l="1"/>
  <c r="R753" i="23"/>
  <c r="S753" i="23" s="1"/>
  <c r="Z753" i="23" l="1"/>
  <c r="AA753" i="23" s="1"/>
  <c r="Q754" i="23"/>
  <c r="AB754" i="23"/>
  <c r="T753" i="23"/>
  <c r="Y753" i="23" s="1"/>
  <c r="V753" i="23" l="1"/>
  <c r="W753" i="23" s="1"/>
  <c r="R754" i="23" l="1"/>
  <c r="S754" i="23" s="1"/>
  <c r="P754" i="23"/>
  <c r="Q755" i="23" l="1"/>
  <c r="Z754" i="23"/>
  <c r="AA754" i="23" s="1"/>
  <c r="AB755" i="23"/>
  <c r="T754" i="23"/>
  <c r="Y754" i="23" s="1"/>
  <c r="V754" i="23" l="1"/>
  <c r="W754" i="23" s="1"/>
  <c r="P755" i="23" l="1"/>
  <c r="R755" i="23"/>
  <c r="S755" i="23" s="1"/>
  <c r="Q756" i="23" l="1"/>
  <c r="AB756" i="23"/>
  <c r="Z755" i="23"/>
  <c r="AA755" i="23" s="1"/>
  <c r="T755" i="23" l="1"/>
  <c r="V755" i="23" l="1"/>
  <c r="W755" i="23" s="1"/>
  <c r="Y755" i="23"/>
  <c r="P756" i="23" l="1"/>
  <c r="R756" i="23"/>
  <c r="S756" i="23" s="1"/>
  <c r="AB757" i="23" l="1"/>
  <c r="Q757" i="23"/>
  <c r="Z756" i="23"/>
  <c r="AA756" i="23" s="1"/>
  <c r="T756" i="23" l="1"/>
  <c r="V756" i="23" s="1"/>
  <c r="W756" i="23" s="1"/>
  <c r="Y756" i="23" l="1"/>
  <c r="P757" i="23"/>
  <c r="R757" i="23"/>
  <c r="S757" i="23" s="1"/>
  <c r="Z757" i="23" l="1"/>
  <c r="AB758" i="23"/>
  <c r="Q758" i="23"/>
  <c r="AA757" i="23" l="1"/>
  <c r="T757" i="23"/>
  <c r="Y757" i="23" l="1"/>
  <c r="V757" i="23"/>
  <c r="W757" i="23" s="1"/>
  <c r="R758" i="23" l="1"/>
  <c r="S758" i="23" s="1"/>
  <c r="P758" i="23"/>
  <c r="Z758" i="23" l="1"/>
  <c r="Q759" i="23"/>
  <c r="AB759" i="23"/>
  <c r="AA758" i="23" l="1"/>
  <c r="T758" i="23"/>
  <c r="Y758" i="23" l="1"/>
  <c r="V758" i="23"/>
  <c r="W758" i="23" s="1"/>
  <c r="P759" i="23" l="1"/>
  <c r="R759" i="23"/>
  <c r="S759" i="23" s="1"/>
  <c r="Z759" i="23" l="1"/>
  <c r="AA759" i="23" s="1"/>
  <c r="AB760" i="23"/>
  <c r="Q760" i="23"/>
  <c r="T759" i="23" l="1"/>
  <c r="Y759" i="23" s="1"/>
  <c r="V759" i="23" l="1"/>
  <c r="W759" i="23" s="1"/>
  <c r="R760" i="23" s="1"/>
  <c r="S760" i="23" s="1"/>
  <c r="P760" i="23" l="1"/>
  <c r="Q761" i="23"/>
  <c r="AB761" i="23"/>
  <c r="Z760" i="23"/>
  <c r="AA760" i="23" s="1"/>
  <c r="T760" i="23" l="1"/>
  <c r="Y760" i="23" s="1"/>
  <c r="V760" i="23" l="1"/>
  <c r="W760" i="23" s="1"/>
  <c r="R761" i="23"/>
  <c r="S761" i="23" s="1"/>
  <c r="P761" i="23"/>
  <c r="Q762" i="23" l="1"/>
  <c r="AB762" i="23"/>
  <c r="Z761" i="23"/>
  <c r="AA761" i="23" l="1"/>
  <c r="T761" i="23"/>
  <c r="V761" i="23" l="1"/>
  <c r="W761" i="23" s="1"/>
  <c r="Y761" i="23"/>
  <c r="R762" i="23" l="1"/>
  <c r="S762" i="23" s="1"/>
  <c r="P762" i="23"/>
  <c r="Q763" i="23" l="1"/>
  <c r="Z762" i="23"/>
  <c r="AB763" i="23"/>
  <c r="AA762" i="23" l="1"/>
  <c r="T762" i="23"/>
  <c r="Y762" i="23" l="1"/>
  <c r="V762" i="23"/>
  <c r="W762" i="23" s="1"/>
  <c r="P763" i="23" l="1"/>
  <c r="R763" i="23"/>
  <c r="S763" i="23" s="1"/>
  <c r="Z763" i="23" l="1"/>
  <c r="AA763" i="23" s="1"/>
  <c r="AB764" i="23"/>
  <c r="Q764" i="23"/>
  <c r="T763" i="23"/>
  <c r="Y763" i="23" l="1"/>
  <c r="V763" i="23"/>
  <c r="W763" i="23" s="1"/>
  <c r="P764" i="23" l="1"/>
  <c r="R764" i="23"/>
  <c r="S764" i="23" s="1"/>
  <c r="Q765" i="23" l="1"/>
  <c r="AB765" i="23"/>
  <c r="Z764" i="23"/>
  <c r="AA764" i="23" s="1"/>
  <c r="T764" i="23" l="1"/>
  <c r="Y764" i="23" l="1"/>
  <c r="V764" i="23"/>
  <c r="W764" i="23" s="1"/>
  <c r="R765" i="23" l="1"/>
  <c r="S765" i="23" s="1"/>
  <c r="P765" i="23"/>
  <c r="AB766" i="23" l="1"/>
  <c r="Z765" i="23"/>
  <c r="AA765" i="23" s="1"/>
  <c r="Q766" i="23"/>
  <c r="T765" i="23" l="1"/>
  <c r="Y765" i="23" l="1"/>
  <c r="V765" i="23"/>
  <c r="W765" i="23" s="1"/>
  <c r="P766" i="23" l="1"/>
  <c r="R766" i="23"/>
  <c r="S766" i="23" s="1"/>
  <c r="Q767" i="23" l="1"/>
  <c r="Z766" i="23"/>
  <c r="AA766" i="23" s="1"/>
  <c r="AB767" i="23"/>
  <c r="T766" i="23"/>
  <c r="Y766" i="23" l="1"/>
  <c r="V766" i="23"/>
  <c r="W766" i="23" s="1"/>
  <c r="R767" i="23" l="1"/>
  <c r="S767" i="23" s="1"/>
  <c r="P767" i="23"/>
  <c r="AB768" i="23" l="1"/>
  <c r="Z767" i="23"/>
  <c r="AA767" i="23" s="1"/>
  <c r="Q768" i="23"/>
  <c r="T767" i="23"/>
  <c r="Y767" i="23" l="1"/>
  <c r="V767" i="23"/>
  <c r="W767" i="23" s="1"/>
  <c r="P768" i="23" l="1"/>
  <c r="R768" i="23"/>
  <c r="S768" i="23" s="1"/>
  <c r="AB769" i="23" l="1"/>
  <c r="Z768" i="23"/>
  <c r="AA768" i="23" s="1"/>
  <c r="Q769" i="23"/>
  <c r="T768" i="23" l="1"/>
  <c r="Y768" i="23" l="1"/>
  <c r="V768" i="23"/>
  <c r="W768" i="23" s="1"/>
  <c r="P769" i="23" l="1"/>
  <c r="R769" i="23"/>
  <c r="S769" i="23" s="1"/>
  <c r="Q770" i="23" l="1"/>
  <c r="Z769" i="23"/>
  <c r="AA769" i="23" s="1"/>
  <c r="AB770" i="23"/>
  <c r="T769" i="23"/>
  <c r="V769" i="23" l="1"/>
  <c r="W769" i="23" s="1"/>
  <c r="Y769" i="23"/>
  <c r="P770" i="23" l="1"/>
  <c r="R770" i="23"/>
  <c r="S770" i="23" s="1"/>
  <c r="AB771" i="23" l="1"/>
  <c r="Z770" i="23"/>
  <c r="Q771" i="23"/>
  <c r="AA770" i="23" l="1"/>
  <c r="T770" i="23"/>
  <c r="Y770" i="23" l="1"/>
  <c r="V770" i="23"/>
  <c r="W770" i="23" s="1"/>
  <c r="P771" i="23" l="1"/>
  <c r="R771" i="23"/>
  <c r="S771" i="23" s="1"/>
  <c r="AB772" i="23" l="1"/>
  <c r="Q772" i="23"/>
  <c r="Z771" i="23"/>
  <c r="AA771" i="23" s="1"/>
  <c r="T771" i="23" l="1"/>
  <c r="V771" i="23" s="1"/>
  <c r="W771" i="23" s="1"/>
  <c r="Y771" i="23" l="1"/>
  <c r="R772" i="23"/>
  <c r="S772" i="23" s="1"/>
  <c r="P772" i="23"/>
  <c r="Q773" i="23" l="1"/>
  <c r="Z772" i="23"/>
  <c r="AA772" i="23" s="1"/>
  <c r="AB773" i="23"/>
  <c r="T772" i="23" l="1"/>
  <c r="Y772" i="23" l="1"/>
  <c r="V772" i="23"/>
  <c r="W772" i="23" s="1"/>
  <c r="P773" i="23" l="1"/>
  <c r="R773" i="23"/>
  <c r="S773" i="23" s="1"/>
  <c r="Q774" i="23" l="1"/>
  <c r="Z773" i="23"/>
  <c r="AA773" i="23" s="1"/>
  <c r="AB774" i="23"/>
  <c r="T773" i="23"/>
  <c r="Y773" i="23" s="1"/>
  <c r="V773" i="23" l="1"/>
  <c r="W773" i="23" s="1"/>
  <c r="R774" i="23" s="1"/>
  <c r="S774" i="23" s="1"/>
  <c r="P774" i="23" l="1"/>
  <c r="Q775" i="23"/>
  <c r="AB775" i="23"/>
  <c r="Z774" i="23"/>
  <c r="AA774" i="23" s="1"/>
  <c r="T774" i="23" l="1"/>
  <c r="Y774" i="23" l="1"/>
  <c r="V774" i="23"/>
  <c r="W774" i="23" s="1"/>
  <c r="R775" i="23" l="1"/>
  <c r="S775" i="23" s="1"/>
  <c r="P775" i="23"/>
  <c r="Q776" i="23" l="1"/>
  <c r="Z775" i="23"/>
  <c r="AA775" i="23" s="1"/>
  <c r="AB776" i="23"/>
  <c r="T775" i="23"/>
  <c r="V775" i="23" l="1"/>
  <c r="W775" i="23" s="1"/>
  <c r="Y775" i="23"/>
  <c r="P776" i="23" l="1"/>
  <c r="R776" i="23"/>
  <c r="S776" i="23" s="1"/>
  <c r="AB777" i="23" l="1"/>
  <c r="Z776" i="23"/>
  <c r="AA776" i="23" s="1"/>
  <c r="Q777" i="23"/>
  <c r="T776" i="23" l="1"/>
  <c r="Y776" i="23" s="1"/>
  <c r="V776" i="23" l="1"/>
  <c r="W776" i="23" s="1"/>
  <c r="P777" i="23" s="1"/>
  <c r="R777" i="23"/>
  <c r="S777" i="23" s="1"/>
  <c r="Z777" i="23" l="1"/>
  <c r="Q778" i="23"/>
  <c r="AB778" i="23"/>
  <c r="AA777" i="23" l="1"/>
  <c r="T777" i="23"/>
  <c r="Y777" i="23" l="1"/>
  <c r="V777" i="23"/>
  <c r="W777" i="23" s="1"/>
  <c r="R778" i="23" l="1"/>
  <c r="S778" i="23" s="1"/>
  <c r="P778" i="23"/>
  <c r="Q779" i="23" l="1"/>
  <c r="AB779" i="23"/>
  <c r="Z778" i="23"/>
  <c r="AA778" i="23" s="1"/>
  <c r="T778" i="23" l="1"/>
  <c r="Y778" i="23" l="1"/>
  <c r="V778" i="23"/>
  <c r="W778" i="23" s="1"/>
  <c r="R779" i="23" l="1"/>
  <c r="S779" i="23" s="1"/>
  <c r="P779" i="23"/>
  <c r="AB780" i="23" l="1"/>
  <c r="Q780" i="23"/>
  <c r="Z779" i="23"/>
  <c r="AA779" i="23" s="1"/>
  <c r="T779" i="23" l="1"/>
  <c r="Y779" i="23" s="1"/>
  <c r="V779" i="23" l="1"/>
  <c r="W779" i="23" s="1"/>
  <c r="P780" i="23"/>
  <c r="R780" i="23"/>
  <c r="S780" i="23" s="1"/>
  <c r="Z780" i="23" l="1"/>
  <c r="AA780" i="23" s="1"/>
  <c r="Q781" i="23"/>
  <c r="AB781" i="23"/>
  <c r="T780" i="23" l="1"/>
  <c r="V780" i="23" s="1"/>
  <c r="W780" i="23" s="1"/>
  <c r="Y780" i="23" l="1"/>
  <c r="P781" i="23"/>
  <c r="R781" i="23"/>
  <c r="S781" i="23" s="1"/>
  <c r="AB782" i="23" l="1"/>
  <c r="Z781" i="23"/>
  <c r="AA781" i="23" s="1"/>
  <c r="Q782" i="23"/>
  <c r="T781" i="23" l="1"/>
  <c r="Y781" i="23" l="1"/>
  <c r="V781" i="23"/>
  <c r="W781" i="23" s="1"/>
  <c r="R782" i="23" l="1"/>
  <c r="S782" i="23" s="1"/>
  <c r="P782" i="23"/>
  <c r="Z782" i="23" l="1"/>
  <c r="AA782" i="23" s="1"/>
  <c r="Q783" i="23"/>
  <c r="AB783" i="23"/>
  <c r="T782" i="23"/>
  <c r="V782" i="23" l="1"/>
  <c r="W782" i="23" s="1"/>
  <c r="Y782" i="23"/>
  <c r="P783" i="23" l="1"/>
  <c r="R783" i="23"/>
  <c r="S783" i="23" s="1"/>
  <c r="AB784" i="23" l="1"/>
  <c r="Q784" i="23"/>
  <c r="Z783" i="23"/>
  <c r="AA783" i="23" s="1"/>
  <c r="T783" i="23" l="1"/>
  <c r="V783" i="23" l="1"/>
  <c r="W783" i="23" s="1"/>
  <c r="Y783" i="23"/>
  <c r="P784" i="23" l="1"/>
  <c r="R784" i="23"/>
  <c r="S784" i="23" s="1"/>
  <c r="Q785" i="23" l="1"/>
  <c r="AB785" i="23"/>
  <c r="Z784" i="23"/>
  <c r="AA784" i="23" s="1"/>
  <c r="T784" i="23"/>
  <c r="Y784" i="23" l="1"/>
  <c r="V784" i="23"/>
  <c r="W784" i="23" s="1"/>
  <c r="P785" i="23" l="1"/>
  <c r="R785" i="23"/>
  <c r="S785" i="23" s="1"/>
  <c r="Z785" i="23" l="1"/>
  <c r="AA785" i="23" s="1"/>
  <c r="T785" i="23"/>
  <c r="Y785" i="23" l="1"/>
  <c r="V785" i="23"/>
  <c r="W785"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Morgan</author>
  </authors>
  <commentList>
    <comment ref="B4" authorId="0" shapeId="0" xr:uid="{1AF3BC1C-AD6D-4F94-B4B6-51CF9A8EEFF9}">
      <text>
        <r>
          <rPr>
            <sz val="9"/>
            <color indexed="81"/>
            <rFont val="Tahoma"/>
            <family val="2"/>
          </rPr>
          <t>Manual headworks are not recommended, consider automatic filter and field flush models.</t>
        </r>
      </text>
    </comment>
    <comment ref="B5" authorId="0" shapeId="0" xr:uid="{CE359363-D981-4D1C-A953-E8736D5A0454}">
      <text>
        <r>
          <rPr>
            <sz val="9"/>
            <color indexed="81"/>
            <rFont val="Tahoma"/>
            <family val="2"/>
          </rPr>
          <t>Minimum recommended flow for the 4400 and 4600 series valves is 6 gpm, the maximum flow for the 4400 is 40 gpm and 30 gpm for the 4600.  The minimum recommended pressure for both series is 25 psi and the maximum is 75 psi, pressure is to be measured at the inlet to the valve.
.
Minimum recommended flow for the 6400 and 6600 series valves is 6 gpm, the maximum flow for both is 100 gpm.  The minimum recommended pressure for both series is 25 psi and the maximum is 150 psi, pressure is to be measured at the inlet to the valve.</t>
        </r>
      </text>
    </comment>
    <comment ref="B6" authorId="0" shapeId="0" xr:uid="{5888C8FE-F089-4776-96C8-7FE057A5373D}">
      <text>
        <r>
          <rPr>
            <sz val="9"/>
            <color indexed="81"/>
            <rFont val="Tahoma"/>
            <family val="2"/>
          </rPr>
          <t>As measured at the distal end of the drip tube.</t>
        </r>
      </text>
    </comment>
    <comment ref="B7" authorId="0" shapeId="0" xr:uid="{AC96F40B-176F-4015-A5C3-7CB4375057E5}">
      <text>
        <r>
          <rPr>
            <sz val="9"/>
            <color indexed="81"/>
            <rFont val="Tahoma"/>
            <family val="2"/>
          </rPr>
          <t>Maximum recommended inlet pressure is 60 psi.</t>
        </r>
      </text>
    </comment>
    <comment ref="B8" authorId="0" shapeId="0" xr:uid="{B4BCDFA9-4AC6-40C7-A1F6-3B03B044F616}">
      <text>
        <r>
          <rPr>
            <sz val="9"/>
            <color indexed="81"/>
            <rFont val="Tahoma"/>
            <family val="2"/>
          </rPr>
          <t>Minimum recommended pressure at the distal end of the drip tube is 20 psi.</t>
        </r>
      </text>
    </comment>
    <comment ref="B9" authorId="0" shapeId="0" xr:uid="{6CA84D56-5E58-430F-9CF7-97DD5BCFF1CE}">
      <text>
        <r>
          <rPr>
            <sz val="9"/>
            <color indexed="81"/>
            <rFont val="Tahoma"/>
            <family val="2"/>
          </rPr>
          <t>This calculator assumes that the deviation between the longest and shortest lateral does not exceed 10%.  If your deviation does exceed 10% call Geoflow for assistance, 800-828-3388.</t>
        </r>
      </text>
    </comment>
    <comment ref="B10" authorId="0" shapeId="0" xr:uid="{56928192-871C-4536-A27A-BB37C4459AE4}">
      <text>
        <r>
          <rPr>
            <sz val="9"/>
            <color indexed="81"/>
            <rFont val="Tahoma"/>
            <family val="2"/>
          </rPr>
          <t>The number of laterals connected to the supply and return manifold in a zone.</t>
        </r>
      </text>
    </comment>
    <comment ref="B11" authorId="0" shapeId="0" xr:uid="{EBCCE611-5033-4FC9-87BA-BA4441B028D8}">
      <text>
        <r>
          <rPr>
            <sz val="9"/>
            <color indexed="81"/>
            <rFont val="Tahoma"/>
            <family val="2"/>
          </rPr>
          <t>This refers to an individual zone.</t>
        </r>
      </text>
    </comment>
    <comment ref="A14" authorId="0" shapeId="0" xr:uid="{3F2E3E55-16EB-4C61-9938-AB7D0BAC7704}">
      <text>
        <r>
          <rPr>
            <sz val="9"/>
            <color indexed="81"/>
            <rFont val="Tahoma"/>
            <family val="2"/>
          </rPr>
          <t xml:space="preserve">See numbered notes below table.
</t>
        </r>
      </text>
    </comment>
    <comment ref="B14" authorId="0" shapeId="0" xr:uid="{8AEA3BCF-0341-4614-B8A9-799716FA530E}">
      <text>
        <r>
          <rPr>
            <sz val="9"/>
            <color indexed="81"/>
            <rFont val="Tahoma"/>
            <family val="2"/>
          </rPr>
          <t>Select from the dropwon menu.</t>
        </r>
      </text>
    </comment>
    <comment ref="C14" authorId="0" shapeId="0" xr:uid="{2E92D0C8-0385-4892-920A-C87EACEAD0AF}">
      <text>
        <r>
          <rPr>
            <sz val="9"/>
            <color indexed="81"/>
            <rFont val="Tahoma"/>
            <family val="2"/>
          </rPr>
          <t>Total linear feet in this section.</t>
        </r>
      </text>
    </comment>
    <comment ref="D14" authorId="0" shapeId="0" xr:uid="{18537BF2-25CB-4638-9DBB-DBA2C0EDF5DB}">
      <text>
        <r>
          <rPr>
            <sz val="9"/>
            <color indexed="81"/>
            <rFont val="Tahoma"/>
            <family val="2"/>
          </rPr>
          <t>Use the "-" sign before the number of feet if the elevation is falling and no sign if the elevation is rising.</t>
        </r>
      </text>
    </comment>
    <comment ref="B16" authorId="0" shapeId="0" xr:uid="{2836E870-DFE1-47DE-81EC-BC290E0E9E15}">
      <text>
        <r>
          <rPr>
            <sz val="9"/>
            <color indexed="81"/>
            <rFont val="Tahoma"/>
            <family val="2"/>
          </rPr>
          <t>Select from the dropwon menu.</t>
        </r>
      </text>
    </comment>
    <comment ref="C16" authorId="0" shapeId="0" xr:uid="{247AC168-E493-4E94-A238-7F27D1FF7677}">
      <text>
        <r>
          <rPr>
            <sz val="9"/>
            <color indexed="81"/>
            <rFont val="Tahoma"/>
            <family val="2"/>
          </rPr>
          <t xml:space="preserve">Total linear feet in this section.
</t>
        </r>
      </text>
    </comment>
    <comment ref="D16" authorId="0" shapeId="0" xr:uid="{B3508C38-B1B4-410E-8328-41EF65777D28}">
      <text>
        <r>
          <rPr>
            <sz val="9"/>
            <color indexed="81"/>
            <rFont val="Tahoma"/>
            <family val="2"/>
          </rPr>
          <t xml:space="preserve">Use the "-" sign before the number of feet if the elevation is falling and no sign if the elevation is rising.
</t>
        </r>
      </text>
    </comment>
    <comment ref="B18" authorId="0" shapeId="0" xr:uid="{05A0091A-C29B-46C9-BFB9-EB2959395D15}">
      <text>
        <r>
          <rPr>
            <sz val="9"/>
            <color indexed="81"/>
            <rFont val="Tahoma"/>
            <family val="2"/>
          </rPr>
          <t xml:space="preserve">Select from the dropwon menu.
</t>
        </r>
      </text>
    </comment>
    <comment ref="C18" authorId="0" shapeId="0" xr:uid="{E5C3E26C-E060-43A0-BAFF-565BB1FE1335}">
      <text>
        <r>
          <rPr>
            <sz val="9"/>
            <color indexed="81"/>
            <rFont val="Tahoma"/>
            <family val="2"/>
          </rPr>
          <t xml:space="preserve">Total linear feet in this section.
</t>
        </r>
      </text>
    </comment>
    <comment ref="D18" authorId="0" shapeId="0" xr:uid="{405E8FD3-270F-4A71-832F-8FD4F48D1183}">
      <text>
        <r>
          <rPr>
            <sz val="9"/>
            <color indexed="81"/>
            <rFont val="Tahoma"/>
            <family val="2"/>
          </rPr>
          <t xml:space="preserve">Use the "-" sign before the number of feet if the elevation is falling and no sign if the elevation is rising.
</t>
        </r>
      </text>
    </comment>
    <comment ref="B20" authorId="0" shapeId="0" xr:uid="{2D245857-E97E-4DE7-990D-65474C0B189F}">
      <text>
        <r>
          <rPr>
            <sz val="9"/>
            <color indexed="81"/>
            <rFont val="Tahoma"/>
            <family val="2"/>
          </rPr>
          <t xml:space="preserve">Select from the dropwon menu.
</t>
        </r>
      </text>
    </comment>
    <comment ref="C20" authorId="0" shapeId="0" xr:uid="{405F7A70-7FDB-4CE2-B361-CC2BFBA49287}">
      <text>
        <r>
          <rPr>
            <sz val="9"/>
            <color indexed="81"/>
            <rFont val="Tahoma"/>
            <family val="2"/>
          </rPr>
          <t xml:space="preserve">Total linear feet in this section.
</t>
        </r>
      </text>
    </comment>
    <comment ref="D20" authorId="0" shapeId="0" xr:uid="{87C42C60-9799-4882-969E-31056CF4EA13}">
      <text>
        <r>
          <rPr>
            <sz val="9"/>
            <color indexed="81"/>
            <rFont val="Tahoma"/>
            <family val="2"/>
          </rPr>
          <t xml:space="preserve">Use the "-" sign before the number of feet if the elevation is falling and no sign if the elevation is rising.
</t>
        </r>
      </text>
    </comment>
    <comment ref="B22" authorId="0" shapeId="0" xr:uid="{DEB79633-0310-4ACC-A969-50CF2B5B911B}">
      <text>
        <r>
          <rPr>
            <sz val="9"/>
            <color indexed="81"/>
            <rFont val="Tahoma"/>
            <family val="2"/>
          </rPr>
          <t xml:space="preserve">Select from the dropwon menu.
</t>
        </r>
      </text>
    </comment>
    <comment ref="C22" authorId="0" shapeId="0" xr:uid="{82C2DCB4-62E5-4AEF-9E72-E0C7628AFBE5}">
      <text>
        <r>
          <rPr>
            <sz val="9"/>
            <color indexed="81"/>
            <rFont val="Tahoma"/>
            <family val="2"/>
          </rPr>
          <t xml:space="preserve">Total linear feet in this section.
</t>
        </r>
      </text>
    </comment>
    <comment ref="D22" authorId="0" shapeId="0" xr:uid="{861A4B33-FF63-4880-A126-64A01E453375}">
      <text>
        <r>
          <rPr>
            <sz val="9"/>
            <color indexed="81"/>
            <rFont val="Tahoma"/>
            <family val="2"/>
          </rPr>
          <t xml:space="preserve">Use the "-" sign before the number of feet if the elevation is falling and no sign if the elevation is rising.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 Morgan</author>
  </authors>
  <commentList>
    <comment ref="A5" authorId="0" shapeId="0" xr:uid="{F43C3981-A9BD-4258-8850-98B76697D300}">
      <text>
        <r>
          <rPr>
            <sz val="9"/>
            <color indexed="81"/>
            <rFont val="Tahoma"/>
            <family val="2"/>
          </rPr>
          <t>150 is the value most commonly used for PVC pipe and is the value used in this calculator.  You can insert a different number if desired and the calculator will use that value instead.</t>
        </r>
      </text>
    </comment>
    <comment ref="E5" authorId="0" shapeId="0" xr:uid="{A12C2534-AD5F-43BF-A9F3-0FA2C91462FB}">
      <text>
        <r>
          <rPr>
            <sz val="9"/>
            <color indexed="81"/>
            <rFont val="Tahoma"/>
            <family val="2"/>
          </rPr>
          <t xml:space="preserve">This is based on the value that has been input earlier
</t>
        </r>
      </text>
    </comment>
    <comment ref="A6" authorId="0" shapeId="0" xr:uid="{554F82F8-FE75-4A5F-A142-01DE505C9676}">
      <text>
        <r>
          <rPr>
            <sz val="9"/>
            <color indexed="81"/>
            <rFont val="Tahoma"/>
            <family val="2"/>
          </rPr>
          <t xml:space="preserve">You may insert any value.
</t>
        </r>
      </text>
    </comment>
    <comment ref="E6" authorId="0" shapeId="0" xr:uid="{7ADD18DE-761E-42BD-AC53-91DE155737AD}">
      <text>
        <r>
          <rPr>
            <sz val="9"/>
            <color indexed="81"/>
            <rFont val="Tahoma"/>
            <family val="2"/>
          </rPr>
          <t>This is based on the value that has been input earlier</t>
        </r>
      </text>
    </comment>
    <comment ref="A7" authorId="0" shapeId="0" xr:uid="{D15CC20E-64A4-4A2E-A893-EFEDA56DE194}">
      <text>
        <r>
          <rPr>
            <sz val="9"/>
            <color indexed="81"/>
            <rFont val="Tahoma"/>
            <family val="2"/>
          </rPr>
          <t xml:space="preserve">Linear feet of section in question.
</t>
        </r>
      </text>
    </comment>
    <comment ref="E7" authorId="0" shapeId="0" xr:uid="{5B0E3507-9EA8-4464-BFB4-A85E303F1B27}">
      <text>
        <r>
          <rPr>
            <sz val="9"/>
            <color indexed="81"/>
            <rFont val="Tahoma"/>
            <family val="2"/>
          </rPr>
          <t xml:space="preserve">This is based on the value that has been input earlier
</t>
        </r>
      </text>
    </comment>
  </commentList>
</comments>
</file>

<file path=xl/sharedStrings.xml><?xml version="1.0" encoding="utf-8"?>
<sst xmlns="http://schemas.openxmlformats.org/spreadsheetml/2006/main" count="2539" uniqueCount="312">
  <si>
    <t>Supply</t>
  </si>
  <si>
    <t>Return</t>
  </si>
  <si>
    <t>Flushing</t>
  </si>
  <si>
    <t>Disposal</t>
  </si>
  <si>
    <t>Size</t>
  </si>
  <si>
    <t>GPM</t>
  </si>
  <si>
    <t>Single Section/Same Flow</t>
  </si>
  <si>
    <t>= C</t>
  </si>
  <si>
    <t>= Q (GPM)</t>
  </si>
  <si>
    <t>= Total Line length, feet</t>
  </si>
  <si>
    <t>1/2"</t>
  </si>
  <si>
    <t>3/4"</t>
  </si>
  <si>
    <t>1"</t>
  </si>
  <si>
    <t>1 1/4"</t>
  </si>
  <si>
    <t>1 1/2"</t>
  </si>
  <si>
    <t>2"</t>
  </si>
  <si>
    <t>2 1/2"</t>
  </si>
  <si>
    <t>3"</t>
  </si>
  <si>
    <t>4"</t>
  </si>
  <si>
    <t>6"</t>
  </si>
  <si>
    <t>OD</t>
  </si>
  <si>
    <t>ID</t>
  </si>
  <si>
    <t>Wall Thk</t>
  </si>
  <si>
    <t>Velocity FPS</t>
  </si>
  <si>
    <t>PSI Loss</t>
  </si>
  <si>
    <t>Total</t>
  </si>
  <si>
    <t>% Loss</t>
  </si>
  <si>
    <t>Gallons Per Section</t>
  </si>
  <si>
    <t>5"</t>
  </si>
  <si>
    <t>8"</t>
  </si>
  <si>
    <t>10"</t>
  </si>
  <si>
    <t>12"</t>
  </si>
  <si>
    <t>Q =</t>
  </si>
  <si>
    <t>Volume in gallons per minute</t>
  </si>
  <si>
    <t>V =</t>
  </si>
  <si>
    <t>Velocity in feet per second</t>
  </si>
  <si>
    <t>US gallons</t>
  </si>
  <si>
    <t>d =</t>
  </si>
  <si>
    <t>Inside diameter in inches</t>
  </si>
  <si>
    <t>r =</t>
  </si>
  <si>
    <t>Inside radius in inches</t>
  </si>
  <si>
    <t>.4085 =</t>
  </si>
  <si>
    <t>Unit conversion factor</t>
  </si>
  <si>
    <t>0.04079905 =</t>
  </si>
  <si>
    <t>16.32 =</t>
  </si>
  <si>
    <t>Gal =</t>
  </si>
  <si>
    <t>14"</t>
  </si>
  <si>
    <t>*15"</t>
  </si>
  <si>
    <t>16"</t>
  </si>
  <si>
    <t>18"</t>
  </si>
  <si>
    <t>20"</t>
  </si>
  <si>
    <t>24"</t>
  </si>
  <si>
    <t>GPM Supply Main Dosing</t>
  </si>
  <si>
    <t>GPM Supply Main Flushing</t>
  </si>
  <si>
    <t>GPM Return Main Flushing</t>
  </si>
  <si>
    <t>Tube ID
Inches</t>
  </si>
  <si>
    <t>Emitter Kd</t>
  </si>
  <si>
    <t>Emitter Spacing
Inches</t>
  </si>
  <si>
    <t>Geoflow PC</t>
  </si>
  <si>
    <t>INPUT</t>
  </si>
  <si>
    <t>Hazen-Williams C - poly</t>
  </si>
  <si>
    <t>Downstream Dosing pressure PSI</t>
  </si>
  <si>
    <t>Kd factor</t>
  </si>
  <si>
    <t>Flushing Velocity FPS</t>
  </si>
  <si>
    <t>Distal End Pressure PSI</t>
  </si>
  <si>
    <t>Emitter Flow Rate at 30 psi GPH</t>
  </si>
  <si>
    <t>Inlet Pressure PSI</t>
  </si>
  <si>
    <t>Emitter Spacing Inches</t>
  </si>
  <si>
    <t>Emitter Coeff (Cd)</t>
  </si>
  <si>
    <t>Emitter Exp (X)</t>
  </si>
  <si>
    <t>Actual Flow</t>
  </si>
  <si>
    <t>Drip Tube, Emitter &amp; Spacing</t>
  </si>
  <si>
    <t>H-W Constant</t>
  </si>
  <si>
    <t>Downstream</t>
  </si>
  <si>
    <t>Pressure</t>
  </si>
  <si>
    <t>PSI</t>
  </si>
  <si>
    <t>Flow</t>
  </si>
  <si>
    <t>Upstream</t>
  </si>
  <si>
    <t>Head Loss</t>
  </si>
  <si>
    <t>Section</t>
  </si>
  <si>
    <t>Length</t>
  </si>
  <si>
    <t>Feet</t>
  </si>
  <si>
    <t>Emitter Flow</t>
  </si>
  <si>
    <t>GPH</t>
  </si>
  <si>
    <t>Friction Loss</t>
  </si>
  <si>
    <t>Elevation Gain</t>
  </si>
  <si>
    <t>Press</t>
  </si>
  <si>
    <t>Barb loss Ft</t>
  </si>
  <si>
    <t>Barb loss in psi</t>
  </si>
  <si>
    <t>Travel time</t>
  </si>
  <si>
    <t>Emitter Spacing
Feet</t>
  </si>
  <si>
    <t>Cumulative</t>
  </si>
  <si>
    <t>Friction Loss Characteristics, PVC IPS Pipe</t>
  </si>
  <si>
    <t>acres, minimum</t>
  </si>
  <si>
    <t>usuable acres for dispersal</t>
  </si>
  <si>
    <r>
      <t>ft</t>
    </r>
    <r>
      <rPr>
        <vertAlign val="superscript"/>
        <sz val="10"/>
        <rFont val="Arial Narrow"/>
        <family val="2"/>
      </rPr>
      <t>2</t>
    </r>
    <r>
      <rPr>
        <sz val="10"/>
        <rFont val="Arial Narrow"/>
        <family val="2"/>
      </rPr>
      <t xml:space="preserve"> per dripper</t>
    </r>
  </si>
  <si>
    <t>1. Day = 24 hours</t>
  </si>
  <si>
    <t>drip tubing p/n</t>
  </si>
  <si>
    <t>Yes</t>
  </si>
  <si>
    <t>No</t>
  </si>
  <si>
    <t>Definitions:</t>
  </si>
  <si>
    <t>select number of zones</t>
  </si>
  <si>
    <t>CONTACT GEOFLOW ENGINEERING 800.828.3388</t>
  </si>
  <si>
    <r>
      <t xml:space="preserve">Directions: Fill-in applicable cells in BLACK. Answers appear in </t>
    </r>
    <r>
      <rPr>
        <b/>
        <sz val="10"/>
        <color rgb="FF9900CC"/>
        <rFont val="Arial Narrow"/>
        <family val="2"/>
      </rPr>
      <t>PURPLE</t>
    </r>
    <r>
      <rPr>
        <b/>
        <sz val="10"/>
        <rFont val="Arial Narrow"/>
        <family val="2"/>
      </rPr>
      <t>.</t>
    </r>
  </si>
  <si>
    <t>drip lateral length &gt;10% (shortest to longest)</t>
  </si>
  <si>
    <t>hrs/d</t>
  </si>
  <si>
    <t>minimum volume between pump on/off, gal</t>
  </si>
  <si>
    <r>
      <rPr>
        <b/>
        <sz val="10"/>
        <rFont val="Calibri"/>
        <family val="2"/>
      </rPr>
      <t>©</t>
    </r>
    <r>
      <rPr>
        <b/>
        <sz val="10"/>
        <rFont val="Arial Narrow"/>
        <family val="2"/>
      </rPr>
      <t>2023 Geoflow</t>
    </r>
  </si>
  <si>
    <t>2. Lateral = supply to return connection total length</t>
  </si>
  <si>
    <t>3. Run = number and length within each lateral</t>
  </si>
  <si>
    <t>field dose volume, gal</t>
  </si>
  <si>
    <r>
      <t xml:space="preserve">field flush volume, gal </t>
    </r>
    <r>
      <rPr>
        <i/>
        <sz val="10"/>
        <rFont val="Arial Narrow"/>
        <family val="2"/>
      </rPr>
      <t>(@ 3 min end cycle)</t>
    </r>
  </si>
  <si>
    <t>total field flush volume, gal</t>
  </si>
  <si>
    <r>
      <t>filter flush volume, gal</t>
    </r>
    <r>
      <rPr>
        <i/>
        <sz val="10"/>
        <rFont val="Arial Narrow"/>
        <family val="2"/>
      </rPr>
      <t xml:space="preserve"> (allows for two back-to-back flushes)</t>
    </r>
  </si>
  <si>
    <t>Small Systems Design Sheet</t>
  </si>
  <si>
    <t>Drip Tube</t>
  </si>
  <si>
    <t>G-WHWSGUT-D-15FA</t>
  </si>
  <si>
    <t>Headworks</t>
  </si>
  <si>
    <t>G-HT-4604</t>
  </si>
  <si>
    <t>Zone Valve</t>
  </si>
  <si>
    <t>Flushing Velocity</t>
  </si>
  <si>
    <t>Maximum Inlet Pressure</t>
  </si>
  <si>
    <t>Minimum Outlet Pressure</t>
  </si>
  <si>
    <t>Longest Lateral</t>
  </si>
  <si>
    <t>Total Number of Laterals</t>
  </si>
  <si>
    <t>Total Linear Footage of Drip Tube</t>
  </si>
  <si>
    <t>Pipe Diameter
Inches</t>
  </si>
  <si>
    <t>Linear Feet</t>
  </si>
  <si>
    <t>Elevation
Feet</t>
  </si>
  <si>
    <t>Flushing
GPM</t>
  </si>
  <si>
    <t>Return
GPM</t>
  </si>
  <si>
    <t>Flushing
Velocity</t>
  </si>
  <si>
    <t>Return
Velocity</t>
  </si>
  <si>
    <t>Flushing
F Loss PSI</t>
  </si>
  <si>
    <t>Elevation
PSI</t>
  </si>
  <si>
    <t>Total Q
Gallons</t>
  </si>
  <si>
    <t>Drip Tube
 Model #</t>
  </si>
  <si>
    <t>Emitter Exponent</t>
  </si>
  <si>
    <t>Nominal Emitter
Flow GPH</t>
  </si>
  <si>
    <t>Actual Flow @ 30 psi</t>
  </si>
  <si>
    <t>Nominal Flow
GPM</t>
  </si>
  <si>
    <t>G-WFPC-17-1.6-12-ECO</t>
  </si>
  <si>
    <t>G-WFPC-17-1.6-24-ECO</t>
  </si>
  <si>
    <t>G-WFPC-17-2-12-ECO</t>
  </si>
  <si>
    <t>G-WFPC-17-2-24-ECO</t>
  </si>
  <si>
    <t>G-WFPC-17-4-12-ECO</t>
  </si>
  <si>
    <t>G-WFPC-17-4-24-ECO</t>
  </si>
  <si>
    <t>Inlet Pressure
 Psi</t>
  </si>
  <si>
    <t>Distal End
Pressure</t>
  </si>
  <si>
    <t>Flush Velocity
FPS</t>
  </si>
  <si>
    <t>gpm</t>
  </si>
  <si>
    <t>spacing</t>
  </si>
  <si>
    <t>flush velocity</t>
  </si>
  <si>
    <t>lat flush Q</t>
  </si>
  <si>
    <t>Linear Feet Per Zone</t>
  </si>
  <si>
    <t>Number of Laterals</t>
  </si>
  <si>
    <t>Q/Lateral Disposal</t>
  </si>
  <si>
    <t>Q Zone Disposal</t>
  </si>
  <si>
    <t>Q/Lateral Flushing</t>
  </si>
  <si>
    <t>Q Zone Flushing</t>
  </si>
  <si>
    <t>Q Return</t>
  </si>
  <si>
    <t>Disposal Q</t>
  </si>
  <si>
    <t>Flushing Q</t>
  </si>
  <si>
    <t>Return Q</t>
  </si>
  <si>
    <t>Headworks Part #</t>
  </si>
  <si>
    <t>Maximum GPM</t>
  </si>
  <si>
    <t>Description</t>
  </si>
  <si>
    <t>G-WHWRS-D150A</t>
  </si>
  <si>
    <t>Vertical In Tank Headworks, 1.5" BioDisc
Auto, Easy disconnect from riser,Auto Flush</t>
  </si>
  <si>
    <t>G-WHWRS-D150M</t>
  </si>
  <si>
    <t>Vertical In Tank Headwork, 1.5" BioDisc filter
Manual, Easy disconnect from riser</t>
  </si>
  <si>
    <t>Sporty Headworks Guts 1.5", BioDisc filter,
surface flush,1" solenoid field + filter flush</t>
  </si>
  <si>
    <t>G-WHWSGUT-D-15FM</t>
  </si>
  <si>
    <t>Sporty Headworks Guts 1.5", BioDisc filter,
 manual flush,</t>
  </si>
  <si>
    <t>G-WHWSGUT-D-15ACT</t>
  </si>
  <si>
    <t>Sporty Headworks Guts 1.5", BioDisc filter
-solenoid flus, Field-actuated ball flush</t>
  </si>
  <si>
    <t>G-WHWSGUT-D-15FA2</t>
  </si>
  <si>
    <t>Sporty Headworks Guts with, 2x 1.5in BioDisc filters
,, Auto surface flush</t>
  </si>
  <si>
    <t xml:space="preserve">Model # </t>
  </si>
  <si>
    <t>Model</t>
  </si>
  <si>
    <t>None</t>
  </si>
  <si>
    <t>G-HT-4402</t>
  </si>
  <si>
    <t>G-HT-4403</t>
  </si>
  <si>
    <t>G-HT-4404</t>
  </si>
  <si>
    <t>G-HT-4602</t>
  </si>
  <si>
    <t>G-HT-4603</t>
  </si>
  <si>
    <t>G-HT-4605</t>
  </si>
  <si>
    <t>G-HT-4606</t>
  </si>
  <si>
    <t>G-SVLVB-100</t>
  </si>
  <si>
    <t>G-SVLVB-150</t>
  </si>
  <si>
    <t>1 Zone</t>
  </si>
  <si>
    <t>SVLVB-100</t>
  </si>
  <si>
    <t>SVLVB-150</t>
  </si>
  <si>
    <t>Out of Range</t>
  </si>
  <si>
    <t>1222Met-V1</t>
  </si>
  <si>
    <t>Drip Tube I.D.</t>
  </si>
  <si>
    <t>Land Slope % (+ dn)</t>
  </si>
  <si>
    <t>EU%</t>
  </si>
  <si>
    <t>Barb loss Psi</t>
  </si>
  <si>
    <t>length/velocity</t>
  </si>
  <si>
    <t>C Factor for PVC pipe</t>
  </si>
  <si>
    <t>OD  Inches</t>
  </si>
  <si>
    <t>ID  Inches</t>
  </si>
  <si>
    <t>Velocity  FPS
@ 1 gpm</t>
  </si>
  <si>
    <t>Friction Loss
PSI/100'</t>
  </si>
  <si>
    <t>Gallons/100'</t>
  </si>
  <si>
    <t>Gallons/1'</t>
  </si>
  <si>
    <t xml:space="preserve">Q = </t>
  </si>
  <si>
    <t>(Vxd^2) ÷ .4085</t>
  </si>
  <si>
    <t xml:space="preserve">Gal/1' = </t>
  </si>
  <si>
    <t>.04079905 x d^2</t>
  </si>
  <si>
    <t>Gal/100' =</t>
  </si>
  <si>
    <t>r^2 x 16.32</t>
  </si>
  <si>
    <t>Drip Tube
Spacing Ft</t>
  </si>
  <si>
    <t>Drip Tube Q/1'</t>
  </si>
  <si>
    <t>G-WFPC-16-2-12-PRO</t>
  </si>
  <si>
    <t>G-WFPC-16-2-24-PRO</t>
  </si>
  <si>
    <t>G-WFPC-16-4-12-PRO</t>
  </si>
  <si>
    <t>G-WFPC-16-4-24-PRO</t>
  </si>
  <si>
    <t>©2023 Geoflow</t>
  </si>
  <si>
    <t>Contact Information</t>
  </si>
  <si>
    <t>P.O. Box 77457</t>
  </si>
  <si>
    <t>Greensboro, NC 27417</t>
  </si>
  <si>
    <t>T  800.828.3388</t>
  </si>
  <si>
    <t>w  geoflow.com</t>
  </si>
  <si>
    <t>e  customerservice@geoflow.com</t>
  </si>
  <si>
    <t>Subsurface Drip Irrigation Design Tool</t>
  </si>
  <si>
    <t>Dispersal
GPM</t>
  </si>
  <si>
    <t>Dispersal
Velocity</t>
  </si>
  <si>
    <t>Dispersal
F Loss PSI</t>
  </si>
  <si>
    <t>Fill-in applicable cells in BLACK. See the heading of each cell, all other cell are self populating.</t>
  </si>
  <si>
    <t>SAMPLE TEXT</t>
  </si>
  <si>
    <t>↓</t>
  </si>
  <si>
    <t>Click in the cells with the arrow on right and select from the dropdown menu.</t>
  </si>
  <si>
    <t>The loss columns indicate the loss in psi due to friction of the water as it flows through the pipe network as well as the increase or decrease due to elevation.</t>
  </si>
  <si>
    <t>System Layout</t>
  </si>
  <si>
    <r>
      <t>gpd/ft</t>
    </r>
    <r>
      <rPr>
        <vertAlign val="superscript"/>
        <sz val="10"/>
        <rFont val="Arial Narrow"/>
        <family val="2"/>
      </rPr>
      <t>2</t>
    </r>
    <r>
      <rPr>
        <sz val="10"/>
        <rFont val="Arial Narrow"/>
        <family val="2"/>
      </rPr>
      <t>, soil loading rate</t>
    </r>
  </si>
  <si>
    <r>
      <t xml:space="preserve">gpd, </t>
    </r>
    <r>
      <rPr>
        <b/>
        <sz val="10"/>
        <rFont val="Arial Narrow"/>
        <family val="2"/>
      </rPr>
      <t>maximum flow</t>
    </r>
  </si>
  <si>
    <r>
      <t>ft</t>
    </r>
    <r>
      <rPr>
        <vertAlign val="superscript"/>
        <sz val="10"/>
        <rFont val="Arial Narrow"/>
        <family val="2"/>
      </rPr>
      <t>2</t>
    </r>
    <r>
      <rPr>
        <sz val="10"/>
        <rFont val="Arial Narrow"/>
        <family val="2"/>
      </rPr>
      <t>, total</t>
    </r>
  </si>
  <si>
    <t>gph, per dripper rate</t>
  </si>
  <si>
    <r>
      <t xml:space="preserve">max hrs/d, pump run time </t>
    </r>
    <r>
      <rPr>
        <i/>
        <sz val="10"/>
        <rFont val="Arial Narrow"/>
        <family val="2"/>
      </rPr>
      <t>(12 hrs default)</t>
    </r>
  </si>
  <si>
    <t>max theoretical zones, no.</t>
  </si>
  <si>
    <t>ft, lateral length</t>
  </si>
  <si>
    <t>ft, dripline required</t>
  </si>
  <si>
    <t>ft, dripper (emitter) spacing</t>
  </si>
  <si>
    <t>gpm, dispersal flow rate</t>
  </si>
  <si>
    <t>gpm, flushing flow rate</t>
  </si>
  <si>
    <t>gpm, return flow rate</t>
  </si>
  <si>
    <r>
      <t xml:space="preserve">input cycles per day per zone, no. </t>
    </r>
    <r>
      <rPr>
        <i/>
        <sz val="10"/>
        <rFont val="Arial Narrow"/>
        <family val="2"/>
      </rPr>
      <t>(all zones dosed invidually each cycle)</t>
    </r>
  </si>
  <si>
    <t>gpd, maximum dispersed</t>
  </si>
  <si>
    <r>
      <rPr>
        <b/>
        <sz val="8"/>
        <rFont val="Calibri"/>
        <family val="2"/>
      </rPr>
      <t>→</t>
    </r>
    <r>
      <rPr>
        <b/>
        <sz val="8"/>
        <rFont val="Arial Narrow"/>
        <family val="2"/>
      </rPr>
      <t>dosing tank capacity must accommodate peak hourly, daily, and weekly flows, and intermittent flow storage</t>
    </r>
    <r>
      <rPr>
        <b/>
        <sz val="8"/>
        <rFont val="Calibri"/>
        <family val="2"/>
      </rPr>
      <t>←</t>
    </r>
  </si>
  <si>
    <t>Error factor is an adjustment value to account for fittings, bends, and miscellaneous losses associated with pipe systems.  1.1 is commonly used in the irrigation industry and is used here.</t>
  </si>
  <si>
    <t>Pipe coefficient is a value that reflects the roughness of the inside of a pipe, 150 is standard for PVC and is used in this calculator.</t>
  </si>
  <si>
    <t>1 - Headworks to flush discharge point</t>
  </si>
  <si>
    <t>2 - Headworks</t>
  </si>
  <si>
    <t>4 - Drip lateral length return manidold to supply manifold</t>
  </si>
  <si>
    <t>8 - Headworks</t>
  </si>
  <si>
    <t>Headworks to flush discharge point</t>
  </si>
  <si>
    <t>fps, flush velocity</t>
  </si>
  <si>
    <t>GPM, Minimum Required During Dispersal Cycle</t>
  </si>
  <si>
    <t>PSI, Minimum Pressure During Dispersal Cycle at Pump Discharge</t>
  </si>
  <si>
    <t>GPM, Minimum Required During Flushing Cycle</t>
  </si>
  <si>
    <t>PSI, Minimum Pressure During Flushing Cycle at Pump Discharge</t>
  </si>
  <si>
    <t>Gallons, Minimum Required to Fill Pipe Network</t>
  </si>
  <si>
    <t>Feet, Minimum Pressure During Dispersal Cycle at Pump Discharge</t>
  </si>
  <si>
    <t>Feet, Minimum Pressure During Flushing Cycle at Pump Discharge</t>
  </si>
  <si>
    <t>Velocity is measure of how fast water is moving through a given section of pipe, expressed in fps. When designing transport lines, the target flushing velocity is 2.5 to 3.5 fps or per state requirements. Properly sized pipes shorten fill time, increase dispersal uniformity, and aide in overall system operation and maintenance. This spreadsheet calculates the velocity based on your inputs.</t>
  </si>
  <si>
    <r>
      <t>ft</t>
    </r>
    <r>
      <rPr>
        <vertAlign val="superscript"/>
        <sz val="10"/>
        <rFont val="Arial Narrow"/>
        <family val="2"/>
      </rPr>
      <t>2</t>
    </r>
    <r>
      <rPr>
        <sz val="10"/>
        <rFont val="Arial Narrow"/>
        <family val="2"/>
      </rPr>
      <t>, each zone</t>
    </r>
  </si>
  <si>
    <t>3 - Return manifold outlet to headworks</t>
  </si>
  <si>
    <t>5 - Supply manifold to zone valve (if zone valve used)</t>
  </si>
  <si>
    <t>6 - Zone valve, if used</t>
  </si>
  <si>
    <t>9 - Pump discharge to headworks</t>
  </si>
  <si>
    <t>1. Headworks to flush discharge point</t>
  </si>
  <si>
    <t>4 - Drip lateral supply manidold to return manifold</t>
  </si>
  <si>
    <t>5 - Zone valve (if zone valve used) to supply manifold</t>
  </si>
  <si>
    <t>Return manifold outlet to headworks</t>
  </si>
  <si>
    <t>Drip lateral supply manidold to return manifold</t>
  </si>
  <si>
    <t>Zone valve (if zone valve used) to supply manifold</t>
  </si>
  <si>
    <t>Zone valve, if used</t>
  </si>
  <si>
    <t>Headworks to Zone valve/supply manifold</t>
  </si>
  <si>
    <t>ft, dripline spacing</t>
  </si>
  <si>
    <t>7 - Headworks to zone valve/supply manifold</t>
  </si>
  <si>
    <t>gpd dispersed, per dripper</t>
  </si>
  <si>
    <t>ft, theoretical dripline run length per zone</t>
  </si>
  <si>
    <t>ft, calculated dripline run length per zone</t>
  </si>
  <si>
    <t>drippers, calculated per zone</t>
  </si>
  <si>
    <t>min, "on" time per dose cycle</t>
  </si>
  <si>
    <t>min, "off" time per dose cycle</t>
  </si>
  <si>
    <r>
      <t xml:space="preserve">min/d, "on" time, </t>
    </r>
    <r>
      <rPr>
        <i/>
        <sz val="10"/>
        <rFont val="Arial Narrow"/>
        <family val="2"/>
      </rPr>
      <t>or</t>
    </r>
  </si>
  <si>
    <r>
      <t xml:space="preserve">min/d, "off" time, </t>
    </r>
    <r>
      <rPr>
        <i/>
        <sz val="10"/>
        <rFont val="Arial Narrow"/>
        <family val="2"/>
      </rPr>
      <t>or</t>
    </r>
  </si>
  <si>
    <r>
      <rPr>
        <b/>
        <sz val="10"/>
        <rFont val="Arial Narrow"/>
        <family val="2"/>
      </rPr>
      <t>hrs/d</t>
    </r>
    <r>
      <rPr>
        <sz val="10"/>
        <rFont val="Arial Narrow"/>
        <family val="2"/>
      </rPr>
      <t>, theoretical per dripper max run time</t>
    </r>
  </si>
  <si>
    <r>
      <rPr>
        <b/>
        <sz val="10"/>
        <rFont val="Arial Narrow"/>
        <family val="2"/>
      </rPr>
      <t>min/d</t>
    </r>
    <r>
      <rPr>
        <sz val="10"/>
        <rFont val="Arial Narrow"/>
        <family val="2"/>
      </rPr>
      <t>, theoretical per dripper max run time</t>
    </r>
  </si>
  <si>
    <t>select laterals per zone</t>
  </si>
  <si>
    <t>min, run time (fully pressurized) per zone per dose</t>
  </si>
  <si>
    <t>Head - Feet</t>
  </si>
  <si>
    <t>20XC1-05P4</t>
  </si>
  <si>
    <t>Little Giant</t>
  </si>
  <si>
    <t>Blaster</t>
  </si>
  <si>
    <t>20EB05</t>
  </si>
  <si>
    <t>Ashland CPM</t>
  </si>
  <si>
    <t>20+ 1/2hp</t>
  </si>
  <si>
    <t>Zoeller</t>
  </si>
  <si>
    <t>5030 7S-1/2hp</t>
  </si>
  <si>
    <t>5031 5S-1/2hp</t>
  </si>
  <si>
    <t>5031 9S-1hp</t>
  </si>
  <si>
    <t>5032 4S-1/2hp</t>
  </si>
  <si>
    <t>5032 7S-1hp</t>
  </si>
  <si>
    <t>TURBINE PUMPS</t>
  </si>
  <si>
    <t>MODEL</t>
  </si>
  <si>
    <t>DOSING TDH</t>
  </si>
  <si>
    <t>FLUSHING TDH</t>
  </si>
  <si>
    <t>v.230721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</si>
</sst>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
    <numFmt numFmtId="165" formatCode="0.0"/>
    <numFmt numFmtId="166" formatCode="#,##0.000"/>
    <numFmt numFmtId="167" formatCode="#,##0.0"/>
    <numFmt numFmtId="168" formatCode="0.000000"/>
    <numFmt numFmtId="169" formatCode="0.0000"/>
    <numFmt numFmtId="170" formatCode="0.0000000"/>
    <numFmt numFmtId="171" formatCode="0.00000"/>
    <numFmt numFmtId="172" formatCode="0.000000000"/>
  </numFmts>
  <fonts count="51"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sz val="9"/>
      <name val="Arial"/>
      <family val="2"/>
    </font>
    <font>
      <b/>
      <sz val="10"/>
      <name val="Arial"/>
      <family val="2"/>
    </font>
    <font>
      <b/>
      <sz val="10"/>
      <name val="Arial"/>
      <family val="2"/>
    </font>
    <font>
      <sz val="10"/>
      <color indexed="23"/>
      <name val="Arial"/>
      <family val="2"/>
    </font>
    <font>
      <sz val="11"/>
      <name val="Arial"/>
      <family val="2"/>
    </font>
    <font>
      <sz val="14"/>
      <name val="Arial"/>
      <family val="2"/>
    </font>
    <font>
      <sz val="9"/>
      <color indexed="81"/>
      <name val="Tahoma"/>
      <family val="2"/>
    </font>
    <font>
      <sz val="10"/>
      <name val="Arial Narrow"/>
      <family val="2"/>
    </font>
    <font>
      <b/>
      <sz val="10"/>
      <name val="Arial Narrow"/>
      <family val="2"/>
    </font>
    <font>
      <sz val="10"/>
      <color rgb="FFFF0000"/>
      <name val="Arial Narrow"/>
      <family val="2"/>
    </font>
    <font>
      <vertAlign val="superscript"/>
      <sz val="10"/>
      <name val="Arial Narrow"/>
      <family val="2"/>
    </font>
    <font>
      <b/>
      <sz val="10"/>
      <color theme="0"/>
      <name val="Arial Narrow"/>
      <family val="2"/>
    </font>
    <font>
      <b/>
      <sz val="10"/>
      <color rgb="FF9900CC"/>
      <name val="Arial Narrow"/>
      <family val="2"/>
    </font>
    <font>
      <sz val="10"/>
      <color theme="0"/>
      <name val="Arial Narrow"/>
      <family val="2"/>
    </font>
    <font>
      <b/>
      <sz val="18"/>
      <name val="Arial"/>
      <family val="2"/>
    </font>
    <font>
      <i/>
      <sz val="10"/>
      <name val="Arial Narrow"/>
      <family val="2"/>
    </font>
    <font>
      <b/>
      <sz val="10"/>
      <name val="Calibri"/>
      <family val="2"/>
    </font>
    <font>
      <sz val="11"/>
      <color rgb="FF3F3F76"/>
      <name val="Calibri"/>
      <family val="2"/>
      <scheme val="minor"/>
    </font>
    <font>
      <sz val="10"/>
      <color theme="1"/>
      <name val="Arial"/>
      <family val="2"/>
    </font>
    <font>
      <sz val="10"/>
      <color rgb="FFFF0000"/>
      <name val="Arial"/>
      <family val="2"/>
    </font>
    <font>
      <sz val="10"/>
      <color theme="1"/>
      <name val="Arial Narrow"/>
      <family val="2"/>
    </font>
    <font>
      <b/>
      <sz val="10"/>
      <color indexed="12"/>
      <name val="Arial"/>
      <family val="2"/>
    </font>
    <font>
      <b/>
      <sz val="10"/>
      <color indexed="60"/>
      <name val="Arial"/>
      <family val="2"/>
    </font>
    <font>
      <b/>
      <sz val="10"/>
      <color indexed="17"/>
      <name val="Arial"/>
      <family val="2"/>
    </font>
    <font>
      <b/>
      <sz val="12"/>
      <name val="Arial"/>
      <family val="2"/>
    </font>
    <font>
      <b/>
      <sz val="18"/>
      <color indexed="12"/>
      <name val="Arial"/>
      <family val="2"/>
    </font>
    <font>
      <b/>
      <sz val="10"/>
      <color indexed="10"/>
      <name val="Arial"/>
      <family val="2"/>
    </font>
    <font>
      <sz val="10"/>
      <color indexed="10"/>
      <name val="Arial"/>
      <family val="2"/>
    </font>
    <font>
      <sz val="10"/>
      <color indexed="8"/>
      <name val="Arial"/>
      <family val="2"/>
    </font>
    <font>
      <b/>
      <i/>
      <sz val="10"/>
      <color indexed="12"/>
      <name val="Arial"/>
      <family val="2"/>
    </font>
    <font>
      <sz val="10"/>
      <color indexed="12"/>
      <name val="Arial"/>
      <family val="2"/>
    </font>
    <font>
      <sz val="10"/>
      <color indexed="60"/>
      <name val="Arial"/>
      <family val="2"/>
    </font>
    <font>
      <sz val="12"/>
      <color theme="1"/>
      <name val="Calibri"/>
      <family val="2"/>
      <scheme val="minor"/>
    </font>
    <font>
      <sz val="24"/>
      <name val="Arial"/>
      <family val="2"/>
    </font>
    <font>
      <b/>
      <sz val="12"/>
      <name val="Arial Narrow"/>
      <family val="2"/>
    </font>
    <font>
      <b/>
      <u/>
      <sz val="12"/>
      <name val="Arial Narrow"/>
      <family val="2"/>
    </font>
    <font>
      <sz val="12"/>
      <name val="Arial"/>
      <family val="2"/>
    </font>
    <font>
      <b/>
      <sz val="11"/>
      <color theme="0"/>
      <name val="Arial Narrow"/>
      <family val="2"/>
    </font>
    <font>
      <b/>
      <sz val="10"/>
      <color theme="0"/>
      <name val="Calibri"/>
      <family val="2"/>
    </font>
    <font>
      <sz val="4"/>
      <name val="Arial Narrow"/>
      <family val="2"/>
    </font>
    <font>
      <b/>
      <i/>
      <sz val="4"/>
      <name val="Arial Narrow"/>
      <family val="2"/>
    </font>
    <font>
      <b/>
      <sz val="4"/>
      <name val="Arial Narrow"/>
      <family val="2"/>
    </font>
    <font>
      <b/>
      <sz val="36"/>
      <color theme="0" tint="-4.9989318521683403E-2"/>
      <name val="Arial Narrow"/>
      <family val="2"/>
    </font>
    <font>
      <b/>
      <sz val="8"/>
      <name val="Arial Narrow"/>
      <family val="2"/>
    </font>
    <font>
      <b/>
      <sz val="8"/>
      <name val="Calibri"/>
      <family val="2"/>
    </font>
    <font>
      <sz val="11"/>
      <color theme="0"/>
      <name val="Calibri"/>
      <family val="2"/>
      <scheme val="minor"/>
    </font>
  </fonts>
  <fills count="12">
    <fill>
      <patternFill patternType="none"/>
    </fill>
    <fill>
      <patternFill patternType="gray125"/>
    </fill>
    <fill>
      <patternFill patternType="solid">
        <fgColor theme="4" tint="0.79998168889431442"/>
        <bgColor indexed="65"/>
      </patternFill>
    </fill>
    <fill>
      <patternFill patternType="solid">
        <fgColor rgb="FF9900CC"/>
        <bgColor indexed="64"/>
      </patternFill>
    </fill>
    <fill>
      <patternFill patternType="solid">
        <fgColor theme="1"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C99"/>
      </patternFill>
    </fill>
    <fill>
      <patternFill patternType="solid">
        <fgColor theme="0" tint="-4.9989318521683403E-2"/>
        <bgColor indexed="64"/>
      </patternFill>
    </fill>
    <fill>
      <patternFill patternType="solid">
        <fgColor theme="5" tint="0.79998168889431442"/>
        <bgColor indexed="64"/>
      </patternFill>
    </fill>
    <fill>
      <patternFill patternType="solid">
        <fgColor indexed="14"/>
        <bgColor indexed="64"/>
      </patternFill>
    </fill>
    <fill>
      <patternFill patternType="solid">
        <fgColor theme="1"/>
        <bgColor indexed="64"/>
      </patternFill>
    </fill>
  </fills>
  <borders count="34">
    <border>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medium">
        <color indexed="64"/>
      </left>
      <right/>
      <top/>
      <bottom/>
      <diagonal/>
    </border>
    <border>
      <left style="thin">
        <color theme="4" tint="0.39997558519241921"/>
      </left>
      <right/>
      <top style="thin">
        <color theme="4" tint="0.39997558519241921"/>
      </top>
      <bottom style="thin">
        <color theme="4" tint="0.39997558519241921"/>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rgb="FF7F7F7F"/>
      </right>
      <top style="thin">
        <color rgb="FF7F7F7F"/>
      </top>
      <bottom style="thin">
        <color rgb="FF7F7F7F"/>
      </bottom>
      <diagonal/>
    </border>
    <border>
      <left style="thin">
        <color indexed="64"/>
      </left>
      <right style="medium">
        <color indexed="64"/>
      </right>
      <top style="thin">
        <color indexed="64"/>
      </top>
      <bottom style="medium">
        <color indexed="64"/>
      </bottom>
      <diagonal/>
    </border>
    <border>
      <left style="thin">
        <color indexed="64"/>
      </left>
      <right style="thin">
        <color rgb="FF7F7F7F"/>
      </right>
      <top/>
      <bottom style="thin">
        <color rgb="FF7F7F7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0" fontId="2" fillId="2" borderId="0" applyNumberFormat="0" applyBorder="0" applyAlignment="0" applyProtection="0"/>
    <xf numFmtId="0" fontId="3" fillId="0" borderId="0"/>
    <xf numFmtId="0" fontId="9" fillId="0" borderId="0"/>
    <xf numFmtId="0" fontId="22" fillId="7" borderId="8" applyNumberFormat="0" applyAlignment="0" applyProtection="0"/>
    <xf numFmtId="0" fontId="1" fillId="2" borderId="0" applyNumberFormat="0" applyBorder="0" applyAlignment="0" applyProtection="0"/>
  </cellStyleXfs>
  <cellXfs count="295">
    <xf numFmtId="0" fontId="0" fillId="0" borderId="0" xfId="0"/>
    <xf numFmtId="0" fontId="0" fillId="0" borderId="0" xfId="0" applyProtection="1">
      <protection hidden="1"/>
    </xf>
    <xf numFmtId="2" fontId="0" fillId="0" borderId="0" xfId="0" applyNumberFormat="1" applyProtection="1">
      <protection hidden="1"/>
    </xf>
    <xf numFmtId="1" fontId="0" fillId="0" borderId="0" xfId="0" applyNumberFormat="1" applyProtection="1">
      <protection hidden="1"/>
    </xf>
    <xf numFmtId="0" fontId="0" fillId="0" borderId="4" xfId="0" applyBorder="1" applyProtection="1">
      <protection hidden="1"/>
    </xf>
    <xf numFmtId="0" fontId="0" fillId="0" borderId="4" xfId="0" applyBorder="1" applyAlignment="1" applyProtection="1">
      <alignment wrapText="1"/>
      <protection hidden="1"/>
    </xf>
    <xf numFmtId="1" fontId="3" fillId="0" borderId="0" xfId="0" applyNumberFormat="1" applyFont="1" applyProtection="1">
      <protection hidden="1"/>
    </xf>
    <xf numFmtId="49" fontId="3" fillId="0" borderId="0" xfId="0" applyNumberFormat="1" applyFont="1" applyProtection="1">
      <protection hidden="1"/>
    </xf>
    <xf numFmtId="49" fontId="0" fillId="0" borderId="0" xfId="0" applyNumberFormat="1" applyProtection="1">
      <protection hidden="1"/>
    </xf>
    <xf numFmtId="0" fontId="8" fillId="0" borderId="0" xfId="0" applyFont="1" applyProtection="1">
      <protection hidden="1"/>
    </xf>
    <xf numFmtId="0" fontId="7" fillId="0" borderId="4" xfId="0" applyFont="1" applyBorder="1" applyProtection="1">
      <protection hidden="1"/>
    </xf>
    <xf numFmtId="0" fontId="0" fillId="0" borderId="4" xfId="0" applyBorder="1" applyAlignment="1" applyProtection="1">
      <alignment horizontal="center" wrapText="1"/>
      <protection hidden="1"/>
    </xf>
    <xf numFmtId="0" fontId="9" fillId="0" borderId="0" xfId="0" applyFont="1" applyProtection="1">
      <protection hidden="1"/>
    </xf>
    <xf numFmtId="0" fontId="9" fillId="0" borderId="0" xfId="0" applyFont="1" applyAlignment="1" applyProtection="1">
      <alignment horizontal="center" vertical="center"/>
      <protection hidden="1"/>
    </xf>
    <xf numFmtId="0" fontId="9" fillId="0" borderId="0" xfId="0" applyFont="1" applyAlignment="1" applyProtection="1">
      <alignment horizontal="center"/>
      <protection hidden="1"/>
    </xf>
    <xf numFmtId="164" fontId="9" fillId="0" borderId="0" xfId="0" applyNumberFormat="1" applyFont="1" applyProtection="1">
      <protection hidden="1"/>
    </xf>
    <xf numFmtId="0" fontId="3" fillId="0" borderId="0" xfId="0" applyFont="1" applyProtection="1">
      <protection hidden="1"/>
    </xf>
    <xf numFmtId="0" fontId="6" fillId="0" borderId="0" xfId="0" applyFont="1" applyProtection="1">
      <protection hidden="1"/>
    </xf>
    <xf numFmtId="169" fontId="0" fillId="0" borderId="0" xfId="0" applyNumberFormat="1" applyProtection="1">
      <protection hidden="1"/>
    </xf>
    <xf numFmtId="165" fontId="0" fillId="0" borderId="0" xfId="0" applyNumberFormat="1" applyProtection="1">
      <protection hidden="1"/>
    </xf>
    <xf numFmtId="10" fontId="0" fillId="0" borderId="0" xfId="0" applyNumberFormat="1" applyProtection="1">
      <protection hidden="1"/>
    </xf>
    <xf numFmtId="171" fontId="0" fillId="0" borderId="0" xfId="0" applyNumberFormat="1" applyProtection="1">
      <protection hidden="1"/>
    </xf>
    <xf numFmtId="168" fontId="3" fillId="0" borderId="0" xfId="0" applyNumberFormat="1" applyFont="1" applyProtection="1">
      <protection hidden="1"/>
    </xf>
    <xf numFmtId="169" fontId="3" fillId="0" borderId="0" xfId="0" applyNumberFormat="1" applyFont="1" applyProtection="1">
      <protection hidden="1"/>
    </xf>
    <xf numFmtId="170" fontId="3" fillId="0" borderId="0" xfId="0" applyNumberFormat="1" applyFont="1" applyProtection="1">
      <protection hidden="1"/>
    </xf>
    <xf numFmtId="2" fontId="3" fillId="0" borderId="0" xfId="0" applyNumberFormat="1" applyFont="1" applyAlignment="1" applyProtection="1">
      <alignment horizontal="center"/>
      <protection hidden="1"/>
    </xf>
    <xf numFmtId="0" fontId="12" fillId="0" borderId="0" xfId="0" applyFont="1"/>
    <xf numFmtId="0" fontId="12" fillId="0" borderId="0" xfId="0" applyFont="1" applyProtection="1">
      <protection hidden="1"/>
    </xf>
    <xf numFmtId="0" fontId="13" fillId="0" borderId="11" xfId="3" applyFont="1" applyBorder="1" applyAlignment="1" applyProtection="1">
      <alignment horizontal="center"/>
      <protection hidden="1"/>
    </xf>
    <xf numFmtId="0" fontId="12" fillId="0" borderId="13" xfId="0" applyFont="1" applyBorder="1" applyProtection="1">
      <protection hidden="1"/>
    </xf>
    <xf numFmtId="0" fontId="14" fillId="0" borderId="13" xfId="0" applyFont="1" applyBorder="1" applyProtection="1">
      <protection hidden="1"/>
    </xf>
    <xf numFmtId="3" fontId="17" fillId="0" borderId="15" xfId="0" applyNumberFormat="1" applyFont="1" applyBorder="1" applyProtection="1">
      <protection hidden="1"/>
    </xf>
    <xf numFmtId="167" fontId="17" fillId="0" borderId="15" xfId="0" applyNumberFormat="1" applyFont="1" applyBorder="1" applyProtection="1">
      <protection hidden="1"/>
    </xf>
    <xf numFmtId="0" fontId="17" fillId="0" borderId="15" xfId="0" applyFont="1" applyBorder="1" applyProtection="1">
      <protection hidden="1"/>
    </xf>
    <xf numFmtId="2" fontId="17" fillId="0" borderId="15" xfId="0" applyNumberFormat="1" applyFont="1" applyBorder="1" applyProtection="1">
      <protection hidden="1"/>
    </xf>
    <xf numFmtId="1" fontId="17" fillId="0" borderId="15" xfId="0" applyNumberFormat="1" applyFont="1" applyBorder="1" applyProtection="1">
      <protection hidden="1"/>
    </xf>
    <xf numFmtId="0" fontId="14" fillId="0" borderId="15" xfId="0" applyFont="1" applyBorder="1" applyProtection="1">
      <protection hidden="1"/>
    </xf>
    <xf numFmtId="2" fontId="12" fillId="0" borderId="15" xfId="0" applyNumberFormat="1" applyFont="1" applyBorder="1" applyProtection="1">
      <protection hidden="1"/>
    </xf>
    <xf numFmtId="3" fontId="17" fillId="0" borderId="17" xfId="0" applyNumberFormat="1" applyFont="1" applyBorder="1" applyProtection="1">
      <protection hidden="1"/>
    </xf>
    <xf numFmtId="49" fontId="12" fillId="0" borderId="0" xfId="0" applyNumberFormat="1" applyFont="1" applyProtection="1">
      <protection hidden="1"/>
    </xf>
    <xf numFmtId="0" fontId="16" fillId="0" borderId="0" xfId="0" applyFont="1" applyProtection="1">
      <protection hidden="1"/>
    </xf>
    <xf numFmtId="0" fontId="18" fillId="0" borderId="0" xfId="0" applyFont="1" applyProtection="1">
      <protection hidden="1"/>
    </xf>
    <xf numFmtId="1" fontId="17" fillId="0" borderId="0" xfId="0" applyNumberFormat="1" applyFont="1" applyProtection="1">
      <protection hidden="1"/>
    </xf>
    <xf numFmtId="0" fontId="13" fillId="6" borderId="12" xfId="0" applyFont="1" applyFill="1" applyBorder="1" applyAlignment="1" applyProtection="1">
      <alignment horizontal="right"/>
      <protection hidden="1"/>
    </xf>
    <xf numFmtId="0" fontId="12" fillId="6" borderId="13" xfId="0" applyFont="1" applyFill="1" applyBorder="1" applyAlignment="1" applyProtection="1">
      <alignment horizontal="left"/>
      <protection hidden="1"/>
    </xf>
    <xf numFmtId="0" fontId="12" fillId="6" borderId="14" xfId="0" applyFont="1" applyFill="1" applyBorder="1" applyProtection="1">
      <protection hidden="1"/>
    </xf>
    <xf numFmtId="0" fontId="12" fillId="6" borderId="15" xfId="0" applyFont="1" applyFill="1" applyBorder="1" applyProtection="1">
      <protection hidden="1"/>
    </xf>
    <xf numFmtId="0" fontId="12" fillId="6" borderId="16" xfId="0" applyFont="1" applyFill="1" applyBorder="1" applyProtection="1">
      <protection hidden="1"/>
    </xf>
    <xf numFmtId="0" fontId="12" fillId="6" borderId="17" xfId="0" applyFont="1" applyFill="1" applyBorder="1" applyProtection="1">
      <protection hidden="1"/>
    </xf>
    <xf numFmtId="0" fontId="12" fillId="6" borderId="19" xfId="0" applyFont="1" applyFill="1" applyBorder="1" applyProtection="1">
      <protection hidden="1"/>
    </xf>
    <xf numFmtId="0" fontId="0" fillId="0" borderId="0" xfId="0" applyAlignment="1" applyProtection="1">
      <alignment horizontal="left"/>
      <protection hidden="1"/>
    </xf>
    <xf numFmtId="0" fontId="0" fillId="0" borderId="0" xfId="0" applyAlignment="1" applyProtection="1">
      <alignment horizontal="center"/>
      <protection hidden="1"/>
    </xf>
    <xf numFmtId="0" fontId="0" fillId="0" borderId="0" xfId="0" applyAlignment="1" applyProtection="1">
      <alignment horizontal="center" vertical="center"/>
      <protection hidden="1"/>
    </xf>
    <xf numFmtId="0" fontId="3"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164" fontId="0" fillId="0" borderId="0" xfId="0" applyNumberFormat="1" applyProtection="1">
      <protection hidden="1"/>
    </xf>
    <xf numFmtId="0" fontId="3" fillId="0" borderId="0" xfId="0" applyFont="1" applyAlignment="1" applyProtection="1">
      <alignment horizontal="center" wrapText="1"/>
      <protection hidden="1"/>
    </xf>
    <xf numFmtId="0" fontId="3" fillId="0" borderId="0" xfId="0" applyFont="1" applyAlignment="1" applyProtection="1">
      <alignment horizontal="center"/>
      <protection hidden="1"/>
    </xf>
    <xf numFmtId="0" fontId="10" fillId="0" borderId="0" xfId="0" applyFont="1" applyProtection="1">
      <protection hidden="1"/>
    </xf>
    <xf numFmtId="0" fontId="26" fillId="0" borderId="0" xfId="0" applyFont="1" applyAlignment="1" applyProtection="1">
      <alignment horizontal="center"/>
      <protection hidden="1"/>
    </xf>
    <xf numFmtId="0" fontId="6" fillId="0" borderId="0" xfId="0" applyFont="1" applyAlignment="1" applyProtection="1">
      <alignment horizontal="center"/>
      <protection hidden="1"/>
    </xf>
    <xf numFmtId="0" fontId="27" fillId="0" borderId="0" xfId="0" applyFont="1" applyAlignment="1" applyProtection="1">
      <alignment horizontal="center"/>
      <protection hidden="1"/>
    </xf>
    <xf numFmtId="0" fontId="28" fillId="0" borderId="0" xfId="0" applyFont="1" applyAlignment="1" applyProtection="1">
      <alignment horizontal="center"/>
      <protection hidden="1"/>
    </xf>
    <xf numFmtId="0" fontId="29" fillId="0" borderId="0" xfId="0" applyFont="1" applyProtection="1">
      <protection hidden="1"/>
    </xf>
    <xf numFmtId="0" fontId="30" fillId="0" borderId="0" xfId="0" applyFont="1" applyProtection="1">
      <protection hidden="1"/>
    </xf>
    <xf numFmtId="14" fontId="5" fillId="0" borderId="0" xfId="0" applyNumberFormat="1" applyFont="1" applyProtection="1">
      <protection hidden="1"/>
    </xf>
    <xf numFmtId="0" fontId="31" fillId="0" borderId="0" xfId="0" applyFont="1" applyProtection="1">
      <protection hidden="1"/>
    </xf>
    <xf numFmtId="0" fontId="32" fillId="0" borderId="0" xfId="0" applyFont="1" applyProtection="1">
      <protection hidden="1"/>
    </xf>
    <xf numFmtId="0" fontId="0" fillId="0" borderId="0" xfId="0" applyAlignment="1" applyProtection="1">
      <alignment horizontal="right"/>
      <protection hidden="1"/>
    </xf>
    <xf numFmtId="2" fontId="0" fillId="0" borderId="0" xfId="0" applyNumberFormat="1" applyAlignment="1" applyProtection="1">
      <alignment horizontal="right"/>
      <protection hidden="1"/>
    </xf>
    <xf numFmtId="2" fontId="33" fillId="0" borderId="0" xfId="0" applyNumberFormat="1" applyFont="1" applyAlignment="1" applyProtection="1">
      <alignment horizontal="center"/>
      <protection hidden="1"/>
    </xf>
    <xf numFmtId="0" fontId="6" fillId="0" borderId="0" xfId="0" applyFont="1" applyAlignment="1" applyProtection="1">
      <alignment horizontal="left"/>
      <protection hidden="1"/>
    </xf>
    <xf numFmtId="0" fontId="3" fillId="0" borderId="0" xfId="0" applyFont="1" applyAlignment="1" applyProtection="1">
      <alignment horizontal="right"/>
      <protection hidden="1"/>
    </xf>
    <xf numFmtId="2" fontId="6" fillId="0" borderId="0" xfId="0" applyNumberFormat="1" applyFont="1" applyAlignment="1" applyProtection="1">
      <alignment horizontal="right"/>
      <protection hidden="1"/>
    </xf>
    <xf numFmtId="2" fontId="6" fillId="0" borderId="0" xfId="0" applyNumberFormat="1" applyFont="1" applyAlignment="1" applyProtection="1">
      <alignment horizontal="center"/>
      <protection hidden="1"/>
    </xf>
    <xf numFmtId="0" fontId="6" fillId="0" borderId="0" xfId="0" applyFont="1" applyAlignment="1" applyProtection="1">
      <alignment horizontal="right"/>
      <protection hidden="1"/>
    </xf>
    <xf numFmtId="164" fontId="3" fillId="0" borderId="4" xfId="0" applyNumberFormat="1" applyFont="1" applyBorder="1" applyProtection="1">
      <protection hidden="1"/>
    </xf>
    <xf numFmtId="164" fontId="6" fillId="0" borderId="0" xfId="0" applyNumberFormat="1" applyFont="1" applyAlignment="1" applyProtection="1">
      <alignment horizontal="left"/>
      <protection hidden="1"/>
    </xf>
    <xf numFmtId="0" fontId="34" fillId="0" borderId="0" xfId="0" applyFont="1" applyAlignment="1" applyProtection="1">
      <alignment horizontal="right"/>
      <protection hidden="1"/>
    </xf>
    <xf numFmtId="2" fontId="34" fillId="0" borderId="0" xfId="0" applyNumberFormat="1" applyFont="1" applyAlignment="1" applyProtection="1">
      <alignment horizontal="right"/>
      <protection hidden="1"/>
    </xf>
    <xf numFmtId="2" fontId="34" fillId="0" borderId="0" xfId="0" applyNumberFormat="1" applyFont="1" applyAlignment="1" applyProtection="1">
      <alignment horizontal="center"/>
      <protection hidden="1"/>
    </xf>
    <xf numFmtId="164" fontId="0" fillId="0" borderId="0" xfId="0" applyNumberFormat="1" applyAlignment="1" applyProtection="1">
      <alignment horizontal="center"/>
      <protection hidden="1"/>
    </xf>
    <xf numFmtId="164" fontId="6" fillId="0" borderId="0" xfId="0" applyNumberFormat="1" applyFont="1" applyProtection="1">
      <protection hidden="1"/>
    </xf>
    <xf numFmtId="164" fontId="6" fillId="0" borderId="0" xfId="0" applyNumberFormat="1" applyFont="1" applyAlignment="1" applyProtection="1">
      <alignment horizontal="center"/>
      <protection hidden="1"/>
    </xf>
    <xf numFmtId="0" fontId="3" fillId="0" borderId="4" xfId="0" applyFont="1" applyBorder="1" applyProtection="1">
      <protection hidden="1"/>
    </xf>
    <xf numFmtId="0" fontId="35" fillId="0" borderId="0" xfId="0" applyFont="1" applyProtection="1">
      <protection hidden="1"/>
    </xf>
    <xf numFmtId="168" fontId="3" fillId="0" borderId="4" xfId="0" applyNumberFormat="1" applyFont="1" applyBorder="1" applyProtection="1">
      <protection hidden="1"/>
    </xf>
    <xf numFmtId="0" fontId="36" fillId="0" borderId="0" xfId="0" applyFont="1" applyAlignment="1" applyProtection="1">
      <alignment horizontal="center"/>
      <protection hidden="1"/>
    </xf>
    <xf numFmtId="2" fontId="3" fillId="0" borderId="0" xfId="0" applyNumberFormat="1" applyFont="1" applyAlignment="1" applyProtection="1">
      <alignment horizontal="right"/>
      <protection hidden="1"/>
    </xf>
    <xf numFmtId="168" fontId="6" fillId="0" borderId="0" xfId="0" applyNumberFormat="1" applyFont="1" applyProtection="1">
      <protection hidden="1"/>
    </xf>
    <xf numFmtId="1" fontId="6" fillId="0" borderId="4" xfId="0" applyNumberFormat="1" applyFont="1" applyBorder="1" applyProtection="1">
      <protection hidden="1"/>
    </xf>
    <xf numFmtId="1" fontId="6" fillId="0" borderId="0" xfId="0" applyNumberFormat="1" applyFont="1" applyAlignment="1" applyProtection="1">
      <alignment horizontal="left"/>
      <protection hidden="1"/>
    </xf>
    <xf numFmtId="1" fontId="6" fillId="0" borderId="0" xfId="0" applyNumberFormat="1" applyFont="1" applyProtection="1">
      <protection hidden="1"/>
    </xf>
    <xf numFmtId="1" fontId="6" fillId="0" borderId="0" xfId="0" applyNumberFormat="1" applyFont="1" applyAlignment="1" applyProtection="1">
      <alignment horizontal="center"/>
      <protection hidden="1"/>
    </xf>
    <xf numFmtId="165" fontId="3" fillId="0" borderId="4" xfId="0" applyNumberFormat="1" applyFont="1" applyBorder="1" applyProtection="1">
      <protection hidden="1"/>
    </xf>
    <xf numFmtId="165" fontId="6" fillId="0" borderId="0" xfId="0" applyNumberFormat="1" applyFont="1" applyAlignment="1" applyProtection="1">
      <alignment horizontal="left"/>
      <protection hidden="1"/>
    </xf>
    <xf numFmtId="2" fontId="0" fillId="0" borderId="0" xfId="0" applyNumberFormat="1" applyAlignment="1" applyProtection="1">
      <alignment horizontal="center"/>
      <protection hidden="1"/>
    </xf>
    <xf numFmtId="165" fontId="6" fillId="0" borderId="0" xfId="0" applyNumberFormat="1" applyFont="1" applyProtection="1">
      <protection hidden="1"/>
    </xf>
    <xf numFmtId="165" fontId="6" fillId="0" borderId="0" xfId="0" applyNumberFormat="1" applyFont="1" applyAlignment="1" applyProtection="1">
      <alignment horizontal="center"/>
      <protection hidden="1"/>
    </xf>
    <xf numFmtId="1" fontId="3" fillId="0" borderId="6" xfId="0" applyNumberFormat="1" applyFont="1" applyBorder="1" applyProtection="1">
      <protection hidden="1"/>
    </xf>
    <xf numFmtId="164" fontId="3" fillId="0" borderId="0" xfId="0" applyNumberFormat="1" applyFont="1" applyAlignment="1" applyProtection="1">
      <alignment horizontal="center"/>
      <protection hidden="1"/>
    </xf>
    <xf numFmtId="164" fontId="0" fillId="0" borderId="0" xfId="0" applyNumberFormat="1" applyAlignment="1" applyProtection="1">
      <alignment horizontal="right"/>
      <protection hidden="1"/>
    </xf>
    <xf numFmtId="0" fontId="6" fillId="0" borderId="0" xfId="0" applyFont="1" applyAlignment="1" applyProtection="1">
      <alignment wrapText="1"/>
      <protection hidden="1"/>
    </xf>
    <xf numFmtId="169" fontId="6" fillId="0" borderId="0" xfId="0" applyNumberFormat="1" applyFont="1" applyProtection="1">
      <protection hidden="1"/>
    </xf>
    <xf numFmtId="0" fontId="34" fillId="0" borderId="0" xfId="0" applyFont="1" applyAlignment="1" applyProtection="1">
      <alignment horizontal="center"/>
      <protection hidden="1"/>
    </xf>
    <xf numFmtId="2" fontId="6" fillId="0" borderId="0" xfId="0" applyNumberFormat="1" applyFont="1" applyProtection="1">
      <protection hidden="1"/>
    </xf>
    <xf numFmtId="0" fontId="6" fillId="8" borderId="0" xfId="0" applyFont="1" applyFill="1" applyAlignment="1" applyProtection="1">
      <alignment horizontal="left"/>
      <protection hidden="1"/>
    </xf>
    <xf numFmtId="0" fontId="6" fillId="9" borderId="0" xfId="0" applyFont="1" applyFill="1" applyAlignment="1" applyProtection="1">
      <alignment horizontal="left"/>
      <protection hidden="1"/>
    </xf>
    <xf numFmtId="0" fontId="6" fillId="8" borderId="6" xfId="0" applyFont="1" applyFill="1" applyBorder="1" applyAlignment="1" applyProtection="1">
      <alignment horizontal="center"/>
      <protection hidden="1"/>
    </xf>
    <xf numFmtId="0" fontId="6" fillId="8" borderId="1" xfId="0" applyFont="1" applyFill="1" applyBorder="1" applyAlignment="1" applyProtection="1">
      <alignment horizontal="center"/>
      <protection hidden="1"/>
    </xf>
    <xf numFmtId="0" fontId="6" fillId="9" borderId="6" xfId="0" applyFont="1" applyFill="1" applyBorder="1" applyAlignment="1" applyProtection="1">
      <alignment horizontal="center"/>
      <protection hidden="1"/>
    </xf>
    <xf numFmtId="0" fontId="6" fillId="9" borderId="0" xfId="0" applyFont="1" applyFill="1" applyAlignment="1" applyProtection="1">
      <alignment horizontal="center"/>
      <protection hidden="1"/>
    </xf>
    <xf numFmtId="0" fontId="6" fillId="8" borderId="5" xfId="0" applyFont="1" applyFill="1" applyBorder="1" applyAlignment="1" applyProtection="1">
      <alignment horizontal="center"/>
      <protection hidden="1"/>
    </xf>
    <xf numFmtId="0" fontId="6" fillId="8" borderId="2" xfId="0" applyFont="1" applyFill="1" applyBorder="1" applyAlignment="1" applyProtection="1">
      <alignment horizontal="center"/>
      <protection hidden="1"/>
    </xf>
    <xf numFmtId="0" fontId="6" fillId="9" borderId="5" xfId="0" applyFont="1" applyFill="1" applyBorder="1" applyAlignment="1" applyProtection="1">
      <alignment horizontal="center"/>
      <protection hidden="1"/>
    </xf>
    <xf numFmtId="0" fontId="6" fillId="8" borderId="7" xfId="0" applyFont="1" applyFill="1" applyBorder="1" applyAlignment="1" applyProtection="1">
      <alignment horizontal="center"/>
      <protection hidden="1"/>
    </xf>
    <xf numFmtId="0" fontId="6" fillId="8" borderId="3" xfId="0" applyFont="1" applyFill="1" applyBorder="1" applyAlignment="1" applyProtection="1">
      <alignment horizontal="center"/>
      <protection hidden="1"/>
    </xf>
    <xf numFmtId="0" fontId="6" fillId="9" borderId="7" xfId="0" applyFont="1" applyFill="1" applyBorder="1" applyAlignment="1" applyProtection="1">
      <alignment horizontal="center"/>
      <protection hidden="1"/>
    </xf>
    <xf numFmtId="172" fontId="0" fillId="0" borderId="0" xfId="0" applyNumberFormat="1" applyProtection="1">
      <protection hidden="1"/>
    </xf>
    <xf numFmtId="165" fontId="0" fillId="10" borderId="0" xfId="0" applyNumberFormat="1" applyFill="1" applyProtection="1">
      <protection hidden="1"/>
    </xf>
    <xf numFmtId="169" fontId="0" fillId="10" borderId="0" xfId="0" applyNumberFormat="1" applyFill="1" applyProtection="1">
      <protection hidden="1"/>
    </xf>
    <xf numFmtId="0" fontId="9" fillId="0" borderId="0" xfId="0" applyFont="1" applyAlignment="1" applyProtection="1">
      <alignment horizontal="right"/>
      <protection hidden="1"/>
    </xf>
    <xf numFmtId="165" fontId="0" fillId="0" borderId="0" xfId="0" applyNumberFormat="1" applyAlignment="1" applyProtection="1">
      <alignment horizontal="center"/>
      <protection hidden="1"/>
    </xf>
    <xf numFmtId="165" fontId="3" fillId="0" borderId="0" xfId="0" applyNumberFormat="1" applyFont="1" applyProtection="1">
      <protection hidden="1"/>
    </xf>
    <xf numFmtId="0" fontId="0" fillId="0" borderId="0" xfId="0" applyAlignment="1" applyProtection="1">
      <alignment horizontal="center" wrapText="1"/>
      <protection hidden="1"/>
    </xf>
    <xf numFmtId="0" fontId="25" fillId="0" borderId="0" xfId="0" applyFont="1" applyAlignment="1" applyProtection="1">
      <alignment horizontal="center" vertical="center"/>
      <protection hidden="1"/>
    </xf>
    <xf numFmtId="49" fontId="25" fillId="0" borderId="0" xfId="0" applyNumberFormat="1" applyFont="1" applyAlignment="1" applyProtection="1">
      <alignment wrapText="1"/>
      <protection hidden="1"/>
    </xf>
    <xf numFmtId="0" fontId="25" fillId="0" borderId="0" xfId="0" applyFont="1" applyProtection="1">
      <protection hidden="1"/>
    </xf>
    <xf numFmtId="2" fontId="24" fillId="0" borderId="0" xfId="0" applyNumberFormat="1" applyFont="1" applyAlignment="1" applyProtection="1">
      <alignment horizontal="center"/>
      <protection hidden="1"/>
    </xf>
    <xf numFmtId="2" fontId="23" fillId="0" borderId="21" xfId="0" applyNumberFormat="1" applyFont="1" applyBorder="1" applyProtection="1">
      <protection hidden="1"/>
    </xf>
    <xf numFmtId="2" fontId="3" fillId="0" borderId="0" xfId="0" applyNumberFormat="1" applyFont="1" applyProtection="1">
      <protection hidden="1"/>
    </xf>
    <xf numFmtId="4" fontId="3" fillId="0" borderId="0" xfId="0" applyNumberFormat="1" applyFont="1" applyProtection="1">
      <protection hidden="1"/>
    </xf>
    <xf numFmtId="4" fontId="6" fillId="0" borderId="0" xfId="0" applyNumberFormat="1" applyFont="1" applyProtection="1">
      <protection hidden="1"/>
    </xf>
    <xf numFmtId="0" fontId="37" fillId="0" borderId="0" xfId="0" applyFont="1" applyAlignment="1" applyProtection="1">
      <alignment horizontal="center" vertical="center"/>
      <protection hidden="1"/>
    </xf>
    <xf numFmtId="0" fontId="37" fillId="0" borderId="0" xfId="0" applyFont="1" applyAlignment="1" applyProtection="1">
      <alignment horizontal="center" vertical="center" wrapText="1"/>
      <protection hidden="1"/>
    </xf>
    <xf numFmtId="12" fontId="0" fillId="0" borderId="0" xfId="0" applyNumberFormat="1" applyAlignment="1" applyProtection="1">
      <alignment horizontal="center"/>
      <protection hidden="1"/>
    </xf>
    <xf numFmtId="0" fontId="39" fillId="0" borderId="24" xfId="0" applyFont="1" applyBorder="1" applyProtection="1">
      <protection hidden="1"/>
    </xf>
    <xf numFmtId="0" fontId="41" fillId="0" borderId="0" xfId="0" applyFont="1"/>
    <xf numFmtId="0" fontId="39" fillId="0" borderId="0" xfId="0" applyFont="1" applyProtection="1">
      <protection hidden="1"/>
    </xf>
    <xf numFmtId="0" fontId="39" fillId="0" borderId="25" xfId="0" applyFont="1" applyBorder="1" applyProtection="1">
      <protection hidden="1"/>
    </xf>
    <xf numFmtId="0" fontId="39" fillId="0" borderId="26" xfId="0" applyFont="1" applyBorder="1" applyProtection="1">
      <protection hidden="1"/>
    </xf>
    <xf numFmtId="0" fontId="13" fillId="0" borderId="0" xfId="0" applyFont="1" applyAlignment="1" applyProtection="1">
      <alignment horizontal="left"/>
      <protection hidden="1"/>
    </xf>
    <xf numFmtId="0" fontId="13" fillId="0" borderId="0" xfId="0" applyFont="1" applyProtection="1">
      <protection hidden="1"/>
    </xf>
    <xf numFmtId="0" fontId="12" fillId="0" borderId="16" xfId="0" applyFont="1" applyBorder="1" applyProtection="1">
      <protection hidden="1"/>
    </xf>
    <xf numFmtId="0" fontId="12" fillId="5" borderId="16" xfId="0" applyFont="1" applyFill="1" applyBorder="1" applyProtection="1">
      <protection hidden="1"/>
    </xf>
    <xf numFmtId="0" fontId="12" fillId="0" borderId="19" xfId="0" applyFont="1" applyBorder="1" applyProtection="1">
      <protection hidden="1"/>
    </xf>
    <xf numFmtId="3" fontId="16" fillId="4" borderId="15" xfId="0" applyNumberFormat="1" applyFont="1" applyFill="1" applyBorder="1" applyAlignment="1" applyProtection="1">
      <alignment horizontal="right"/>
      <protection locked="0"/>
    </xf>
    <xf numFmtId="0" fontId="14" fillId="0" borderId="0" xfId="0" applyFont="1" applyProtection="1">
      <protection hidden="1"/>
    </xf>
    <xf numFmtId="0" fontId="12" fillId="0" borderId="0" xfId="0" applyFont="1" applyAlignment="1" applyProtection="1">
      <alignment horizontal="center"/>
      <protection hidden="1"/>
    </xf>
    <xf numFmtId="165" fontId="12" fillId="0" borderId="0" xfId="0" applyNumberFormat="1" applyFont="1" applyProtection="1">
      <protection hidden="1"/>
    </xf>
    <xf numFmtId="2" fontId="12" fillId="0" borderId="0" xfId="0" applyNumberFormat="1" applyFont="1" applyProtection="1">
      <protection hidden="1"/>
    </xf>
    <xf numFmtId="165" fontId="17" fillId="0" borderId="22" xfId="0" applyNumberFormat="1" applyFont="1" applyBorder="1" applyProtection="1">
      <protection hidden="1"/>
    </xf>
    <xf numFmtId="0" fontId="12" fillId="0" borderId="23" xfId="0" applyFont="1" applyBorder="1" applyProtection="1">
      <protection hidden="1"/>
    </xf>
    <xf numFmtId="165" fontId="12" fillId="0" borderId="23" xfId="0" applyNumberFormat="1" applyFont="1" applyBorder="1" applyProtection="1">
      <protection hidden="1"/>
    </xf>
    <xf numFmtId="2" fontId="12" fillId="0" borderId="23" xfId="0" applyNumberFormat="1" applyFont="1" applyBorder="1" applyProtection="1">
      <protection hidden="1"/>
    </xf>
    <xf numFmtId="165" fontId="17" fillId="0" borderId="24" xfId="0" applyNumberFormat="1" applyFont="1" applyBorder="1" applyProtection="1">
      <protection hidden="1"/>
    </xf>
    <xf numFmtId="165" fontId="17" fillId="0" borderId="25" xfId="0" applyNumberFormat="1" applyFont="1" applyBorder="1" applyProtection="1">
      <protection hidden="1"/>
    </xf>
    <xf numFmtId="0" fontId="12" fillId="0" borderId="26" xfId="0" applyFont="1" applyBorder="1" applyProtection="1">
      <protection hidden="1"/>
    </xf>
    <xf numFmtId="165" fontId="12" fillId="0" borderId="26" xfId="0" applyNumberFormat="1" applyFont="1" applyBorder="1" applyProtection="1">
      <protection hidden="1"/>
    </xf>
    <xf numFmtId="2" fontId="12" fillId="0" borderId="26" xfId="0" applyNumberFormat="1" applyFont="1" applyBorder="1" applyProtection="1">
      <protection hidden="1"/>
    </xf>
    <xf numFmtId="49" fontId="12" fillId="0" borderId="0" xfId="0" applyNumberFormat="1" applyFont="1" applyAlignment="1" applyProtection="1">
      <alignment vertical="top" wrapText="1"/>
      <protection hidden="1"/>
    </xf>
    <xf numFmtId="0" fontId="12" fillId="0" borderId="1" xfId="0" applyFont="1" applyBorder="1" applyProtection="1">
      <protection hidden="1"/>
    </xf>
    <xf numFmtId="0" fontId="12" fillId="0" borderId="2" xfId="0" applyFont="1" applyBorder="1" applyProtection="1">
      <protection hidden="1"/>
    </xf>
    <xf numFmtId="0" fontId="12" fillId="0" borderId="3" xfId="0" applyFont="1" applyBorder="1" applyProtection="1">
      <protection hidden="1"/>
    </xf>
    <xf numFmtId="0" fontId="44" fillId="0" borderId="0" xfId="0" applyFont="1" applyProtection="1">
      <protection hidden="1"/>
    </xf>
    <xf numFmtId="0" fontId="12" fillId="0" borderId="4" xfId="0" applyFont="1" applyBorder="1" applyAlignment="1" applyProtection="1">
      <alignment horizontal="center" vertical="center" wrapText="1"/>
      <protection hidden="1"/>
    </xf>
    <xf numFmtId="0" fontId="12" fillId="0" borderId="4" xfId="0" applyFont="1" applyBorder="1" applyAlignment="1" applyProtection="1">
      <alignment horizontal="center" vertical="center"/>
      <protection hidden="1"/>
    </xf>
    <xf numFmtId="165" fontId="12" fillId="0" borderId="4" xfId="0" applyNumberFormat="1" applyFont="1" applyBorder="1" applyAlignment="1" applyProtection="1">
      <alignment horizontal="center"/>
      <protection hidden="1"/>
    </xf>
    <xf numFmtId="0" fontId="12" fillId="0" borderId="4" xfId="0" applyFont="1" applyBorder="1" applyAlignment="1" applyProtection="1">
      <alignment horizontal="center"/>
      <protection hidden="1"/>
    </xf>
    <xf numFmtId="0" fontId="12" fillId="0" borderId="24" xfId="0" applyFont="1" applyBorder="1" applyProtection="1">
      <protection hidden="1"/>
    </xf>
    <xf numFmtId="0" fontId="43" fillId="11" borderId="27" xfId="0" applyFont="1" applyFill="1" applyBorder="1" applyAlignment="1" applyProtection="1">
      <alignment horizontal="right"/>
      <protection hidden="1"/>
    </xf>
    <xf numFmtId="0" fontId="12" fillId="0" borderId="25" xfId="0" applyFont="1" applyBorder="1" applyProtection="1">
      <protection hidden="1"/>
    </xf>
    <xf numFmtId="12" fontId="44" fillId="0" borderId="0" xfId="0" applyNumberFormat="1" applyFont="1" applyProtection="1">
      <protection hidden="1"/>
    </xf>
    <xf numFmtId="165" fontId="45" fillId="0" borderId="0" xfId="0" applyNumberFormat="1" applyFont="1" applyProtection="1">
      <protection hidden="1"/>
    </xf>
    <xf numFmtId="165" fontId="44" fillId="0" borderId="0" xfId="0" applyNumberFormat="1" applyFont="1" applyProtection="1">
      <protection hidden="1"/>
    </xf>
    <xf numFmtId="165" fontId="46" fillId="0" borderId="0" xfId="0" applyNumberFormat="1" applyFont="1" applyProtection="1">
      <protection hidden="1"/>
    </xf>
    <xf numFmtId="2" fontId="44" fillId="0" borderId="0" xfId="0" applyNumberFormat="1" applyFont="1" applyProtection="1">
      <protection hidden="1"/>
    </xf>
    <xf numFmtId="0" fontId="17" fillId="0" borderId="25" xfId="0" applyFont="1" applyBorder="1" applyAlignment="1" applyProtection="1">
      <alignment horizontal="center"/>
      <protection hidden="1"/>
    </xf>
    <xf numFmtId="0" fontId="16" fillId="11" borderId="29" xfId="0" applyFont="1" applyFill="1" applyBorder="1" applyAlignment="1" applyProtection="1">
      <alignment horizontal="center"/>
      <protection locked="0"/>
    </xf>
    <xf numFmtId="0" fontId="16" fillId="11" borderId="27" xfId="0" applyFont="1" applyFill="1" applyBorder="1" applyAlignment="1" applyProtection="1">
      <alignment horizontal="center"/>
      <protection locked="0"/>
    </xf>
    <xf numFmtId="0" fontId="42" fillId="11" borderId="30" xfId="4" applyFont="1" applyFill="1" applyBorder="1" applyAlignment="1" applyProtection="1">
      <alignment horizontal="center"/>
      <protection locked="0"/>
    </xf>
    <xf numFmtId="0" fontId="42" fillId="11" borderId="28" xfId="4" applyFont="1" applyFill="1" applyBorder="1" applyAlignment="1" applyProtection="1">
      <alignment horizontal="center"/>
      <protection locked="0"/>
    </xf>
    <xf numFmtId="12" fontId="16" fillId="11" borderId="4" xfId="0" applyNumberFormat="1" applyFont="1" applyFill="1" applyBorder="1" applyAlignment="1" applyProtection="1">
      <alignment horizontal="center"/>
      <protection locked="0"/>
    </xf>
    <xf numFmtId="0" fontId="42" fillId="11" borderId="4" xfId="4" applyFont="1" applyFill="1" applyBorder="1" applyAlignment="1" applyProtection="1">
      <alignment horizontal="center"/>
      <protection locked="0"/>
    </xf>
    <xf numFmtId="0" fontId="12" fillId="0" borderId="4" xfId="0" applyFont="1" applyBorder="1" applyAlignment="1" applyProtection="1">
      <alignment horizontal="center"/>
      <protection locked="0"/>
    </xf>
    <xf numFmtId="0" fontId="38" fillId="0" borderId="0" xfId="0" applyFont="1" applyProtection="1">
      <protection hidden="1"/>
    </xf>
    <xf numFmtId="0" fontId="41" fillId="0" borderId="23" xfId="0" applyFont="1" applyBorder="1"/>
    <xf numFmtId="0" fontId="41" fillId="0" borderId="1" xfId="0" applyFont="1" applyBorder="1"/>
    <xf numFmtId="0" fontId="41" fillId="0" borderId="2" xfId="0" applyFont="1" applyBorder="1"/>
    <xf numFmtId="0" fontId="0" fillId="0" borderId="26" xfId="0" applyBorder="1"/>
    <xf numFmtId="0" fontId="0" fillId="0" borderId="3" xfId="0" applyBorder="1"/>
    <xf numFmtId="0" fontId="39" fillId="0" borderId="0" xfId="0" applyFont="1" applyAlignment="1" applyProtection="1">
      <alignment horizontal="left"/>
      <protection hidden="1"/>
    </xf>
    <xf numFmtId="0" fontId="16" fillId="11" borderId="24" xfId="0" applyFont="1" applyFill="1" applyBorder="1" applyProtection="1">
      <protection locked="0"/>
    </xf>
    <xf numFmtId="0" fontId="16" fillId="11" borderId="22" xfId="0" applyFont="1" applyFill="1" applyBorder="1" applyProtection="1">
      <protection locked="0"/>
    </xf>
    <xf numFmtId="12" fontId="13" fillId="0" borderId="23" xfId="0" applyNumberFormat="1" applyFont="1" applyBorder="1" applyProtection="1">
      <protection hidden="1"/>
    </xf>
    <xf numFmtId="12" fontId="13" fillId="0" borderId="0" xfId="0" applyNumberFormat="1" applyFont="1" applyProtection="1">
      <protection hidden="1"/>
    </xf>
    <xf numFmtId="12" fontId="13" fillId="0" borderId="26" xfId="0" applyNumberFormat="1" applyFont="1" applyBorder="1" applyProtection="1">
      <protection hidden="1"/>
    </xf>
    <xf numFmtId="3" fontId="50" fillId="11" borderId="4" xfId="1" applyNumberFormat="1" applyFont="1" applyFill="1" applyBorder="1" applyProtection="1">
      <protection locked="0" hidden="1"/>
    </xf>
    <xf numFmtId="165" fontId="17" fillId="0" borderId="0" xfId="0" applyNumberFormat="1" applyFont="1" applyProtection="1">
      <protection hidden="1"/>
    </xf>
    <xf numFmtId="2" fontId="16" fillId="11" borderId="27" xfId="0" applyNumberFormat="1" applyFont="1" applyFill="1" applyBorder="1" applyAlignment="1" applyProtection="1">
      <alignment horizontal="center"/>
      <protection locked="0"/>
    </xf>
    <xf numFmtId="0" fontId="12" fillId="0" borderId="4" xfId="0" applyFont="1" applyBorder="1" applyAlignment="1" applyProtection="1">
      <alignment horizontal="left"/>
      <protection hidden="1"/>
    </xf>
    <xf numFmtId="3" fontId="16" fillId="11" borderId="15" xfId="0" applyNumberFormat="1" applyFont="1" applyFill="1" applyBorder="1" applyProtection="1">
      <protection locked="0"/>
    </xf>
    <xf numFmtId="166" fontId="17" fillId="0" borderId="15" xfId="0" applyNumberFormat="1" applyFont="1" applyBorder="1" applyProtection="1">
      <protection hidden="1"/>
    </xf>
    <xf numFmtId="0" fontId="17" fillId="0" borderId="0" xfId="0" applyFont="1" applyProtection="1">
      <protection hidden="1"/>
    </xf>
    <xf numFmtId="0" fontId="12" fillId="0" borderId="0" xfId="0" quotePrefix="1" applyFont="1" applyProtection="1">
      <protection hidden="1"/>
    </xf>
    <xf numFmtId="4" fontId="17" fillId="0" borderId="0" xfId="0" applyNumberFormat="1" applyFont="1" applyProtection="1">
      <protection hidden="1"/>
    </xf>
    <xf numFmtId="2" fontId="17" fillId="0" borderId="0" xfId="0" applyNumberFormat="1" applyFont="1" applyProtection="1">
      <protection hidden="1"/>
    </xf>
    <xf numFmtId="0" fontId="0" fillId="0" borderId="0" xfId="0" applyAlignment="1">
      <alignment horizontal="center"/>
    </xf>
    <xf numFmtId="0" fontId="3" fillId="0" borderId="0" xfId="0" applyFont="1" applyAlignment="1">
      <alignment horizontal="center"/>
    </xf>
    <xf numFmtId="12" fontId="12" fillId="0" borderId="23" xfId="0" applyNumberFormat="1" applyFont="1" applyBorder="1" applyProtection="1">
      <protection hidden="1"/>
    </xf>
    <xf numFmtId="12" fontId="12" fillId="0" borderId="0" xfId="0" applyNumberFormat="1" applyFont="1" applyProtection="1">
      <protection hidden="1"/>
    </xf>
    <xf numFmtId="1" fontId="12" fillId="0" borderId="0" xfId="0" applyNumberFormat="1" applyFont="1" applyAlignment="1" applyProtection="1">
      <alignment horizontal="center"/>
      <protection hidden="1"/>
    </xf>
    <xf numFmtId="12" fontId="12" fillId="0" borderId="0" xfId="0" applyNumberFormat="1" applyFont="1" applyAlignment="1" applyProtection="1">
      <alignment horizontal="center"/>
      <protection hidden="1"/>
    </xf>
    <xf numFmtId="1" fontId="0" fillId="0" borderId="0" xfId="0" applyNumberFormat="1" applyAlignment="1" applyProtection="1">
      <alignment horizontal="center"/>
      <protection hidden="1"/>
    </xf>
    <xf numFmtId="1" fontId="24" fillId="0" borderId="0" xfId="0" applyNumberFormat="1" applyFont="1" applyAlignment="1" applyProtection="1">
      <alignment horizontal="center"/>
      <protection hidden="1"/>
    </xf>
    <xf numFmtId="0" fontId="13" fillId="0" borderId="0" xfId="0" applyFont="1" applyAlignment="1" applyProtection="1">
      <alignment horizontal="right"/>
      <protection hidden="1"/>
    </xf>
    <xf numFmtId="0" fontId="16" fillId="11" borderId="28" xfId="4" applyFont="1" applyFill="1" applyBorder="1" applyAlignment="1" applyProtection="1">
      <alignment horizontal="right"/>
      <protection hidden="1"/>
    </xf>
    <xf numFmtId="0" fontId="13" fillId="0" borderId="24" xfId="0" applyFont="1" applyBorder="1" applyAlignment="1" applyProtection="1">
      <alignment horizontal="center"/>
      <protection hidden="1"/>
    </xf>
    <xf numFmtId="0" fontId="13" fillId="0" borderId="0" xfId="0" applyFont="1" applyAlignment="1" applyProtection="1">
      <alignment horizontal="center"/>
      <protection hidden="1"/>
    </xf>
    <xf numFmtId="0" fontId="13" fillId="0" borderId="2" xfId="0" applyFont="1" applyBorder="1" applyAlignment="1" applyProtection="1">
      <alignment horizontal="center"/>
      <protection hidden="1"/>
    </xf>
    <xf numFmtId="1" fontId="17" fillId="0" borderId="24" xfId="0" applyNumberFormat="1" applyFont="1" applyBorder="1" applyAlignment="1" applyProtection="1">
      <alignment horizontal="center"/>
      <protection hidden="1"/>
    </xf>
    <xf numFmtId="1" fontId="17" fillId="0" borderId="0" xfId="0" applyNumberFormat="1" applyFont="1" applyAlignment="1" applyProtection="1">
      <alignment horizontal="center"/>
      <protection hidden="1"/>
    </xf>
    <xf numFmtId="1" fontId="17" fillId="0" borderId="2" xfId="0" applyNumberFormat="1" applyFont="1" applyBorder="1" applyAlignment="1" applyProtection="1">
      <alignment horizontal="center"/>
      <protection hidden="1"/>
    </xf>
    <xf numFmtId="1" fontId="17" fillId="0" borderId="25" xfId="0" applyNumberFormat="1" applyFont="1" applyBorder="1" applyAlignment="1" applyProtection="1">
      <alignment horizontal="center"/>
      <protection hidden="1"/>
    </xf>
    <xf numFmtId="1" fontId="17" fillId="0" borderId="26" xfId="0" applyNumberFormat="1" applyFont="1" applyBorder="1" applyAlignment="1" applyProtection="1">
      <alignment horizontal="center"/>
      <protection hidden="1"/>
    </xf>
    <xf numFmtId="1" fontId="17" fillId="0" borderId="3" xfId="0" applyNumberFormat="1" applyFont="1" applyBorder="1" applyAlignment="1" applyProtection="1">
      <alignment horizontal="center"/>
      <protection hidden="1"/>
    </xf>
    <xf numFmtId="0" fontId="16" fillId="11" borderId="6" xfId="0" applyFont="1" applyFill="1" applyBorder="1" applyAlignment="1" applyProtection="1">
      <alignment horizontal="center"/>
      <protection hidden="1"/>
    </xf>
    <xf numFmtId="0" fontId="13" fillId="0" borderId="5" xfId="0" applyFont="1" applyBorder="1" applyAlignment="1" applyProtection="1">
      <alignment horizontal="center"/>
      <protection hidden="1"/>
    </xf>
    <xf numFmtId="1" fontId="17" fillId="0" borderId="5" xfId="0" applyNumberFormat="1" applyFont="1" applyBorder="1" applyAlignment="1" applyProtection="1">
      <alignment horizontal="center"/>
      <protection hidden="1"/>
    </xf>
    <xf numFmtId="1" fontId="17" fillId="0" borderId="7" xfId="0" applyNumberFormat="1" applyFont="1" applyBorder="1" applyAlignment="1" applyProtection="1">
      <alignment horizontal="center"/>
      <protection hidden="1"/>
    </xf>
    <xf numFmtId="3" fontId="16" fillId="4" borderId="12" xfId="5" applyNumberFormat="1" applyFont="1" applyFill="1" applyBorder="1" applyProtection="1">
      <protection locked="0"/>
    </xf>
    <xf numFmtId="166" fontId="16" fillId="4" borderId="15" xfId="5" applyNumberFormat="1" applyFont="1" applyFill="1" applyBorder="1" applyProtection="1">
      <protection locked="0"/>
    </xf>
    <xf numFmtId="9" fontId="16" fillId="4" borderId="15" xfId="5" applyNumberFormat="1" applyFont="1" applyFill="1" applyBorder="1" applyProtection="1">
      <protection locked="0"/>
    </xf>
    <xf numFmtId="4" fontId="16" fillId="4" borderId="15" xfId="5" applyNumberFormat="1" applyFont="1" applyFill="1" applyBorder="1" applyAlignment="1" applyProtection="1">
      <alignment horizontal="right"/>
      <protection locked="0"/>
    </xf>
    <xf numFmtId="167" fontId="16" fillId="4" borderId="15" xfId="5" applyNumberFormat="1" applyFont="1" applyFill="1" applyBorder="1" applyProtection="1">
      <protection locked="0"/>
    </xf>
    <xf numFmtId="3" fontId="16" fillId="4" borderId="15" xfId="5" applyNumberFormat="1" applyFont="1" applyFill="1" applyBorder="1" applyProtection="1">
      <protection locked="0"/>
    </xf>
    <xf numFmtId="167" fontId="16" fillId="11" borderId="15" xfId="5" applyNumberFormat="1" applyFont="1" applyFill="1" applyBorder="1" applyProtection="1">
      <protection locked="0"/>
    </xf>
    <xf numFmtId="4" fontId="16" fillId="4" borderId="15" xfId="5" applyNumberFormat="1" applyFont="1" applyFill="1" applyBorder="1" applyProtection="1">
      <protection locked="0"/>
    </xf>
    <xf numFmtId="0" fontId="13" fillId="0" borderId="0" xfId="0" applyFont="1" applyAlignment="1" applyProtection="1">
      <alignment horizontal="right"/>
      <protection hidden="1"/>
    </xf>
    <xf numFmtId="0" fontId="0" fillId="0" borderId="0" xfId="0" applyAlignment="1" applyProtection="1">
      <alignment horizontal="center"/>
      <protection hidden="1"/>
    </xf>
    <xf numFmtId="0" fontId="38" fillId="0" borderId="0" xfId="0" applyFont="1" applyAlignment="1" applyProtection="1">
      <alignment horizontal="center"/>
      <protection hidden="1"/>
    </xf>
    <xf numFmtId="0" fontId="19" fillId="0" borderId="22" xfId="0" applyFont="1" applyBorder="1" applyAlignment="1" applyProtection="1">
      <alignment horizontal="center" vertical="center"/>
      <protection hidden="1"/>
    </xf>
    <xf numFmtId="0" fontId="19" fillId="0" borderId="23" xfId="0" applyFont="1" applyBorder="1" applyAlignment="1" applyProtection="1">
      <alignment horizontal="center" vertical="center"/>
      <protection hidden="1"/>
    </xf>
    <xf numFmtId="0" fontId="19" fillId="0" borderId="1" xfId="0" applyFont="1" applyBorder="1" applyAlignment="1" applyProtection="1">
      <alignment horizontal="center" vertical="center"/>
      <protection hidden="1"/>
    </xf>
    <xf numFmtId="0" fontId="19" fillId="0" borderId="25" xfId="0" applyFont="1" applyBorder="1" applyAlignment="1" applyProtection="1">
      <alignment horizontal="center" vertical="center"/>
      <protection hidden="1"/>
    </xf>
    <xf numFmtId="0" fontId="19" fillId="0" borderId="26" xfId="0" applyFont="1" applyBorder="1" applyAlignment="1" applyProtection="1">
      <alignment horizontal="center" vertical="center"/>
      <protection hidden="1"/>
    </xf>
    <xf numFmtId="0" fontId="19" fillId="0" borderId="3" xfId="0" applyFont="1" applyBorder="1" applyAlignment="1" applyProtection="1">
      <alignment horizontal="center" vertical="center"/>
      <protection hidden="1"/>
    </xf>
    <xf numFmtId="0" fontId="40" fillId="0" borderId="22" xfId="0" applyFont="1" applyBorder="1" applyAlignment="1" applyProtection="1">
      <alignment horizontal="center"/>
      <protection hidden="1"/>
    </xf>
    <xf numFmtId="0" fontId="40" fillId="0" borderId="23" xfId="0" applyFont="1" applyBorder="1" applyAlignment="1" applyProtection="1">
      <alignment horizontal="center"/>
      <protection hidden="1"/>
    </xf>
    <xf numFmtId="0" fontId="40" fillId="0" borderId="1" xfId="0" applyFont="1" applyBorder="1" applyAlignment="1" applyProtection="1">
      <alignment horizontal="center"/>
      <protection hidden="1"/>
    </xf>
    <xf numFmtId="0" fontId="39" fillId="0" borderId="0" xfId="0" applyFont="1" applyAlignment="1" applyProtection="1">
      <alignment horizontal="left"/>
      <protection hidden="1"/>
    </xf>
    <xf numFmtId="0" fontId="39" fillId="0" borderId="2" xfId="0" applyFont="1" applyBorder="1" applyAlignment="1" applyProtection="1">
      <alignment horizontal="left"/>
      <protection hidden="1"/>
    </xf>
    <xf numFmtId="0" fontId="39" fillId="0" borderId="26" xfId="0" applyFont="1" applyBorder="1" applyAlignment="1" applyProtection="1">
      <alignment horizontal="left"/>
      <protection hidden="1"/>
    </xf>
    <xf numFmtId="0" fontId="39" fillId="0" borderId="3" xfId="0" applyFont="1" applyBorder="1" applyAlignment="1" applyProtection="1">
      <alignment horizontal="left"/>
      <protection hidden="1"/>
    </xf>
    <xf numFmtId="0" fontId="48" fillId="6" borderId="0" xfId="0" applyFont="1" applyFill="1" applyAlignment="1" applyProtection="1">
      <alignment horizontal="center"/>
      <protection hidden="1"/>
    </xf>
    <xf numFmtId="3" fontId="16" fillId="0" borderId="18" xfId="0" applyNumberFormat="1" applyFont="1" applyBorder="1" applyAlignment="1" applyProtection="1">
      <alignment horizontal="center"/>
      <protection hidden="1"/>
    </xf>
    <xf numFmtId="0" fontId="16" fillId="3" borderId="18" xfId="0" applyFont="1" applyFill="1" applyBorder="1" applyAlignment="1" applyProtection="1">
      <alignment horizontal="center"/>
      <protection hidden="1"/>
    </xf>
    <xf numFmtId="0" fontId="12" fillId="6" borderId="0" xfId="0" applyFont="1" applyFill="1" applyAlignment="1" applyProtection="1">
      <alignment horizontal="left"/>
      <protection hidden="1"/>
    </xf>
    <xf numFmtId="0" fontId="12" fillId="6" borderId="18" xfId="0" applyFont="1" applyFill="1" applyBorder="1" applyAlignment="1" applyProtection="1">
      <alignment horizontal="left"/>
      <protection hidden="1"/>
    </xf>
    <xf numFmtId="0" fontId="16" fillId="0" borderId="0" xfId="0" applyFont="1" applyAlignment="1" applyProtection="1">
      <alignment horizontal="center"/>
      <protection hidden="1"/>
    </xf>
    <xf numFmtId="0" fontId="16" fillId="0" borderId="16" xfId="0" applyFont="1" applyBorder="1" applyAlignment="1" applyProtection="1">
      <alignment horizontal="center"/>
      <protection hidden="1"/>
    </xf>
    <xf numFmtId="0" fontId="12" fillId="0" borderId="0" xfId="0" applyFont="1" applyAlignment="1" applyProtection="1">
      <alignment horizontal="center" vertical="top" wrapText="1"/>
      <protection hidden="1"/>
    </xf>
    <xf numFmtId="0" fontId="12" fillId="0" borderId="18" xfId="0" applyFont="1" applyBorder="1" applyAlignment="1" applyProtection="1">
      <alignment horizontal="center" vertical="top" wrapText="1"/>
      <protection hidden="1"/>
    </xf>
    <xf numFmtId="0" fontId="19" fillId="0" borderId="9" xfId="0" applyFont="1" applyBorder="1" applyAlignment="1" applyProtection="1">
      <alignment horizontal="center" vertical="top" wrapText="1"/>
      <protection hidden="1"/>
    </xf>
    <xf numFmtId="0" fontId="19" fillId="0" borderId="10" xfId="0" applyFont="1" applyBorder="1" applyAlignment="1" applyProtection="1">
      <alignment horizontal="center" vertical="top" wrapText="1"/>
      <protection hidden="1"/>
    </xf>
    <xf numFmtId="0" fontId="19" fillId="0" borderId="11" xfId="0" applyFont="1" applyBorder="1" applyAlignment="1" applyProtection="1">
      <alignment horizontal="center" vertical="top" wrapText="1"/>
      <protection hidden="1"/>
    </xf>
    <xf numFmtId="0" fontId="13" fillId="0" borderId="0" xfId="0" applyFont="1" applyAlignment="1" applyProtection="1">
      <alignment horizontal="left"/>
      <protection hidden="1"/>
    </xf>
    <xf numFmtId="0" fontId="13" fillId="0" borderId="9" xfId="2" applyFont="1" applyBorder="1" applyAlignment="1" applyProtection="1">
      <alignment horizontal="center"/>
      <protection hidden="1"/>
    </xf>
    <xf numFmtId="0" fontId="13" fillId="0" borderId="10" xfId="2" applyFont="1" applyBorder="1" applyAlignment="1" applyProtection="1">
      <alignment horizontal="center"/>
      <protection hidden="1"/>
    </xf>
    <xf numFmtId="0" fontId="47" fillId="0" borderId="23" xfId="0" applyFont="1" applyBorder="1" applyAlignment="1" applyProtection="1">
      <alignment horizontal="center" vertical="center"/>
      <protection hidden="1"/>
    </xf>
    <xf numFmtId="0" fontId="47" fillId="0" borderId="0" xfId="0" applyFont="1" applyAlignment="1" applyProtection="1">
      <alignment horizontal="center" vertical="center"/>
      <protection hidden="1"/>
    </xf>
    <xf numFmtId="0" fontId="16" fillId="11" borderId="22" xfId="0" applyFont="1" applyFill="1" applyBorder="1" applyAlignment="1" applyProtection="1">
      <alignment horizontal="center"/>
      <protection hidden="1"/>
    </xf>
    <xf numFmtId="0" fontId="16" fillId="11" borderId="23" xfId="0" applyFont="1" applyFill="1" applyBorder="1" applyAlignment="1" applyProtection="1">
      <alignment horizontal="center"/>
      <protection hidden="1"/>
    </xf>
    <xf numFmtId="0" fontId="16" fillId="11" borderId="1" xfId="0" applyFont="1" applyFill="1" applyBorder="1" applyAlignment="1" applyProtection="1">
      <alignment horizontal="center"/>
      <protection hidden="1"/>
    </xf>
    <xf numFmtId="0" fontId="13" fillId="6" borderId="31" xfId="0" applyFont="1" applyFill="1" applyBorder="1" applyAlignment="1" applyProtection="1">
      <alignment horizontal="center"/>
      <protection hidden="1"/>
    </xf>
    <xf numFmtId="0" fontId="13" fillId="6" borderId="32" xfId="0" applyFont="1" applyFill="1" applyBorder="1" applyAlignment="1" applyProtection="1">
      <alignment horizontal="center"/>
      <protection hidden="1"/>
    </xf>
    <xf numFmtId="0" fontId="13" fillId="6" borderId="33" xfId="0" applyFont="1" applyFill="1" applyBorder="1" applyAlignment="1" applyProtection="1">
      <alignment horizontal="center"/>
      <protection hidden="1"/>
    </xf>
    <xf numFmtId="0" fontId="44" fillId="0" borderId="0" xfId="0" applyFont="1" applyAlignment="1" applyProtection="1">
      <alignment horizontal="center"/>
      <protection hidden="1"/>
    </xf>
    <xf numFmtId="0" fontId="12" fillId="0" borderId="0" xfId="0" applyFont="1" applyAlignment="1" applyProtection="1">
      <alignment horizontal="left"/>
      <protection hidden="1"/>
    </xf>
    <xf numFmtId="0" fontId="12" fillId="0" borderId="2" xfId="0" applyFont="1" applyBorder="1" applyAlignment="1" applyProtection="1">
      <alignment horizontal="left"/>
      <protection hidden="1"/>
    </xf>
    <xf numFmtId="49" fontId="12" fillId="0" borderId="26" xfId="0" applyNumberFormat="1" applyFont="1" applyBorder="1" applyAlignment="1" applyProtection="1">
      <alignment horizontal="left" vertical="top" wrapText="1"/>
      <protection hidden="1"/>
    </xf>
    <xf numFmtId="49" fontId="12" fillId="0" borderId="3" xfId="0" applyNumberFormat="1" applyFont="1" applyBorder="1" applyAlignment="1" applyProtection="1">
      <alignment horizontal="left" vertical="top" wrapText="1"/>
      <protection hidden="1"/>
    </xf>
    <xf numFmtId="0" fontId="12" fillId="0" borderId="26" xfId="0" applyFont="1" applyBorder="1" applyAlignment="1" applyProtection="1">
      <alignment horizontal="left"/>
      <protection hidden="1"/>
    </xf>
    <xf numFmtId="0" fontId="12" fillId="0" borderId="3" xfId="0" applyFont="1" applyBorder="1" applyAlignment="1" applyProtection="1">
      <alignment horizontal="left"/>
      <protection hidden="1"/>
    </xf>
    <xf numFmtId="0" fontId="12" fillId="0" borderId="23" xfId="0" applyFont="1" applyBorder="1" applyAlignment="1" applyProtection="1">
      <alignment horizontal="left"/>
      <protection hidden="1"/>
    </xf>
    <xf numFmtId="0" fontId="12" fillId="0" borderId="1" xfId="0" applyFont="1" applyBorder="1" applyAlignment="1" applyProtection="1">
      <alignment horizontal="left"/>
      <protection hidden="1"/>
    </xf>
    <xf numFmtId="0" fontId="12" fillId="0" borderId="20" xfId="0" applyFont="1" applyBorder="1" applyAlignment="1" applyProtection="1">
      <alignment horizontal="left"/>
      <protection hidden="1"/>
    </xf>
    <xf numFmtId="0" fontId="3" fillId="0" borderId="0" xfId="0" applyFont="1" applyAlignment="1" applyProtection="1">
      <alignment horizontal="center"/>
      <protection hidden="1"/>
    </xf>
    <xf numFmtId="4" fontId="0" fillId="0" borderId="4" xfId="0" applyNumberFormat="1" applyBorder="1" applyAlignment="1" applyProtection="1">
      <alignment horizontal="center" vertical="center"/>
      <protection hidden="1"/>
    </xf>
    <xf numFmtId="164" fontId="0" fillId="0" borderId="4" xfId="0" applyNumberFormat="1" applyBorder="1" applyAlignment="1" applyProtection="1">
      <alignment horizontal="center"/>
      <protection hidden="1"/>
    </xf>
    <xf numFmtId="0" fontId="7" fillId="0" borderId="4" xfId="0" applyFont="1" applyBorder="1" applyAlignment="1" applyProtection="1">
      <alignment horizontal="center"/>
      <protection hidden="1"/>
    </xf>
    <xf numFmtId="49" fontId="7" fillId="0" borderId="4" xfId="0" applyNumberFormat="1" applyFont="1" applyBorder="1" applyAlignment="1" applyProtection="1">
      <alignment horizontal="center"/>
      <protection hidden="1"/>
    </xf>
    <xf numFmtId="0" fontId="3" fillId="0" borderId="0" xfId="0" applyFont="1" applyAlignment="1" applyProtection="1">
      <alignment horizontal="left"/>
      <protection hidden="1"/>
    </xf>
    <xf numFmtId="0" fontId="0" fillId="0" borderId="0" xfId="0" applyAlignment="1" applyProtection="1">
      <alignment horizontal="left"/>
      <protection hidden="1"/>
    </xf>
    <xf numFmtId="49" fontId="0" fillId="0" borderId="0" xfId="0" applyNumberFormat="1" applyAlignment="1" applyProtection="1">
      <alignment horizontal="left"/>
      <protection hidden="1"/>
    </xf>
  </cellXfs>
  <cellStyles count="6">
    <cellStyle name="20% - Accent1" xfId="1" builtinId="30"/>
    <cellStyle name="20% - Accent1 2" xfId="5" xr:uid="{00174BA1-9861-4436-8578-AECE21F6C755}"/>
    <cellStyle name="Input" xfId="4" builtinId="20"/>
    <cellStyle name="Normal" xfId="0" builtinId="0"/>
    <cellStyle name="Normal 2" xfId="2" xr:uid="{ECE24174-EBF2-423D-A62C-FB80A916B02E}"/>
    <cellStyle name="Normal_Anua_SmallCommercialDesign_072712A" xfId="3" xr:uid="{6D894969-EF02-464C-8AC9-19D2910DF5EC}"/>
  </cellStyles>
  <dxfs count="57">
    <dxf>
      <fill>
        <patternFill>
          <bgColor rgb="FFFF0000"/>
        </patternFill>
      </fill>
    </dxf>
    <dxf>
      <fill>
        <patternFill>
          <bgColor rgb="FFFF0000"/>
        </patternFill>
      </fill>
    </dxf>
    <dxf>
      <font>
        <b/>
        <i val="0"/>
        <color theme="1"/>
      </font>
      <fill>
        <patternFill>
          <bgColor rgb="FFFFFF66"/>
        </patternFill>
      </fill>
    </dxf>
    <dxf>
      <fill>
        <patternFill>
          <bgColor rgb="FFFF0000"/>
        </patternFill>
      </fill>
    </dxf>
    <dxf>
      <font>
        <color theme="0"/>
      </font>
    </dxf>
    <dxf>
      <fill>
        <patternFill>
          <bgColor rgb="FF9900CC"/>
        </patternFill>
      </fill>
    </dxf>
    <dxf>
      <fill>
        <patternFill>
          <bgColor rgb="FFFF0000"/>
        </patternFill>
      </fill>
    </dxf>
    <dxf>
      <font>
        <color theme="0"/>
      </font>
    </dxf>
    <dxf>
      <font>
        <color theme="0"/>
      </font>
    </dxf>
    <dxf>
      <font>
        <b/>
        <i val="0"/>
        <color theme="0"/>
      </font>
      <fill>
        <patternFill patternType="none">
          <bgColor auto="1"/>
        </patternFill>
      </fill>
    </dxf>
    <dxf>
      <font>
        <color theme="0"/>
      </font>
      <fill>
        <patternFill patternType="none">
          <bgColor auto="1"/>
        </patternFill>
      </fill>
    </dxf>
    <dxf>
      <font>
        <color theme="1"/>
      </font>
      <fill>
        <patternFill>
          <bgColor rgb="FFFFFF66"/>
        </patternFill>
      </fill>
    </dxf>
    <dxf>
      <numFmt numFmtId="2" formatCode="0.00"/>
      <protection locked="1" hidden="1"/>
    </dxf>
    <dxf>
      <numFmt numFmtId="2" formatCode="0.00"/>
      <protection locked="1" hidden="1"/>
    </dxf>
    <dxf>
      <numFmt numFmtId="2" formatCode="0.00"/>
      <protection locked="1" hidden="1"/>
    </dxf>
    <dxf>
      <numFmt numFmtId="2" formatCode="0.00"/>
      <protection locked="1" hidden="1"/>
    </dxf>
    <dxf>
      <numFmt numFmtId="164" formatCode="0.000"/>
      <protection locked="1" hidden="1"/>
    </dxf>
    <dxf>
      <numFmt numFmtId="17" formatCode="#\ ?/?"/>
      <alignment horizontal="center" vertical="bottom" textRotation="0" wrapText="0" indent="0" justifyLastLine="0" shrinkToFit="0" readingOrder="0"/>
      <protection locked="1" hidden="1"/>
    </dxf>
    <dxf>
      <protection locked="1" hidden="1"/>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Arial"/>
        <family val="2"/>
        <scheme val="none"/>
      </font>
      <protection locked="1" hidden="1"/>
    </dxf>
    <dxf>
      <font>
        <b val="0"/>
        <i val="0"/>
        <strike val="0"/>
        <condense val="0"/>
        <extend val="0"/>
        <outline val="0"/>
        <shadow val="0"/>
        <u val="none"/>
        <vertAlign val="baseline"/>
        <sz val="10"/>
        <color theme="1"/>
        <name val="Arial Narrow"/>
        <family val="2"/>
        <scheme val="none"/>
      </font>
      <numFmt numFmtId="30" formatCode="@"/>
      <alignment horizontal="general" vertical="bottom" textRotation="0" wrapText="1" indent="0" justifyLastLine="0" shrinkToFit="0" readingOrder="0"/>
      <protection locked="1" hidden="1"/>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protection locked="1" hidden="1"/>
    </dxf>
    <dxf>
      <protection locked="1" hidden="1"/>
    </dxf>
    <dxf>
      <font>
        <b val="0"/>
        <i val="0"/>
        <strike val="0"/>
        <condense val="0"/>
        <extend val="0"/>
        <outline val="0"/>
        <shadow val="0"/>
        <u val="none"/>
        <vertAlign val="baseline"/>
        <sz val="10"/>
        <color auto="1"/>
        <name val="Arial"/>
        <family val="2"/>
        <scheme val="none"/>
      </font>
      <protection locked="1" hidden="1"/>
    </dxf>
    <dxf>
      <alignment horizontal="center" vertical="bottom" textRotation="0" wrapText="0" indent="0" justifyLastLine="0" shrinkToFit="0" readingOrder="0"/>
      <protection locked="1" hidden="1"/>
    </dxf>
    <dxf>
      <alignment horizontal="center" vertical="bottom" textRotation="0" wrapText="0" indent="0" justifyLastLine="0" shrinkToFit="0" readingOrder="0"/>
      <protection locked="1" hidden="1"/>
    </dxf>
    <dxf>
      <alignment horizontal="center" vertical="bottom" textRotation="0" wrapText="0" indent="0" justifyLastLine="0" shrinkToFit="0" readingOrder="0"/>
      <protection locked="1" hidden="1"/>
    </dxf>
    <dxf>
      <alignment horizontal="center" vertical="bottom" textRotation="0" wrapText="0" indent="0" justifyLastLine="0" shrinkToFit="0" readingOrder="0"/>
      <protection locked="1" hidden="1"/>
    </dxf>
    <dxf>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protection locked="1" hidden="1"/>
    </dxf>
    <dxf>
      <numFmt numFmtId="0" formatCode="General"/>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alignment horizontal="center" vertical="center" textRotation="0" wrapText="0" indent="0" justifyLastLine="0" shrinkToFit="0" readingOrder="0"/>
      <protection locked="1" hidden="1"/>
    </dxf>
  </dxfs>
  <tableStyles count="0" defaultTableStyle="TableStyleMedium9" defaultPivotStyle="PivotStyleLight16"/>
  <colors>
    <mruColors>
      <color rgb="FF9900CC"/>
      <color rgb="FF66FFFF"/>
      <color rgb="FFCC00FF"/>
      <color rgb="FFCC66FF"/>
      <color rgb="FFCC99FF"/>
      <color rgb="FF660066"/>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0" i="0" u="none" strike="noStrike" baseline="0">
                <a:solidFill>
                  <a:srgbClr val="000000"/>
                </a:solidFill>
                <a:latin typeface="Arial"/>
                <a:ea typeface="Arial"/>
                <a:cs typeface="Arial"/>
              </a:defRPr>
            </a:pPr>
            <a:r>
              <a:rPr lang="en-US"/>
              <a:t>2 GPH</a:t>
            </a:r>
          </a:p>
        </c:rich>
      </c:tx>
      <c:layout>
        <c:manualLayout>
          <c:xMode val="edge"/>
          <c:yMode val="edge"/>
          <c:x val="0.46000069991251091"/>
          <c:y val="3.1460674157303373E-2"/>
        </c:manualLayout>
      </c:layout>
      <c:overlay val="0"/>
      <c:spPr>
        <a:noFill/>
        <a:ln w="25400">
          <a:noFill/>
        </a:ln>
      </c:spPr>
    </c:title>
    <c:autoTitleDeleted val="0"/>
    <c:plotArea>
      <c:layout>
        <c:manualLayout>
          <c:layoutTarget val="inner"/>
          <c:xMode val="edge"/>
          <c:yMode val="edge"/>
          <c:x val="0.13000021158888606"/>
          <c:y val="0.14382038252763182"/>
          <c:w val="0.68833445366935819"/>
          <c:h val="0.75505700827006705"/>
        </c:manualLayout>
      </c:layout>
      <c:scatterChart>
        <c:scatterStyle val="smoothMarker"/>
        <c:varyColors val="0"/>
        <c:ser>
          <c:idx val="0"/>
          <c:order val="0"/>
          <c:tx>
            <c:v>24 Inch</c:v>
          </c:tx>
          <c:spPr>
            <a:ln w="12700">
              <a:solidFill>
                <a:srgbClr val="000080"/>
              </a:solidFill>
              <a:prstDash val="solid"/>
            </a:ln>
          </c:spPr>
          <c:marker>
            <c:symbol val="none"/>
          </c:marker>
          <c:xVal>
            <c:numLit>
              <c:formatCode>General</c:formatCode>
              <c:ptCount val="209"/>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pt idx="101">
                <c:v>202</c:v>
              </c:pt>
              <c:pt idx="102">
                <c:v>204</c:v>
              </c:pt>
              <c:pt idx="103">
                <c:v>206</c:v>
              </c:pt>
              <c:pt idx="104">
                <c:v>208</c:v>
              </c:pt>
              <c:pt idx="105">
                <c:v>210</c:v>
              </c:pt>
              <c:pt idx="106">
                <c:v>212</c:v>
              </c:pt>
              <c:pt idx="107">
                <c:v>214</c:v>
              </c:pt>
              <c:pt idx="108">
                <c:v>216</c:v>
              </c:pt>
              <c:pt idx="109">
                <c:v>218</c:v>
              </c:pt>
              <c:pt idx="110">
                <c:v>220</c:v>
              </c:pt>
              <c:pt idx="111">
                <c:v>222</c:v>
              </c:pt>
              <c:pt idx="112">
                <c:v>224</c:v>
              </c:pt>
              <c:pt idx="113">
                <c:v>226</c:v>
              </c:pt>
              <c:pt idx="114">
                <c:v>228</c:v>
              </c:pt>
              <c:pt idx="115">
                <c:v>230</c:v>
              </c:pt>
              <c:pt idx="116">
                <c:v>232</c:v>
              </c:pt>
              <c:pt idx="117">
                <c:v>234</c:v>
              </c:pt>
              <c:pt idx="118">
                <c:v>236</c:v>
              </c:pt>
              <c:pt idx="119">
                <c:v>238</c:v>
              </c:pt>
              <c:pt idx="120">
                <c:v>240</c:v>
              </c:pt>
              <c:pt idx="121">
                <c:v>242</c:v>
              </c:pt>
              <c:pt idx="122">
                <c:v>244</c:v>
              </c:pt>
              <c:pt idx="123">
                <c:v>246</c:v>
              </c:pt>
              <c:pt idx="124">
                <c:v>248</c:v>
              </c:pt>
              <c:pt idx="125">
                <c:v>250</c:v>
              </c:pt>
              <c:pt idx="126">
                <c:v>252</c:v>
              </c:pt>
              <c:pt idx="127">
                <c:v>254</c:v>
              </c:pt>
              <c:pt idx="128">
                <c:v>256</c:v>
              </c:pt>
              <c:pt idx="129">
                <c:v>258</c:v>
              </c:pt>
              <c:pt idx="130">
                <c:v>260</c:v>
              </c:pt>
              <c:pt idx="131">
                <c:v>262</c:v>
              </c:pt>
              <c:pt idx="132">
                <c:v>264</c:v>
              </c:pt>
              <c:pt idx="133">
                <c:v>266</c:v>
              </c:pt>
              <c:pt idx="134">
                <c:v>268</c:v>
              </c:pt>
              <c:pt idx="135">
                <c:v>270</c:v>
              </c:pt>
              <c:pt idx="136">
                <c:v>272</c:v>
              </c:pt>
              <c:pt idx="137">
                <c:v>274</c:v>
              </c:pt>
              <c:pt idx="138">
                <c:v>276</c:v>
              </c:pt>
              <c:pt idx="139">
                <c:v>278</c:v>
              </c:pt>
              <c:pt idx="140">
                <c:v>280</c:v>
              </c:pt>
              <c:pt idx="141">
                <c:v>282</c:v>
              </c:pt>
              <c:pt idx="142">
                <c:v>284</c:v>
              </c:pt>
              <c:pt idx="143">
                <c:v>286</c:v>
              </c:pt>
              <c:pt idx="144">
                <c:v>288</c:v>
              </c:pt>
              <c:pt idx="145">
                <c:v>290</c:v>
              </c:pt>
              <c:pt idx="146">
                <c:v>292</c:v>
              </c:pt>
              <c:pt idx="147">
                <c:v>294</c:v>
              </c:pt>
              <c:pt idx="148">
                <c:v>296</c:v>
              </c:pt>
              <c:pt idx="149">
                <c:v>298</c:v>
              </c:pt>
              <c:pt idx="150">
                <c:v>300</c:v>
              </c:pt>
              <c:pt idx="151">
                <c:v>302</c:v>
              </c:pt>
              <c:pt idx="152">
                <c:v>304</c:v>
              </c:pt>
              <c:pt idx="153">
                <c:v>306</c:v>
              </c:pt>
              <c:pt idx="154">
                <c:v>308</c:v>
              </c:pt>
              <c:pt idx="155">
                <c:v>310</c:v>
              </c:pt>
              <c:pt idx="156">
                <c:v>312</c:v>
              </c:pt>
              <c:pt idx="157">
                <c:v>314</c:v>
              </c:pt>
              <c:pt idx="158">
                <c:v>316</c:v>
              </c:pt>
              <c:pt idx="159">
                <c:v>318</c:v>
              </c:pt>
              <c:pt idx="160">
                <c:v>320</c:v>
              </c:pt>
              <c:pt idx="161">
                <c:v>322</c:v>
              </c:pt>
              <c:pt idx="162">
                <c:v>324</c:v>
              </c:pt>
              <c:pt idx="163">
                <c:v>326</c:v>
              </c:pt>
              <c:pt idx="164">
                <c:v>328</c:v>
              </c:pt>
              <c:pt idx="165">
                <c:v>330</c:v>
              </c:pt>
              <c:pt idx="166">
                <c:v>332</c:v>
              </c:pt>
              <c:pt idx="167">
                <c:v>334</c:v>
              </c:pt>
              <c:pt idx="168">
                <c:v>336</c:v>
              </c:pt>
              <c:pt idx="169">
                <c:v>338</c:v>
              </c:pt>
              <c:pt idx="170">
                <c:v>340</c:v>
              </c:pt>
              <c:pt idx="171">
                <c:v>342</c:v>
              </c:pt>
              <c:pt idx="172">
                <c:v>344</c:v>
              </c:pt>
              <c:pt idx="173">
                <c:v>346</c:v>
              </c:pt>
              <c:pt idx="174">
                <c:v>348</c:v>
              </c:pt>
              <c:pt idx="175">
                <c:v>350</c:v>
              </c:pt>
              <c:pt idx="176">
                <c:v>352</c:v>
              </c:pt>
              <c:pt idx="177">
                <c:v>354</c:v>
              </c:pt>
              <c:pt idx="178">
                <c:v>356</c:v>
              </c:pt>
              <c:pt idx="179">
                <c:v>358</c:v>
              </c:pt>
              <c:pt idx="180">
                <c:v>360</c:v>
              </c:pt>
              <c:pt idx="181">
                <c:v>362</c:v>
              </c:pt>
              <c:pt idx="182">
                <c:v>364</c:v>
              </c:pt>
              <c:pt idx="183">
                <c:v>366</c:v>
              </c:pt>
              <c:pt idx="184">
                <c:v>368</c:v>
              </c:pt>
              <c:pt idx="185">
                <c:v>370</c:v>
              </c:pt>
              <c:pt idx="186">
                <c:v>372</c:v>
              </c:pt>
              <c:pt idx="187">
                <c:v>374</c:v>
              </c:pt>
              <c:pt idx="188">
                <c:v>376</c:v>
              </c:pt>
              <c:pt idx="189">
                <c:v>378</c:v>
              </c:pt>
              <c:pt idx="190">
                <c:v>380</c:v>
              </c:pt>
              <c:pt idx="191">
                <c:v>382</c:v>
              </c:pt>
              <c:pt idx="192">
                <c:v>384</c:v>
              </c:pt>
              <c:pt idx="193">
                <c:v>386</c:v>
              </c:pt>
              <c:pt idx="194">
                <c:v>388</c:v>
              </c:pt>
              <c:pt idx="195">
                <c:v>390</c:v>
              </c:pt>
              <c:pt idx="196">
                <c:v>392</c:v>
              </c:pt>
              <c:pt idx="197">
                <c:v>394</c:v>
              </c:pt>
              <c:pt idx="198">
                <c:v>396</c:v>
              </c:pt>
              <c:pt idx="199">
                <c:v>398</c:v>
              </c:pt>
              <c:pt idx="200">
                <c:v>400</c:v>
              </c:pt>
              <c:pt idx="201">
                <c:v>402</c:v>
              </c:pt>
              <c:pt idx="202">
                <c:v>404</c:v>
              </c:pt>
              <c:pt idx="203">
                <c:v>406</c:v>
              </c:pt>
              <c:pt idx="204">
                <c:v>408</c:v>
              </c:pt>
              <c:pt idx="205">
                <c:v>410</c:v>
              </c:pt>
              <c:pt idx="206">
                <c:v>412</c:v>
              </c:pt>
              <c:pt idx="207">
                <c:v>414</c:v>
              </c:pt>
              <c:pt idx="208">
                <c:v>416</c:v>
              </c:pt>
            </c:numLit>
          </c:xVal>
          <c:yVal>
            <c:numLit>
              <c:formatCode>General</c:formatCode>
              <c:ptCount val="209"/>
              <c:pt idx="0">
                <c:v>0.9365</c:v>
              </c:pt>
              <c:pt idx="1">
                <c:v>0.9364999940193518</c:v>
              </c:pt>
              <c:pt idx="2">
                <c:v>0.93649997695631193</c:v>
              </c:pt>
              <c:pt idx="3">
                <c:v>0.93649994379471424</c:v>
              </c:pt>
              <c:pt idx="4">
                <c:v>0.93649988963500908</c:v>
              </c:pt>
              <c:pt idx="5">
                <c:v>0.93649980966144619</c:v>
              </c:pt>
              <c:pt idx="6">
                <c:v>0.93649969912328535</c:v>
              </c:pt>
              <c:pt idx="7">
                <c:v>0.93649955332273882</c:v>
              </c:pt>
              <c:pt idx="8">
                <c:v>0.93649936760664654</c:v>
              </c:pt>
              <c:pt idx="9">
                <c:v>0.9364991373604411</c:v>
              </c:pt>
              <c:pt idx="10">
                <c:v>0.93649885800361177</c:v>
              </c:pt>
              <c:pt idx="11">
                <c:v>0.93649852498620678</c:v>
              </c:pt>
              <c:pt idx="12">
                <c:v>0.93649813378608726</c:v>
              </c:pt>
              <c:pt idx="13">
                <c:v>0.93649767990673749</c:v>
              </c:pt>
              <c:pt idx="14">
                <c:v>0.93649715887550844</c:v>
              </c:pt>
              <c:pt idx="15">
                <c:v>0.93649656624219735</c:v>
              </c:pt>
              <c:pt idx="16">
                <c:v>0.93649589757790119</c:v>
              </c:pt>
              <c:pt idx="17">
                <c:v>0.93649514847409188</c:v>
              </c:pt>
              <c:pt idx="18">
                <c:v>0.93649431454187626</c:v>
              </c:pt>
              <c:pt idx="19">
                <c:v>0.93649339141141463</c:v>
              </c:pt>
              <c:pt idx="20">
                <c:v>0.93649237473147051</c:v>
              </c:pt>
              <c:pt idx="21">
                <c:v>0.93649126016907747</c:v>
              </c:pt>
              <c:pt idx="22">
                <c:v>0.93649004340930664</c:v>
              </c:pt>
              <c:pt idx="23">
                <c:v>0.93648872015512441</c:v>
              </c:pt>
              <c:pt idx="24">
                <c:v>0.93648728612732735</c:v>
              </c:pt>
              <c:pt idx="25">
                <c:v>0.93648573706455129</c:v>
              </c:pt>
              <c:pt idx="26">
                <c:v>0.936484068723341</c:v>
              </c:pt>
              <c:pt idx="27">
                <c:v>0.93648227687828245</c:v>
              </c:pt>
              <c:pt idx="28">
                <c:v>0.9364803573221856</c:v>
              </c:pt>
              <c:pt idx="29">
                <c:v>0.93647830586631675</c:v>
              </c:pt>
              <c:pt idx="30">
                <c:v>0.93647611834067668</c:v>
              </c:pt>
              <c:pt idx="31">
                <c:v>0.93647379059432101</c:v>
              </c:pt>
              <c:pt idx="32">
                <c:v>0.93647131849571763</c:v>
              </c:pt>
              <c:pt idx="33">
                <c:v>0.93646869793314313</c:v>
              </c:pt>
              <c:pt idx="34">
                <c:v>0.93646592481511015</c:v>
              </c:pt>
              <c:pt idx="35">
                <c:v>0.93646299507082942</c:v>
              </c:pt>
              <c:pt idx="36">
                <c:v>0.93645990465069862</c:v>
              </c:pt>
              <c:pt idx="37">
                <c:v>0.93645664952682106</c:v>
              </c:pt>
              <c:pt idx="38">
                <c:v>0.93645322569354994</c:v>
              </c:pt>
              <c:pt idx="39">
                <c:v>0.93644962916805652</c:v>
              </c:pt>
              <c:pt idx="40">
                <c:v>0.93644585599092245</c:v>
              </c:pt>
              <c:pt idx="41">
                <c:v>0.93644190222675316</c:v>
              </c:pt>
              <c:pt idx="42">
                <c:v>0.93643776396481138</c:v>
              </c:pt>
              <c:pt idx="43">
                <c:v>0.93643343731966933</c:v>
              </c:pt>
              <c:pt idx="44">
                <c:v>0.93642891843188025</c:v>
              </c:pt>
              <c:pt idx="45">
                <c:v>0.93642420346866451</c:v>
              </c:pt>
              <c:pt idx="46">
                <c:v>0.93641928862461121</c:v>
              </c:pt>
              <c:pt idx="47">
                <c:v>0.93641417012239647</c:v>
              </c:pt>
              <c:pt idx="48">
                <c:v>0.93640884421351112</c:v>
              </c:pt>
              <c:pt idx="49">
                <c:v>0.93640330717900311</c:v>
              </c:pt>
              <c:pt idx="50">
                <c:v>0.9363975553302295</c:v>
              </c:pt>
              <c:pt idx="51">
                <c:v>0.9363915850096195</c:v>
              </c:pt>
              <c:pt idx="52">
                <c:v>0.93638539259144393</c:v>
              </c:pt>
              <c:pt idx="53">
                <c:v>0.93637897448259533</c:v>
              </c:pt>
              <c:pt idx="54">
                <c:v>0.93637232712337248</c:v>
              </c:pt>
              <c:pt idx="55">
                <c:v>0.93636544698827207</c:v>
              </c:pt>
              <c:pt idx="56">
                <c:v>0.93635833058678386</c:v>
              </c:pt>
              <c:pt idx="57">
                <c:v>0.93635097446418991</c:v>
              </c:pt>
              <c:pt idx="58">
                <c:v>0.93634337520236677</c:v>
              </c:pt>
              <c:pt idx="59">
                <c:v>0.93633552942058906</c:v>
              </c:pt>
              <c:pt idx="60">
                <c:v>0.93632743377633232</c:v>
              </c:pt>
              <c:pt idx="61">
                <c:v>0.93631908496607863</c:v>
              </c:pt>
              <c:pt idx="62">
                <c:v>0.93631047972611714</c:v>
              </c:pt>
              <c:pt idx="63">
                <c:v>0.93630161483334429</c:v>
              </c:pt>
              <c:pt idx="64">
                <c:v>0.93629248710606072</c:v>
              </c:pt>
              <c:pt idx="65">
                <c:v>0.93628309340476257</c:v>
              </c:pt>
              <c:pt idx="66">
                <c:v>0.936273430632929</c:v>
              </c:pt>
              <c:pt idx="67">
                <c:v>0.93626349573780221</c:v>
              </c:pt>
              <c:pt idx="68">
                <c:v>0.93625328571116018</c:v>
              </c:pt>
              <c:pt idx="69">
                <c:v>0.936242797590083</c:v>
              </c:pt>
              <c:pt idx="70">
                <c:v>0.93623202845770703</c:v>
              </c:pt>
              <c:pt idx="71">
                <c:v>0.93622097544397187</c:v>
              </c:pt>
              <c:pt idx="72">
                <c:v>0.93620963572635474</c:v>
              </c:pt>
              <c:pt idx="73">
                <c:v>0.93619800653059382</c:v>
              </c:pt>
              <c:pt idx="74">
                <c:v>0.93618608513139812</c:v>
              </c:pt>
              <c:pt idx="75">
                <c:v>0.9361738688531438</c:v>
              </c:pt>
              <c:pt idx="76">
                <c:v>0.93616135507055698</c:v>
              </c:pt>
              <c:pt idx="77">
                <c:v>0.93614854120938018</c:v>
              </c:pt>
              <c:pt idx="78">
                <c:v>0.93613542474702249</c:v>
              </c:pt>
              <c:pt idx="79">
                <c:v>0.93612200321319472</c:v>
              </c:pt>
              <c:pt idx="80">
                <c:v>0.93610827419052323</c:v>
              </c:pt>
              <c:pt idx="81">
                <c:v>0.93609423531514957</c:v>
              </c:pt>
              <c:pt idx="82">
                <c:v>0.93607988427730726</c:v>
              </c:pt>
              <c:pt idx="83">
                <c:v>0.93606521882188143</c:v>
              </c:pt>
              <c:pt idx="84">
                <c:v>0.9360502367489455</c:v>
              </c:pt>
              <c:pt idx="85">
                <c:v>0.93603493591427833</c:v>
              </c:pt>
              <c:pt idx="86">
                <c:v>0.93601931422985973</c:v>
              </c:pt>
              <c:pt idx="87">
                <c:v>0.93600336966433995</c:v>
              </c:pt>
              <c:pt idx="88">
                <c:v>0.93598710024349197</c:v>
              </c:pt>
              <c:pt idx="89">
                <c:v>0.93597050405063464</c:v>
              </c:pt>
              <c:pt idx="90">
                <c:v>0.93595357922703537</c:v>
              </c:pt>
              <c:pt idx="91">
                <c:v>0.93593632397228621</c:v>
              </c:pt>
              <c:pt idx="92">
                <c:v>0.93591873654465518</c:v>
              </c:pt>
              <c:pt idx="93">
                <c:v>0.93590081526141344</c:v>
              </c:pt>
              <c:pt idx="94">
                <c:v>0.93588255849913449</c:v>
              </c:pt>
              <c:pt idx="95">
                <c:v>0.93586396469396871</c:v>
              </c:pt>
              <c:pt idx="96">
                <c:v>0.93584503234189131</c:v>
              </c:pt>
              <c:pt idx="97">
                <c:v>0.93582575999892126</c:v>
              </c:pt>
              <c:pt idx="98">
                <c:v>0.93580614628131709</c:v>
              </c:pt>
              <c:pt idx="99">
                <c:v>0.93578618986574169</c:v>
              </c:pt>
              <c:pt idx="100">
                <c:v>0.9357658894894012</c:v>
              </c:pt>
              <c:pt idx="101">
                <c:v>0.93574524395015657</c:v>
              </c:pt>
              <c:pt idx="102">
                <c:v>0.93572425210660648</c:v>
              </c:pt>
              <c:pt idx="103">
                <c:v>0.935702912878143</c:v>
              </c:pt>
              <c:pt idx="104">
                <c:v>0.93568122524497988</c:v>
              </c:pt>
              <c:pt idx="105">
                <c:v>0.93565918824815142</c:v>
              </c:pt>
              <c:pt idx="106">
                <c:v>0.93563680098948532</c:v>
              </c:pt>
              <c:pt idx="107">
                <c:v>0.93561406263154578</c:v>
              </c:pt>
              <c:pt idx="108">
                <c:v>0.93559097239755151</c:v>
              </c:pt>
              <c:pt idx="109">
                <c:v>0.93556752957126377</c:v>
              </c:pt>
              <c:pt idx="110">
                <c:v>0.93554373349684838</c:v>
              </c:pt>
              <c:pt idx="111">
                <c:v>0.93551958357871001</c:v>
              </c:pt>
              <c:pt idx="112">
                <c:v>0.9354950792812996</c:v>
              </c:pt>
              <c:pt idx="113">
                <c:v>0.9354702201288958</c:v>
              </c:pt>
              <c:pt idx="114">
                <c:v>0.93544500570535827</c:v>
              </c:pt>
              <c:pt idx="115">
                <c:v>0.93541943565385743</c:v>
              </c:pt>
              <c:pt idx="116">
                <c:v>0.93539350967657575</c:v>
              </c:pt>
              <c:pt idx="117">
                <c:v>0.93536722753438584</c:v>
              </c:pt>
              <c:pt idx="118">
                <c:v>0.93534058904650264</c:v>
              </c:pt>
              <c:pt idx="119">
                <c:v>0.93531359409011094</c:v>
              </c:pt>
              <c:pt idx="120">
                <c:v>0.93528624259996918</c:v>
              </c:pt>
              <c:pt idx="121">
                <c:v>0.93525853456799013</c:v>
              </c:pt>
              <c:pt idx="122">
                <c:v>0.93523047004279691</c:v>
              </c:pt>
              <c:pt idx="123">
                <c:v>0.93520204912925831</c:v>
              </c:pt>
              <c:pt idx="124">
                <c:v>0.9351732719880006</c:v>
              </c:pt>
              <c:pt idx="125">
                <c:v>0.93514413883489977</c:v>
              </c:pt>
              <c:pt idx="126">
                <c:v>0.93511464994054994</c:v>
              </c:pt>
              <c:pt idx="127">
                <c:v>0.93508480562971441</c:v>
              </c:pt>
              <c:pt idx="128">
                <c:v>0.93505460628075565</c:v>
              </c:pt>
              <c:pt idx="129">
                <c:v>0.93502405232504582</c:v>
              </c:pt>
              <c:pt idx="130">
                <c:v>0.93499314424636015</c:v>
              </c:pt>
              <c:pt idx="131">
                <c:v>0.93496188258025192</c:v>
              </c:pt>
              <c:pt idx="132">
                <c:v>0.93493026791340983</c:v>
              </c:pt>
              <c:pt idx="133">
                <c:v>0.93489830088299974</c:v>
              </c:pt>
              <c:pt idx="134">
                <c:v>0.93486598217599082</c:v>
              </c:pt>
              <c:pt idx="135">
                <c:v>0.93483331252846547</c:v>
              </c:pt>
              <c:pt idx="136">
                <c:v>0.9348002927249166</c:v>
              </c:pt>
              <c:pt idx="137">
                <c:v>0.93476692359752955</c:v>
              </c:pt>
              <c:pt idx="138">
                <c:v>0.9347332060254524</c:v>
              </c:pt>
              <c:pt idx="139">
                <c:v>0.93469914093405326</c:v>
              </c:pt>
              <c:pt idx="140">
                <c:v>0.93466472929416611</c:v>
              </c:pt>
              <c:pt idx="141">
                <c:v>0.93462997212132637</c:v>
              </c:pt>
              <c:pt idx="142">
                <c:v>0.9345948704749959</c:v>
              </c:pt>
              <c:pt idx="143">
                <c:v>0.93455942545777781</c:v>
              </c:pt>
              <c:pt idx="144">
                <c:v>0.93452363821462558</c:v>
              </c:pt>
              <c:pt idx="145">
                <c:v>0.93448750993203866</c:v>
              </c:pt>
              <c:pt idx="146">
                <c:v>0.93445104183725736</c:v>
              </c:pt>
              <c:pt idx="147">
                <c:v>0.93441423519744482</c:v>
              </c:pt>
              <c:pt idx="148">
                <c:v>0.93437709131886926</c:v>
              </c:pt>
              <c:pt idx="149">
                <c:v>0.9343396115460747</c:v>
              </c:pt>
              <c:pt idx="150">
                <c:v>0.934301797261052</c:v>
              </c:pt>
              <c:pt idx="151">
                <c:v>0.9342636498824024</c:v>
              </c:pt>
              <c:pt idx="152">
                <c:v>0.93422517086450108</c:v>
              </c:pt>
              <c:pt idx="153">
                <c:v>0.93418636169665537</c:v>
              </c:pt>
              <c:pt idx="154">
                <c:v>0.93414722390226146</c:v>
              </c:pt>
              <c:pt idx="155">
                <c:v>0.93410775903796084</c:v>
              </c:pt>
              <c:pt idx="156">
                <c:v>0.93406796869279451</c:v>
              </c:pt>
              <c:pt idx="157">
                <c:v>0.93402785448735814</c:v>
              </c:pt>
              <c:pt idx="158">
                <c:v>0.93398741807295638</c:v>
              </c:pt>
              <c:pt idx="159">
                <c:v>0.93394666113075886</c:v>
              </c:pt>
              <c:pt idx="160">
                <c:v>0.93390558537095736</c:v>
              </c:pt>
              <c:pt idx="161">
                <c:v>0.9338641925319251</c:v>
              </c:pt>
              <c:pt idx="162">
                <c:v>0.93382248437937831</c:v>
              </c:pt>
              <c:pt idx="163">
                <c:v>0.9337804627055406</c:v>
              </c:pt>
              <c:pt idx="164">
                <c:v>0.93373812932831124</c:v>
              </c:pt>
              <c:pt idx="165">
                <c:v>0.93369548609043784</c:v>
              </c:pt>
              <c:pt idx="166">
                <c:v>0.93365253485869149</c:v>
              </c:pt>
              <c:pt idx="167">
                <c:v>0.93360927752304967</c:v>
              </c:pt>
              <c:pt idx="168">
                <c:v>0.93356571599588156</c:v>
              </c:pt>
              <c:pt idx="169">
                <c:v>0.93352185221114081</c:v>
              </c:pt>
              <c:pt idx="170">
                <c:v>0.93347768812356391</c:v>
              </c:pt>
              <c:pt idx="171">
                <c:v>0.93343322570787546</c:v>
              </c:pt>
              <c:pt idx="172">
                <c:v>0.93338846695799871</c:v>
              </c:pt>
              <c:pt idx="173">
                <c:v>0.93334341388627584</c:v>
              </c:pt>
              <c:pt idx="174">
                <c:v>0.93329806852269237</c:v>
              </c:pt>
              <c:pt idx="175">
                <c:v>0.93325243291411319</c:v>
              </c:pt>
              <c:pt idx="176">
                <c:v>0.9332065091235231</c:v>
              </c:pt>
              <c:pt idx="177">
                <c:v>0.93316029922927901</c:v>
              </c:pt>
              <c:pt idx="178">
                <c:v>0.93311380532436783</c:v>
              </c:pt>
              <c:pt idx="179">
                <c:v>0.93306702951567499</c:v>
              </c:pt>
              <c:pt idx="180">
                <c:v>0.9330199739232623</c:v>
              </c:pt>
              <c:pt idx="181">
                <c:v>0.9329726406796538</c:v>
              </c:pt>
              <c:pt idx="182">
                <c:v>0.93292503192913268</c:v>
              </c:pt>
              <c:pt idx="183">
                <c:v>0.93287714982704695</c:v>
              </c:pt>
              <c:pt idx="184">
                <c:v>0.93282899653912454</c:v>
              </c:pt>
              <c:pt idx="185">
                <c:v>0.93278057424080141</c:v>
              </c:pt>
              <c:pt idx="186">
                <c:v>0.93273188511655536</c:v>
              </c:pt>
              <c:pt idx="187">
                <c:v>0.93268293135925429</c:v>
              </c:pt>
              <c:pt idx="188">
                <c:v>0.93263371516951321</c:v>
              </c:pt>
              <c:pt idx="189">
                <c:v>0.93258423875506169</c:v>
              </c:pt>
              <c:pt idx="190">
                <c:v>0.93253450433012197</c:v>
              </c:pt>
              <c:pt idx="191">
                <c:v>0.93248451411479938</c:v>
              </c:pt>
              <c:pt idx="192">
                <c:v>0.93243427033448145</c:v>
              </c:pt>
              <c:pt idx="193">
                <c:v>0.93238377521925031</c:v>
              </c:pt>
              <c:pt idx="194">
                <c:v>0.93233303100330367</c:v>
              </c:pt>
              <c:pt idx="195">
                <c:v>0.93228203992438896</c:v>
              </c:pt>
              <c:pt idx="196">
                <c:v>0.93223080422324622</c:v>
              </c:pt>
              <c:pt idx="197">
                <c:v>0.93217932614306609</c:v>
              </c:pt>
              <c:pt idx="198">
                <c:v>0.93212760792895311</c:v>
              </c:pt>
              <c:pt idx="199">
                <c:v>0.93207565182740604</c:v>
              </c:pt>
              <c:pt idx="200">
                <c:v>0.93202346008580494</c:v>
              </c:pt>
              <c:pt idx="201">
                <c:v>0.93197103495191158</c:v>
              </c:pt>
              <c:pt idx="202">
                <c:v>0.93191837867338023</c:v>
              </c:pt>
              <c:pt idx="203">
                <c:v>0.93186549349727921</c:v>
              </c:pt>
              <c:pt idx="204">
                <c:v>0.93181238166962443</c:v>
              </c:pt>
              <c:pt idx="205">
                <c:v>0.93175904543492261</c:v>
              </c:pt>
              <c:pt idx="206">
                <c:v>0.93170548703572609</c:v>
              </c:pt>
              <c:pt idx="207">
                <c:v>0.93165170871219871</c:v>
              </c:pt>
              <c:pt idx="208">
                <c:v>0.93159771270169167</c:v>
              </c:pt>
            </c:numLit>
          </c:yVal>
          <c:smooth val="1"/>
          <c:extLst>
            <c:ext xmlns:c16="http://schemas.microsoft.com/office/drawing/2014/chart" uri="{C3380CC4-5D6E-409C-BE32-E72D297353CC}">
              <c16:uniqueId val="{00000000-FDFA-4CE9-ABBF-934604247559}"/>
            </c:ext>
          </c:extLst>
        </c:ser>
        <c:dLbls>
          <c:showLegendKey val="0"/>
          <c:showVal val="0"/>
          <c:showCatName val="0"/>
          <c:showSerName val="0"/>
          <c:showPercent val="0"/>
          <c:showBubbleSize val="0"/>
        </c:dLbls>
        <c:axId val="1914638160"/>
        <c:axId val="1"/>
      </c:scatterChart>
      <c:valAx>
        <c:axId val="19146381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max val="1"/>
          <c:min val="0.75"/>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914638160"/>
        <c:crosses val="autoZero"/>
        <c:crossBetween val="midCat"/>
      </c:valAx>
      <c:spPr>
        <a:solidFill>
          <a:srgbClr val="C0C0C0"/>
        </a:solidFill>
        <a:ln w="12700">
          <a:solidFill>
            <a:srgbClr val="808080"/>
          </a:solidFill>
          <a:prstDash val="solid"/>
        </a:ln>
      </c:spPr>
    </c:plotArea>
    <c:legend>
      <c:legendPos val="r"/>
      <c:layout>
        <c:manualLayout>
          <c:xMode val="edge"/>
          <c:yMode val="edge"/>
          <c:x val="0.85500139982502177"/>
          <c:y val="0.49662968533427704"/>
          <c:w val="0.13000017497812777"/>
          <c:h val="4.9438202247191032E-2"/>
        </c:manualLayout>
      </c:layout>
      <c:overlay val="0"/>
      <c:spPr>
        <a:solidFill>
          <a:srgbClr val="FFFFFF"/>
        </a:solidFill>
        <a:ln w="3175">
          <a:solidFill>
            <a:srgbClr val="000000"/>
          </a:solidFill>
          <a:prstDash val="solid"/>
        </a:ln>
      </c:spPr>
      <c:txPr>
        <a:bodyPr/>
        <a:lstStyle/>
        <a:p>
          <a:pPr>
            <a:defRPr sz="87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0" i="0" u="none" strike="noStrike" baseline="0">
                <a:solidFill>
                  <a:srgbClr val="000000"/>
                </a:solidFill>
                <a:latin typeface="Arial"/>
                <a:ea typeface="Arial"/>
                <a:cs typeface="Arial"/>
              </a:defRPr>
            </a:pPr>
            <a:r>
              <a:rPr lang="en-US"/>
              <a:t>2 GPH</a:t>
            </a:r>
          </a:p>
        </c:rich>
      </c:tx>
      <c:layout>
        <c:manualLayout>
          <c:xMode val="edge"/>
          <c:yMode val="edge"/>
          <c:x val="0.45982977768804539"/>
          <c:y val="3.1460674157303373E-2"/>
        </c:manualLayout>
      </c:layout>
      <c:overlay val="0"/>
      <c:spPr>
        <a:noFill/>
        <a:ln w="25400">
          <a:noFill/>
        </a:ln>
      </c:spPr>
    </c:title>
    <c:autoTitleDeleted val="0"/>
    <c:plotArea>
      <c:layout>
        <c:manualLayout>
          <c:layoutTarget val="inner"/>
          <c:xMode val="edge"/>
          <c:yMode val="edge"/>
          <c:x val="0.13162415134907743"/>
          <c:y val="0.14382038252763182"/>
          <c:w val="0.68205242062703764"/>
          <c:h val="0.75505700827006705"/>
        </c:manualLayout>
      </c:layout>
      <c:scatterChart>
        <c:scatterStyle val="smoothMarker"/>
        <c:varyColors val="0"/>
        <c:ser>
          <c:idx val="0"/>
          <c:order val="0"/>
          <c:tx>
            <c:v>24 Inch</c:v>
          </c:tx>
          <c:spPr>
            <a:ln w="12700">
              <a:solidFill>
                <a:srgbClr val="000080"/>
              </a:solidFill>
              <a:prstDash val="solid"/>
            </a:ln>
          </c:spPr>
          <c:marker>
            <c:symbol val="none"/>
          </c:marker>
          <c:xVal>
            <c:numLit>
              <c:formatCode>General</c:formatCode>
              <c:ptCount val="209"/>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pt idx="101">
                <c:v>202</c:v>
              </c:pt>
              <c:pt idx="102">
                <c:v>204</c:v>
              </c:pt>
              <c:pt idx="103">
                <c:v>206</c:v>
              </c:pt>
              <c:pt idx="104">
                <c:v>208</c:v>
              </c:pt>
              <c:pt idx="105">
                <c:v>210</c:v>
              </c:pt>
              <c:pt idx="106">
                <c:v>212</c:v>
              </c:pt>
              <c:pt idx="107">
                <c:v>214</c:v>
              </c:pt>
              <c:pt idx="108">
                <c:v>216</c:v>
              </c:pt>
              <c:pt idx="109">
                <c:v>218</c:v>
              </c:pt>
              <c:pt idx="110">
                <c:v>220</c:v>
              </c:pt>
              <c:pt idx="111">
                <c:v>222</c:v>
              </c:pt>
              <c:pt idx="112">
                <c:v>224</c:v>
              </c:pt>
              <c:pt idx="113">
                <c:v>226</c:v>
              </c:pt>
              <c:pt idx="114">
                <c:v>228</c:v>
              </c:pt>
              <c:pt idx="115">
                <c:v>230</c:v>
              </c:pt>
              <c:pt idx="116">
                <c:v>232</c:v>
              </c:pt>
              <c:pt idx="117">
                <c:v>234</c:v>
              </c:pt>
              <c:pt idx="118">
                <c:v>236</c:v>
              </c:pt>
              <c:pt idx="119">
                <c:v>238</c:v>
              </c:pt>
              <c:pt idx="120">
                <c:v>240</c:v>
              </c:pt>
              <c:pt idx="121">
                <c:v>242</c:v>
              </c:pt>
              <c:pt idx="122">
                <c:v>244</c:v>
              </c:pt>
              <c:pt idx="123">
                <c:v>246</c:v>
              </c:pt>
              <c:pt idx="124">
                <c:v>248</c:v>
              </c:pt>
              <c:pt idx="125">
                <c:v>250</c:v>
              </c:pt>
              <c:pt idx="126">
                <c:v>252</c:v>
              </c:pt>
              <c:pt idx="127">
                <c:v>254</c:v>
              </c:pt>
              <c:pt idx="128">
                <c:v>256</c:v>
              </c:pt>
              <c:pt idx="129">
                <c:v>258</c:v>
              </c:pt>
              <c:pt idx="130">
                <c:v>260</c:v>
              </c:pt>
              <c:pt idx="131">
                <c:v>262</c:v>
              </c:pt>
              <c:pt idx="132">
                <c:v>264</c:v>
              </c:pt>
              <c:pt idx="133">
                <c:v>266</c:v>
              </c:pt>
              <c:pt idx="134">
                <c:v>268</c:v>
              </c:pt>
              <c:pt idx="135">
                <c:v>270</c:v>
              </c:pt>
              <c:pt idx="136">
                <c:v>272</c:v>
              </c:pt>
              <c:pt idx="137">
                <c:v>274</c:v>
              </c:pt>
              <c:pt idx="138">
                <c:v>276</c:v>
              </c:pt>
              <c:pt idx="139">
                <c:v>278</c:v>
              </c:pt>
              <c:pt idx="140">
                <c:v>280</c:v>
              </c:pt>
              <c:pt idx="141">
                <c:v>282</c:v>
              </c:pt>
              <c:pt idx="142">
                <c:v>284</c:v>
              </c:pt>
              <c:pt idx="143">
                <c:v>286</c:v>
              </c:pt>
              <c:pt idx="144">
                <c:v>288</c:v>
              </c:pt>
              <c:pt idx="145">
                <c:v>290</c:v>
              </c:pt>
              <c:pt idx="146">
                <c:v>292</c:v>
              </c:pt>
              <c:pt idx="147">
                <c:v>294</c:v>
              </c:pt>
              <c:pt idx="148">
                <c:v>296</c:v>
              </c:pt>
              <c:pt idx="149">
                <c:v>298</c:v>
              </c:pt>
              <c:pt idx="150">
                <c:v>300</c:v>
              </c:pt>
              <c:pt idx="151">
                <c:v>302</c:v>
              </c:pt>
              <c:pt idx="152">
                <c:v>304</c:v>
              </c:pt>
              <c:pt idx="153">
                <c:v>306</c:v>
              </c:pt>
              <c:pt idx="154">
                <c:v>308</c:v>
              </c:pt>
              <c:pt idx="155">
                <c:v>310</c:v>
              </c:pt>
              <c:pt idx="156">
                <c:v>312</c:v>
              </c:pt>
              <c:pt idx="157">
                <c:v>314</c:v>
              </c:pt>
              <c:pt idx="158">
                <c:v>316</c:v>
              </c:pt>
              <c:pt idx="159">
                <c:v>318</c:v>
              </c:pt>
              <c:pt idx="160">
                <c:v>320</c:v>
              </c:pt>
              <c:pt idx="161">
                <c:v>322</c:v>
              </c:pt>
              <c:pt idx="162">
                <c:v>324</c:v>
              </c:pt>
              <c:pt idx="163">
                <c:v>326</c:v>
              </c:pt>
              <c:pt idx="164">
                <c:v>328</c:v>
              </c:pt>
              <c:pt idx="165">
                <c:v>330</c:v>
              </c:pt>
              <c:pt idx="166">
                <c:v>332</c:v>
              </c:pt>
              <c:pt idx="167">
                <c:v>334</c:v>
              </c:pt>
              <c:pt idx="168">
                <c:v>336</c:v>
              </c:pt>
              <c:pt idx="169">
                <c:v>338</c:v>
              </c:pt>
              <c:pt idx="170">
                <c:v>340</c:v>
              </c:pt>
              <c:pt idx="171">
                <c:v>342</c:v>
              </c:pt>
              <c:pt idx="172">
                <c:v>344</c:v>
              </c:pt>
              <c:pt idx="173">
                <c:v>346</c:v>
              </c:pt>
              <c:pt idx="174">
                <c:v>348</c:v>
              </c:pt>
              <c:pt idx="175">
                <c:v>350</c:v>
              </c:pt>
              <c:pt idx="176">
                <c:v>352</c:v>
              </c:pt>
              <c:pt idx="177">
                <c:v>354</c:v>
              </c:pt>
              <c:pt idx="178">
                <c:v>356</c:v>
              </c:pt>
              <c:pt idx="179">
                <c:v>358</c:v>
              </c:pt>
              <c:pt idx="180">
                <c:v>360</c:v>
              </c:pt>
              <c:pt idx="181">
                <c:v>362</c:v>
              </c:pt>
              <c:pt idx="182">
                <c:v>364</c:v>
              </c:pt>
              <c:pt idx="183">
                <c:v>366</c:v>
              </c:pt>
              <c:pt idx="184">
                <c:v>368</c:v>
              </c:pt>
              <c:pt idx="185">
                <c:v>370</c:v>
              </c:pt>
              <c:pt idx="186">
                <c:v>372</c:v>
              </c:pt>
              <c:pt idx="187">
                <c:v>374</c:v>
              </c:pt>
              <c:pt idx="188">
                <c:v>376</c:v>
              </c:pt>
              <c:pt idx="189">
                <c:v>378</c:v>
              </c:pt>
              <c:pt idx="190">
                <c:v>380</c:v>
              </c:pt>
              <c:pt idx="191">
                <c:v>382</c:v>
              </c:pt>
              <c:pt idx="192">
                <c:v>384</c:v>
              </c:pt>
              <c:pt idx="193">
                <c:v>386</c:v>
              </c:pt>
              <c:pt idx="194">
                <c:v>388</c:v>
              </c:pt>
              <c:pt idx="195">
                <c:v>390</c:v>
              </c:pt>
              <c:pt idx="196">
                <c:v>392</c:v>
              </c:pt>
              <c:pt idx="197">
                <c:v>394</c:v>
              </c:pt>
              <c:pt idx="198">
                <c:v>396</c:v>
              </c:pt>
              <c:pt idx="199">
                <c:v>398</c:v>
              </c:pt>
              <c:pt idx="200">
                <c:v>400</c:v>
              </c:pt>
              <c:pt idx="201">
                <c:v>402</c:v>
              </c:pt>
              <c:pt idx="202">
                <c:v>404</c:v>
              </c:pt>
              <c:pt idx="203">
                <c:v>406</c:v>
              </c:pt>
              <c:pt idx="204">
                <c:v>408</c:v>
              </c:pt>
              <c:pt idx="205">
                <c:v>410</c:v>
              </c:pt>
              <c:pt idx="206">
                <c:v>412</c:v>
              </c:pt>
              <c:pt idx="207">
                <c:v>414</c:v>
              </c:pt>
              <c:pt idx="208">
                <c:v>416</c:v>
              </c:pt>
            </c:numLit>
          </c:xVal>
          <c:yVal>
            <c:numLit>
              <c:formatCode>General</c:formatCode>
              <c:ptCount val="209"/>
              <c:pt idx="0">
                <c:v>0.9365</c:v>
              </c:pt>
              <c:pt idx="1">
                <c:v>0.9364999940193518</c:v>
              </c:pt>
              <c:pt idx="2">
                <c:v>0.93649997695631193</c:v>
              </c:pt>
              <c:pt idx="3">
                <c:v>0.93649994379471424</c:v>
              </c:pt>
              <c:pt idx="4">
                <c:v>0.93649988963500908</c:v>
              </c:pt>
              <c:pt idx="5">
                <c:v>0.93649980966144619</c:v>
              </c:pt>
              <c:pt idx="6">
                <c:v>0.93649969912328535</c:v>
              </c:pt>
              <c:pt idx="7">
                <c:v>0.93649955332273882</c:v>
              </c:pt>
              <c:pt idx="8">
                <c:v>0.93649936760664654</c:v>
              </c:pt>
              <c:pt idx="9">
                <c:v>0.9364991373604411</c:v>
              </c:pt>
              <c:pt idx="10">
                <c:v>0.93649885800361177</c:v>
              </c:pt>
              <c:pt idx="11">
                <c:v>0.93649852498620678</c:v>
              </c:pt>
              <c:pt idx="12">
                <c:v>0.93649813378608726</c:v>
              </c:pt>
              <c:pt idx="13">
                <c:v>0.93649767990673749</c:v>
              </c:pt>
              <c:pt idx="14">
                <c:v>0.93649715887550844</c:v>
              </c:pt>
              <c:pt idx="15">
                <c:v>0.93649656624219735</c:v>
              </c:pt>
              <c:pt idx="16">
                <c:v>0.93649589757790119</c:v>
              </c:pt>
              <c:pt idx="17">
                <c:v>0.93649514847409188</c:v>
              </c:pt>
              <c:pt idx="18">
                <c:v>0.93649431454187626</c:v>
              </c:pt>
              <c:pt idx="19">
                <c:v>0.93649339141141463</c:v>
              </c:pt>
              <c:pt idx="20">
                <c:v>0.93649237473147051</c:v>
              </c:pt>
              <c:pt idx="21">
                <c:v>0.93649126016907747</c:v>
              </c:pt>
              <c:pt idx="22">
                <c:v>0.93649004340930664</c:v>
              </c:pt>
              <c:pt idx="23">
                <c:v>0.93648872015512441</c:v>
              </c:pt>
              <c:pt idx="24">
                <c:v>0.93648728612732735</c:v>
              </c:pt>
              <c:pt idx="25">
                <c:v>0.93648573706455129</c:v>
              </c:pt>
              <c:pt idx="26">
                <c:v>0.936484068723341</c:v>
              </c:pt>
              <c:pt idx="27">
                <c:v>0.93648227687828245</c:v>
              </c:pt>
              <c:pt idx="28">
                <c:v>0.9364803573221856</c:v>
              </c:pt>
              <c:pt idx="29">
                <c:v>0.93647830586631675</c:v>
              </c:pt>
              <c:pt idx="30">
                <c:v>0.93647611834067668</c:v>
              </c:pt>
              <c:pt idx="31">
                <c:v>0.93647379059432101</c:v>
              </c:pt>
              <c:pt idx="32">
                <c:v>0.93647131849571763</c:v>
              </c:pt>
              <c:pt idx="33">
                <c:v>0.93646869793314313</c:v>
              </c:pt>
              <c:pt idx="34">
                <c:v>0.93646592481511015</c:v>
              </c:pt>
              <c:pt idx="35">
                <c:v>0.93646299507082942</c:v>
              </c:pt>
              <c:pt idx="36">
                <c:v>0.93645990465069862</c:v>
              </c:pt>
              <c:pt idx="37">
                <c:v>0.93645664952682106</c:v>
              </c:pt>
              <c:pt idx="38">
                <c:v>0.93645322569354994</c:v>
              </c:pt>
              <c:pt idx="39">
                <c:v>0.93644962916805652</c:v>
              </c:pt>
              <c:pt idx="40">
                <c:v>0.93644585599092245</c:v>
              </c:pt>
              <c:pt idx="41">
                <c:v>0.93644190222675316</c:v>
              </c:pt>
              <c:pt idx="42">
                <c:v>0.93643776396481138</c:v>
              </c:pt>
              <c:pt idx="43">
                <c:v>0.93643343731966933</c:v>
              </c:pt>
              <c:pt idx="44">
                <c:v>0.93642891843188025</c:v>
              </c:pt>
              <c:pt idx="45">
                <c:v>0.93642420346866451</c:v>
              </c:pt>
              <c:pt idx="46">
                <c:v>0.93641928862461121</c:v>
              </c:pt>
              <c:pt idx="47">
                <c:v>0.93641417012239647</c:v>
              </c:pt>
              <c:pt idx="48">
                <c:v>0.93640884421351112</c:v>
              </c:pt>
              <c:pt idx="49">
                <c:v>0.93640330717900311</c:v>
              </c:pt>
              <c:pt idx="50">
                <c:v>0.9363975553302295</c:v>
              </c:pt>
              <c:pt idx="51">
                <c:v>0.9363915850096195</c:v>
              </c:pt>
              <c:pt idx="52">
                <c:v>0.93638539259144393</c:v>
              </c:pt>
              <c:pt idx="53">
                <c:v>0.93637897448259533</c:v>
              </c:pt>
              <c:pt idx="54">
                <c:v>0.93637232712337248</c:v>
              </c:pt>
              <c:pt idx="55">
                <c:v>0.93636544698827207</c:v>
              </c:pt>
              <c:pt idx="56">
                <c:v>0.93635833058678386</c:v>
              </c:pt>
              <c:pt idx="57">
                <c:v>0.93635097446418991</c:v>
              </c:pt>
              <c:pt idx="58">
                <c:v>0.93634337520236677</c:v>
              </c:pt>
              <c:pt idx="59">
                <c:v>0.93633552942058906</c:v>
              </c:pt>
              <c:pt idx="60">
                <c:v>0.93632743377633232</c:v>
              </c:pt>
              <c:pt idx="61">
                <c:v>0.93631908496607863</c:v>
              </c:pt>
              <c:pt idx="62">
                <c:v>0.93631047972611714</c:v>
              </c:pt>
              <c:pt idx="63">
                <c:v>0.93630161483334429</c:v>
              </c:pt>
              <c:pt idx="64">
                <c:v>0.93629248710606072</c:v>
              </c:pt>
              <c:pt idx="65">
                <c:v>0.93628309340476257</c:v>
              </c:pt>
              <c:pt idx="66">
                <c:v>0.936273430632929</c:v>
              </c:pt>
              <c:pt idx="67">
                <c:v>0.93626349573780221</c:v>
              </c:pt>
              <c:pt idx="68">
                <c:v>0.93625328571116018</c:v>
              </c:pt>
              <c:pt idx="69">
                <c:v>0.936242797590083</c:v>
              </c:pt>
              <c:pt idx="70">
                <c:v>0.93623202845770703</c:v>
              </c:pt>
              <c:pt idx="71">
                <c:v>0.93622097544397187</c:v>
              </c:pt>
              <c:pt idx="72">
                <c:v>0.93620963572635474</c:v>
              </c:pt>
              <c:pt idx="73">
                <c:v>0.93619800653059382</c:v>
              </c:pt>
              <c:pt idx="74">
                <c:v>0.93618608513139812</c:v>
              </c:pt>
              <c:pt idx="75">
                <c:v>0.9361738688531438</c:v>
              </c:pt>
              <c:pt idx="76">
                <c:v>0.93616135507055698</c:v>
              </c:pt>
              <c:pt idx="77">
                <c:v>0.93614854120938018</c:v>
              </c:pt>
              <c:pt idx="78">
                <c:v>0.93613542474702249</c:v>
              </c:pt>
              <c:pt idx="79">
                <c:v>0.93612200321319472</c:v>
              </c:pt>
              <c:pt idx="80">
                <c:v>0.93610827419052323</c:v>
              </c:pt>
              <c:pt idx="81">
                <c:v>0.93609423531514957</c:v>
              </c:pt>
              <c:pt idx="82">
                <c:v>0.93607988427730726</c:v>
              </c:pt>
              <c:pt idx="83">
                <c:v>0.93606521882188143</c:v>
              </c:pt>
              <c:pt idx="84">
                <c:v>0.9360502367489455</c:v>
              </c:pt>
              <c:pt idx="85">
                <c:v>0.93603493591427833</c:v>
              </c:pt>
              <c:pt idx="86">
                <c:v>0.93601931422985973</c:v>
              </c:pt>
              <c:pt idx="87">
                <c:v>0.93600336966433995</c:v>
              </c:pt>
              <c:pt idx="88">
                <c:v>0.93598710024349197</c:v>
              </c:pt>
              <c:pt idx="89">
                <c:v>0.93597050405063464</c:v>
              </c:pt>
              <c:pt idx="90">
                <c:v>0.93595357922703537</c:v>
              </c:pt>
              <c:pt idx="91">
                <c:v>0.93593632397228621</c:v>
              </c:pt>
              <c:pt idx="92">
                <c:v>0.93591873654465518</c:v>
              </c:pt>
              <c:pt idx="93">
                <c:v>0.93590081526141344</c:v>
              </c:pt>
              <c:pt idx="94">
                <c:v>0.93588255849913449</c:v>
              </c:pt>
              <c:pt idx="95">
                <c:v>0.93586396469396871</c:v>
              </c:pt>
              <c:pt idx="96">
                <c:v>0.93584503234189131</c:v>
              </c:pt>
              <c:pt idx="97">
                <c:v>0.93582575999892126</c:v>
              </c:pt>
              <c:pt idx="98">
                <c:v>0.93580614628131709</c:v>
              </c:pt>
              <c:pt idx="99">
                <c:v>0.93578618986574169</c:v>
              </c:pt>
              <c:pt idx="100">
                <c:v>0.9357658894894012</c:v>
              </c:pt>
              <c:pt idx="101">
                <c:v>0.93574524395015657</c:v>
              </c:pt>
              <c:pt idx="102">
                <c:v>0.93572425210660648</c:v>
              </c:pt>
              <c:pt idx="103">
                <c:v>0.935702912878143</c:v>
              </c:pt>
              <c:pt idx="104">
                <c:v>0.93568122524497988</c:v>
              </c:pt>
              <c:pt idx="105">
                <c:v>0.93565918824815142</c:v>
              </c:pt>
              <c:pt idx="106">
                <c:v>0.93563680098948532</c:v>
              </c:pt>
              <c:pt idx="107">
                <c:v>0.93561406263154578</c:v>
              </c:pt>
              <c:pt idx="108">
                <c:v>0.93559097239755151</c:v>
              </c:pt>
              <c:pt idx="109">
                <c:v>0.93556752957126377</c:v>
              </c:pt>
              <c:pt idx="110">
                <c:v>0.93554373349684838</c:v>
              </c:pt>
              <c:pt idx="111">
                <c:v>0.93551958357871001</c:v>
              </c:pt>
              <c:pt idx="112">
                <c:v>0.9354950792812996</c:v>
              </c:pt>
              <c:pt idx="113">
                <c:v>0.9354702201288958</c:v>
              </c:pt>
              <c:pt idx="114">
                <c:v>0.93544500570535827</c:v>
              </c:pt>
              <c:pt idx="115">
                <c:v>0.93541943565385743</c:v>
              </c:pt>
              <c:pt idx="116">
                <c:v>0.93539350967657575</c:v>
              </c:pt>
              <c:pt idx="117">
                <c:v>0.93536722753438584</c:v>
              </c:pt>
              <c:pt idx="118">
                <c:v>0.93534058904650264</c:v>
              </c:pt>
              <c:pt idx="119">
                <c:v>0.93531359409011094</c:v>
              </c:pt>
              <c:pt idx="120">
                <c:v>0.93528624259996918</c:v>
              </c:pt>
              <c:pt idx="121">
                <c:v>0.93525853456799013</c:v>
              </c:pt>
              <c:pt idx="122">
                <c:v>0.93523047004279691</c:v>
              </c:pt>
              <c:pt idx="123">
                <c:v>0.93520204912925831</c:v>
              </c:pt>
              <c:pt idx="124">
                <c:v>0.9351732719880006</c:v>
              </c:pt>
              <c:pt idx="125">
                <c:v>0.93514413883489977</c:v>
              </c:pt>
              <c:pt idx="126">
                <c:v>0.93511464994054994</c:v>
              </c:pt>
              <c:pt idx="127">
                <c:v>0.93508480562971441</c:v>
              </c:pt>
              <c:pt idx="128">
                <c:v>0.93505460628075565</c:v>
              </c:pt>
              <c:pt idx="129">
                <c:v>0.93502405232504582</c:v>
              </c:pt>
              <c:pt idx="130">
                <c:v>0.93499314424636015</c:v>
              </c:pt>
              <c:pt idx="131">
                <c:v>0.93496188258025192</c:v>
              </c:pt>
              <c:pt idx="132">
                <c:v>0.93493026791340983</c:v>
              </c:pt>
              <c:pt idx="133">
                <c:v>0.93489830088299974</c:v>
              </c:pt>
              <c:pt idx="134">
                <c:v>0.93486598217599082</c:v>
              </c:pt>
              <c:pt idx="135">
                <c:v>0.93483331252846547</c:v>
              </c:pt>
              <c:pt idx="136">
                <c:v>0.9348002927249166</c:v>
              </c:pt>
              <c:pt idx="137">
                <c:v>0.93476692359752955</c:v>
              </c:pt>
              <c:pt idx="138">
                <c:v>0.9347332060254524</c:v>
              </c:pt>
              <c:pt idx="139">
                <c:v>0.93469914093405326</c:v>
              </c:pt>
              <c:pt idx="140">
                <c:v>0.93466472929416611</c:v>
              </c:pt>
              <c:pt idx="141">
                <c:v>0.93462997212132637</c:v>
              </c:pt>
              <c:pt idx="142">
                <c:v>0.9345948704749959</c:v>
              </c:pt>
              <c:pt idx="143">
                <c:v>0.93455942545777781</c:v>
              </c:pt>
              <c:pt idx="144">
                <c:v>0.93452363821462558</c:v>
              </c:pt>
              <c:pt idx="145">
                <c:v>0.93448750993203866</c:v>
              </c:pt>
              <c:pt idx="146">
                <c:v>0.93445104183725736</c:v>
              </c:pt>
              <c:pt idx="147">
                <c:v>0.93441423519744482</c:v>
              </c:pt>
              <c:pt idx="148">
                <c:v>0.93437709131886926</c:v>
              </c:pt>
              <c:pt idx="149">
                <c:v>0.9343396115460747</c:v>
              </c:pt>
              <c:pt idx="150">
                <c:v>0.934301797261052</c:v>
              </c:pt>
              <c:pt idx="151">
                <c:v>0.9342636498824024</c:v>
              </c:pt>
              <c:pt idx="152">
                <c:v>0.93422517086450108</c:v>
              </c:pt>
              <c:pt idx="153">
                <c:v>0.93418636169665537</c:v>
              </c:pt>
              <c:pt idx="154">
                <c:v>0.93414722390226146</c:v>
              </c:pt>
              <c:pt idx="155">
                <c:v>0.93410775903796084</c:v>
              </c:pt>
              <c:pt idx="156">
                <c:v>0.93406796869279451</c:v>
              </c:pt>
              <c:pt idx="157">
                <c:v>0.93402785448735814</c:v>
              </c:pt>
              <c:pt idx="158">
                <c:v>0.93398741807295638</c:v>
              </c:pt>
              <c:pt idx="159">
                <c:v>0.93394666113075886</c:v>
              </c:pt>
              <c:pt idx="160">
                <c:v>0.93390558537095736</c:v>
              </c:pt>
              <c:pt idx="161">
                <c:v>0.9338641925319251</c:v>
              </c:pt>
              <c:pt idx="162">
                <c:v>0.93382248437937831</c:v>
              </c:pt>
              <c:pt idx="163">
                <c:v>0.9337804627055406</c:v>
              </c:pt>
              <c:pt idx="164">
                <c:v>0.93373812932831124</c:v>
              </c:pt>
              <c:pt idx="165">
                <c:v>0.93369548609043784</c:v>
              </c:pt>
              <c:pt idx="166">
                <c:v>0.93365253485869149</c:v>
              </c:pt>
              <c:pt idx="167">
                <c:v>0.93360927752304967</c:v>
              </c:pt>
              <c:pt idx="168">
                <c:v>0.93356571599588156</c:v>
              </c:pt>
              <c:pt idx="169">
                <c:v>0.93352185221114081</c:v>
              </c:pt>
              <c:pt idx="170">
                <c:v>0.93347768812356391</c:v>
              </c:pt>
              <c:pt idx="171">
                <c:v>0.93343322570787546</c:v>
              </c:pt>
              <c:pt idx="172">
                <c:v>0.93338846695799871</c:v>
              </c:pt>
              <c:pt idx="173">
                <c:v>0.93334341388627584</c:v>
              </c:pt>
              <c:pt idx="174">
                <c:v>0.93329806852269237</c:v>
              </c:pt>
              <c:pt idx="175">
                <c:v>0.93325243291411319</c:v>
              </c:pt>
              <c:pt idx="176">
                <c:v>0.9332065091235231</c:v>
              </c:pt>
              <c:pt idx="177">
                <c:v>0.93316029922927901</c:v>
              </c:pt>
              <c:pt idx="178">
                <c:v>0.93311380532436783</c:v>
              </c:pt>
              <c:pt idx="179">
                <c:v>0.93306702951567499</c:v>
              </c:pt>
              <c:pt idx="180">
                <c:v>0.9330199739232623</c:v>
              </c:pt>
              <c:pt idx="181">
                <c:v>0.9329726406796538</c:v>
              </c:pt>
              <c:pt idx="182">
                <c:v>0.93292503192913268</c:v>
              </c:pt>
              <c:pt idx="183">
                <c:v>0.93287714982704695</c:v>
              </c:pt>
              <c:pt idx="184">
                <c:v>0.93282899653912454</c:v>
              </c:pt>
              <c:pt idx="185">
                <c:v>0.93278057424080141</c:v>
              </c:pt>
              <c:pt idx="186">
                <c:v>0.93273188511655536</c:v>
              </c:pt>
              <c:pt idx="187">
                <c:v>0.93268293135925429</c:v>
              </c:pt>
              <c:pt idx="188">
                <c:v>0.93263371516951321</c:v>
              </c:pt>
              <c:pt idx="189">
                <c:v>0.93258423875506169</c:v>
              </c:pt>
              <c:pt idx="190">
                <c:v>0.93253450433012197</c:v>
              </c:pt>
              <c:pt idx="191">
                <c:v>0.93248451411479938</c:v>
              </c:pt>
              <c:pt idx="192">
                <c:v>0.93243427033448145</c:v>
              </c:pt>
              <c:pt idx="193">
                <c:v>0.93238377521925031</c:v>
              </c:pt>
              <c:pt idx="194">
                <c:v>0.93233303100330367</c:v>
              </c:pt>
              <c:pt idx="195">
                <c:v>0.93228203992438896</c:v>
              </c:pt>
              <c:pt idx="196">
                <c:v>0.93223080422324622</c:v>
              </c:pt>
              <c:pt idx="197">
                <c:v>0.93217932614306609</c:v>
              </c:pt>
              <c:pt idx="198">
                <c:v>0.93212760792895311</c:v>
              </c:pt>
              <c:pt idx="199">
                <c:v>0.93207565182740604</c:v>
              </c:pt>
              <c:pt idx="200">
                <c:v>0.93202346008580494</c:v>
              </c:pt>
              <c:pt idx="201">
                <c:v>0.93197103495191158</c:v>
              </c:pt>
              <c:pt idx="202">
                <c:v>0.93191837867338023</c:v>
              </c:pt>
              <c:pt idx="203">
                <c:v>0.93186549349727921</c:v>
              </c:pt>
              <c:pt idx="204">
                <c:v>0.93181238166962443</c:v>
              </c:pt>
              <c:pt idx="205">
                <c:v>0.93175904543492261</c:v>
              </c:pt>
              <c:pt idx="206">
                <c:v>0.93170548703572609</c:v>
              </c:pt>
              <c:pt idx="207">
                <c:v>0.93165170871219871</c:v>
              </c:pt>
              <c:pt idx="208">
                <c:v>0.93159771270169167</c:v>
              </c:pt>
            </c:numLit>
          </c:yVal>
          <c:smooth val="1"/>
          <c:extLst>
            <c:ext xmlns:c16="http://schemas.microsoft.com/office/drawing/2014/chart" uri="{C3380CC4-5D6E-409C-BE32-E72D297353CC}">
              <c16:uniqueId val="{00000000-BD60-4B9E-8278-5F9510D9FC40}"/>
            </c:ext>
          </c:extLst>
        </c:ser>
        <c:dLbls>
          <c:showLegendKey val="0"/>
          <c:showVal val="0"/>
          <c:showCatName val="0"/>
          <c:showSerName val="0"/>
          <c:showPercent val="0"/>
          <c:showBubbleSize val="0"/>
        </c:dLbls>
        <c:axId val="1914639408"/>
        <c:axId val="1"/>
      </c:scatterChart>
      <c:valAx>
        <c:axId val="191463940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max val="1"/>
          <c:min val="0.75"/>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914639408"/>
        <c:crosses val="autoZero"/>
        <c:crossBetween val="midCat"/>
      </c:valAx>
      <c:spPr>
        <a:solidFill>
          <a:srgbClr val="C0C0C0"/>
        </a:solidFill>
        <a:ln w="12700">
          <a:solidFill>
            <a:srgbClr val="808080"/>
          </a:solidFill>
          <a:prstDash val="solid"/>
        </a:ln>
      </c:spPr>
    </c:plotArea>
    <c:legend>
      <c:legendPos val="r"/>
      <c:layout>
        <c:manualLayout>
          <c:xMode val="edge"/>
          <c:yMode val="edge"/>
          <c:x val="0.85299288870942414"/>
          <c:y val="0.49662968533427704"/>
          <c:w val="0.1333335127980797"/>
          <c:h val="4.9438202247191032E-2"/>
        </c:manualLayout>
      </c:layout>
      <c:overlay val="0"/>
      <c:spPr>
        <a:solidFill>
          <a:srgbClr val="FFFFFF"/>
        </a:solidFill>
        <a:ln w="3175">
          <a:solidFill>
            <a:srgbClr val="000000"/>
          </a:solidFill>
          <a:prstDash val="solid"/>
        </a:ln>
      </c:spPr>
      <c:txPr>
        <a:bodyPr/>
        <a:lstStyle/>
        <a:p>
          <a:pPr>
            <a:defRPr sz="87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0" i="0" u="none" strike="noStrike" baseline="0">
                <a:solidFill>
                  <a:srgbClr val="000000"/>
                </a:solidFill>
                <a:latin typeface="Arial"/>
                <a:ea typeface="Arial"/>
                <a:cs typeface="Arial"/>
              </a:defRPr>
            </a:pPr>
            <a:r>
              <a:rPr lang="en-US"/>
              <a:t>2 GPH</a:t>
            </a:r>
          </a:p>
        </c:rich>
      </c:tx>
      <c:layout>
        <c:manualLayout>
          <c:xMode val="edge"/>
          <c:yMode val="edge"/>
          <c:x val="0.45982977768804539"/>
          <c:y val="3.1460674157303373E-2"/>
        </c:manualLayout>
      </c:layout>
      <c:overlay val="0"/>
      <c:spPr>
        <a:noFill/>
        <a:ln w="25400">
          <a:noFill/>
        </a:ln>
      </c:spPr>
    </c:title>
    <c:autoTitleDeleted val="0"/>
    <c:plotArea>
      <c:layout>
        <c:manualLayout>
          <c:layoutTarget val="inner"/>
          <c:xMode val="edge"/>
          <c:yMode val="edge"/>
          <c:x val="0.13162415134907743"/>
          <c:y val="0.14382038252763182"/>
          <c:w val="0.68205242062703764"/>
          <c:h val="0.75505700827006705"/>
        </c:manualLayout>
      </c:layout>
      <c:scatterChart>
        <c:scatterStyle val="smoothMarker"/>
        <c:varyColors val="0"/>
        <c:ser>
          <c:idx val="0"/>
          <c:order val="0"/>
          <c:tx>
            <c:v>24 Inch</c:v>
          </c:tx>
          <c:spPr>
            <a:ln w="12700">
              <a:solidFill>
                <a:srgbClr val="000080"/>
              </a:solidFill>
              <a:prstDash val="solid"/>
            </a:ln>
          </c:spPr>
          <c:marker>
            <c:symbol val="none"/>
          </c:marker>
          <c:xVal>
            <c:numLit>
              <c:formatCode>General</c:formatCode>
              <c:ptCount val="209"/>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pt idx="101">
                <c:v>202</c:v>
              </c:pt>
              <c:pt idx="102">
                <c:v>204</c:v>
              </c:pt>
              <c:pt idx="103">
                <c:v>206</c:v>
              </c:pt>
              <c:pt idx="104">
                <c:v>208</c:v>
              </c:pt>
              <c:pt idx="105">
                <c:v>210</c:v>
              </c:pt>
              <c:pt idx="106">
                <c:v>212</c:v>
              </c:pt>
              <c:pt idx="107">
                <c:v>214</c:v>
              </c:pt>
              <c:pt idx="108">
                <c:v>216</c:v>
              </c:pt>
              <c:pt idx="109">
                <c:v>218</c:v>
              </c:pt>
              <c:pt idx="110">
                <c:v>220</c:v>
              </c:pt>
              <c:pt idx="111">
                <c:v>222</c:v>
              </c:pt>
              <c:pt idx="112">
                <c:v>224</c:v>
              </c:pt>
              <c:pt idx="113">
                <c:v>226</c:v>
              </c:pt>
              <c:pt idx="114">
                <c:v>228</c:v>
              </c:pt>
              <c:pt idx="115">
                <c:v>230</c:v>
              </c:pt>
              <c:pt idx="116">
                <c:v>232</c:v>
              </c:pt>
              <c:pt idx="117">
                <c:v>234</c:v>
              </c:pt>
              <c:pt idx="118">
                <c:v>236</c:v>
              </c:pt>
              <c:pt idx="119">
                <c:v>238</c:v>
              </c:pt>
              <c:pt idx="120">
                <c:v>240</c:v>
              </c:pt>
              <c:pt idx="121">
                <c:v>242</c:v>
              </c:pt>
              <c:pt idx="122">
                <c:v>244</c:v>
              </c:pt>
              <c:pt idx="123">
                <c:v>246</c:v>
              </c:pt>
              <c:pt idx="124">
                <c:v>248</c:v>
              </c:pt>
              <c:pt idx="125">
                <c:v>250</c:v>
              </c:pt>
              <c:pt idx="126">
                <c:v>252</c:v>
              </c:pt>
              <c:pt idx="127">
                <c:v>254</c:v>
              </c:pt>
              <c:pt idx="128">
                <c:v>256</c:v>
              </c:pt>
              <c:pt idx="129">
                <c:v>258</c:v>
              </c:pt>
              <c:pt idx="130">
                <c:v>260</c:v>
              </c:pt>
              <c:pt idx="131">
                <c:v>262</c:v>
              </c:pt>
              <c:pt idx="132">
                <c:v>264</c:v>
              </c:pt>
              <c:pt idx="133">
                <c:v>266</c:v>
              </c:pt>
              <c:pt idx="134">
                <c:v>268</c:v>
              </c:pt>
              <c:pt idx="135">
                <c:v>270</c:v>
              </c:pt>
              <c:pt idx="136">
                <c:v>272</c:v>
              </c:pt>
              <c:pt idx="137">
                <c:v>274</c:v>
              </c:pt>
              <c:pt idx="138">
                <c:v>276</c:v>
              </c:pt>
              <c:pt idx="139">
                <c:v>278</c:v>
              </c:pt>
              <c:pt idx="140">
                <c:v>280</c:v>
              </c:pt>
              <c:pt idx="141">
                <c:v>282</c:v>
              </c:pt>
              <c:pt idx="142">
                <c:v>284</c:v>
              </c:pt>
              <c:pt idx="143">
                <c:v>286</c:v>
              </c:pt>
              <c:pt idx="144">
                <c:v>288</c:v>
              </c:pt>
              <c:pt idx="145">
                <c:v>290</c:v>
              </c:pt>
              <c:pt idx="146">
                <c:v>292</c:v>
              </c:pt>
              <c:pt idx="147">
                <c:v>294</c:v>
              </c:pt>
              <c:pt idx="148">
                <c:v>296</c:v>
              </c:pt>
              <c:pt idx="149">
                <c:v>298</c:v>
              </c:pt>
              <c:pt idx="150">
                <c:v>300</c:v>
              </c:pt>
              <c:pt idx="151">
                <c:v>302</c:v>
              </c:pt>
              <c:pt idx="152">
                <c:v>304</c:v>
              </c:pt>
              <c:pt idx="153">
                <c:v>306</c:v>
              </c:pt>
              <c:pt idx="154">
                <c:v>308</c:v>
              </c:pt>
              <c:pt idx="155">
                <c:v>310</c:v>
              </c:pt>
              <c:pt idx="156">
                <c:v>312</c:v>
              </c:pt>
              <c:pt idx="157">
                <c:v>314</c:v>
              </c:pt>
              <c:pt idx="158">
                <c:v>316</c:v>
              </c:pt>
              <c:pt idx="159">
                <c:v>318</c:v>
              </c:pt>
              <c:pt idx="160">
                <c:v>320</c:v>
              </c:pt>
              <c:pt idx="161">
                <c:v>322</c:v>
              </c:pt>
              <c:pt idx="162">
                <c:v>324</c:v>
              </c:pt>
              <c:pt idx="163">
                <c:v>326</c:v>
              </c:pt>
              <c:pt idx="164">
                <c:v>328</c:v>
              </c:pt>
              <c:pt idx="165">
                <c:v>330</c:v>
              </c:pt>
              <c:pt idx="166">
                <c:v>332</c:v>
              </c:pt>
              <c:pt idx="167">
                <c:v>334</c:v>
              </c:pt>
              <c:pt idx="168">
                <c:v>336</c:v>
              </c:pt>
              <c:pt idx="169">
                <c:v>338</c:v>
              </c:pt>
              <c:pt idx="170">
                <c:v>340</c:v>
              </c:pt>
              <c:pt idx="171">
                <c:v>342</c:v>
              </c:pt>
              <c:pt idx="172">
                <c:v>344</c:v>
              </c:pt>
              <c:pt idx="173">
                <c:v>346</c:v>
              </c:pt>
              <c:pt idx="174">
                <c:v>348</c:v>
              </c:pt>
              <c:pt idx="175">
                <c:v>350</c:v>
              </c:pt>
              <c:pt idx="176">
                <c:v>352</c:v>
              </c:pt>
              <c:pt idx="177">
                <c:v>354</c:v>
              </c:pt>
              <c:pt idx="178">
                <c:v>356</c:v>
              </c:pt>
              <c:pt idx="179">
                <c:v>358</c:v>
              </c:pt>
              <c:pt idx="180">
                <c:v>360</c:v>
              </c:pt>
              <c:pt idx="181">
                <c:v>362</c:v>
              </c:pt>
              <c:pt idx="182">
                <c:v>364</c:v>
              </c:pt>
              <c:pt idx="183">
                <c:v>366</c:v>
              </c:pt>
              <c:pt idx="184">
                <c:v>368</c:v>
              </c:pt>
              <c:pt idx="185">
                <c:v>370</c:v>
              </c:pt>
              <c:pt idx="186">
                <c:v>372</c:v>
              </c:pt>
              <c:pt idx="187">
                <c:v>374</c:v>
              </c:pt>
              <c:pt idx="188">
                <c:v>376</c:v>
              </c:pt>
              <c:pt idx="189">
                <c:v>378</c:v>
              </c:pt>
              <c:pt idx="190">
                <c:v>380</c:v>
              </c:pt>
              <c:pt idx="191">
                <c:v>382</c:v>
              </c:pt>
              <c:pt idx="192">
                <c:v>384</c:v>
              </c:pt>
              <c:pt idx="193">
                <c:v>386</c:v>
              </c:pt>
              <c:pt idx="194">
                <c:v>388</c:v>
              </c:pt>
              <c:pt idx="195">
                <c:v>390</c:v>
              </c:pt>
              <c:pt idx="196">
                <c:v>392</c:v>
              </c:pt>
              <c:pt idx="197">
                <c:v>394</c:v>
              </c:pt>
              <c:pt idx="198">
                <c:v>396</c:v>
              </c:pt>
              <c:pt idx="199">
                <c:v>398</c:v>
              </c:pt>
              <c:pt idx="200">
                <c:v>400</c:v>
              </c:pt>
              <c:pt idx="201">
                <c:v>402</c:v>
              </c:pt>
              <c:pt idx="202">
                <c:v>404</c:v>
              </c:pt>
              <c:pt idx="203">
                <c:v>406</c:v>
              </c:pt>
              <c:pt idx="204">
                <c:v>408</c:v>
              </c:pt>
              <c:pt idx="205">
                <c:v>410</c:v>
              </c:pt>
              <c:pt idx="206">
                <c:v>412</c:v>
              </c:pt>
              <c:pt idx="207">
                <c:v>414</c:v>
              </c:pt>
              <c:pt idx="208">
                <c:v>416</c:v>
              </c:pt>
            </c:numLit>
          </c:xVal>
          <c:yVal>
            <c:numLit>
              <c:formatCode>General</c:formatCode>
              <c:ptCount val="209"/>
              <c:pt idx="0">
                <c:v>0.9365</c:v>
              </c:pt>
              <c:pt idx="1">
                <c:v>0.9364999940193518</c:v>
              </c:pt>
              <c:pt idx="2">
                <c:v>0.93649997695631193</c:v>
              </c:pt>
              <c:pt idx="3">
                <c:v>0.93649994379471424</c:v>
              </c:pt>
              <c:pt idx="4">
                <c:v>0.93649988963500908</c:v>
              </c:pt>
              <c:pt idx="5">
                <c:v>0.93649980966144619</c:v>
              </c:pt>
              <c:pt idx="6">
                <c:v>0.93649969912328535</c:v>
              </c:pt>
              <c:pt idx="7">
                <c:v>0.93649955332273882</c:v>
              </c:pt>
              <c:pt idx="8">
                <c:v>0.93649936760664654</c:v>
              </c:pt>
              <c:pt idx="9">
                <c:v>0.9364991373604411</c:v>
              </c:pt>
              <c:pt idx="10">
                <c:v>0.93649885800361177</c:v>
              </c:pt>
              <c:pt idx="11">
                <c:v>0.93649852498620678</c:v>
              </c:pt>
              <c:pt idx="12">
                <c:v>0.93649813378608726</c:v>
              </c:pt>
              <c:pt idx="13">
                <c:v>0.93649767990673749</c:v>
              </c:pt>
              <c:pt idx="14">
                <c:v>0.93649715887550844</c:v>
              </c:pt>
              <c:pt idx="15">
                <c:v>0.93649656624219735</c:v>
              </c:pt>
              <c:pt idx="16">
                <c:v>0.93649589757790119</c:v>
              </c:pt>
              <c:pt idx="17">
                <c:v>0.93649514847409188</c:v>
              </c:pt>
              <c:pt idx="18">
                <c:v>0.93649431454187626</c:v>
              </c:pt>
              <c:pt idx="19">
                <c:v>0.93649339141141463</c:v>
              </c:pt>
              <c:pt idx="20">
                <c:v>0.93649237473147051</c:v>
              </c:pt>
              <c:pt idx="21">
                <c:v>0.93649126016907747</c:v>
              </c:pt>
              <c:pt idx="22">
                <c:v>0.93649004340930664</c:v>
              </c:pt>
              <c:pt idx="23">
                <c:v>0.93648872015512441</c:v>
              </c:pt>
              <c:pt idx="24">
                <c:v>0.93648728612732735</c:v>
              </c:pt>
              <c:pt idx="25">
                <c:v>0.93648573706455129</c:v>
              </c:pt>
              <c:pt idx="26">
                <c:v>0.936484068723341</c:v>
              </c:pt>
              <c:pt idx="27">
                <c:v>0.93648227687828245</c:v>
              </c:pt>
              <c:pt idx="28">
                <c:v>0.9364803573221856</c:v>
              </c:pt>
              <c:pt idx="29">
                <c:v>0.93647830586631675</c:v>
              </c:pt>
              <c:pt idx="30">
                <c:v>0.93647611834067668</c:v>
              </c:pt>
              <c:pt idx="31">
                <c:v>0.93647379059432101</c:v>
              </c:pt>
              <c:pt idx="32">
                <c:v>0.93647131849571763</c:v>
              </c:pt>
              <c:pt idx="33">
                <c:v>0.93646869793314313</c:v>
              </c:pt>
              <c:pt idx="34">
                <c:v>0.93646592481511015</c:v>
              </c:pt>
              <c:pt idx="35">
                <c:v>0.93646299507082942</c:v>
              </c:pt>
              <c:pt idx="36">
                <c:v>0.93645990465069862</c:v>
              </c:pt>
              <c:pt idx="37">
                <c:v>0.93645664952682106</c:v>
              </c:pt>
              <c:pt idx="38">
                <c:v>0.93645322569354994</c:v>
              </c:pt>
              <c:pt idx="39">
                <c:v>0.93644962916805652</c:v>
              </c:pt>
              <c:pt idx="40">
                <c:v>0.93644585599092245</c:v>
              </c:pt>
              <c:pt idx="41">
                <c:v>0.93644190222675316</c:v>
              </c:pt>
              <c:pt idx="42">
                <c:v>0.93643776396481138</c:v>
              </c:pt>
              <c:pt idx="43">
                <c:v>0.93643343731966933</c:v>
              </c:pt>
              <c:pt idx="44">
                <c:v>0.93642891843188025</c:v>
              </c:pt>
              <c:pt idx="45">
                <c:v>0.93642420346866451</c:v>
              </c:pt>
              <c:pt idx="46">
                <c:v>0.93641928862461121</c:v>
              </c:pt>
              <c:pt idx="47">
                <c:v>0.93641417012239647</c:v>
              </c:pt>
              <c:pt idx="48">
                <c:v>0.93640884421351112</c:v>
              </c:pt>
              <c:pt idx="49">
                <c:v>0.93640330717900311</c:v>
              </c:pt>
              <c:pt idx="50">
                <c:v>0.9363975553302295</c:v>
              </c:pt>
              <c:pt idx="51">
                <c:v>0.9363915850096195</c:v>
              </c:pt>
              <c:pt idx="52">
                <c:v>0.93638539259144393</c:v>
              </c:pt>
              <c:pt idx="53">
                <c:v>0.93637897448259533</c:v>
              </c:pt>
              <c:pt idx="54">
                <c:v>0.93637232712337248</c:v>
              </c:pt>
              <c:pt idx="55">
                <c:v>0.93636544698827207</c:v>
              </c:pt>
              <c:pt idx="56">
                <c:v>0.93635833058678386</c:v>
              </c:pt>
              <c:pt idx="57">
                <c:v>0.93635097446418991</c:v>
              </c:pt>
              <c:pt idx="58">
                <c:v>0.93634337520236677</c:v>
              </c:pt>
              <c:pt idx="59">
                <c:v>0.93633552942058906</c:v>
              </c:pt>
              <c:pt idx="60">
                <c:v>0.93632743377633232</c:v>
              </c:pt>
              <c:pt idx="61">
                <c:v>0.93631908496607863</c:v>
              </c:pt>
              <c:pt idx="62">
                <c:v>0.93631047972611714</c:v>
              </c:pt>
              <c:pt idx="63">
                <c:v>0.93630161483334429</c:v>
              </c:pt>
              <c:pt idx="64">
                <c:v>0.93629248710606072</c:v>
              </c:pt>
              <c:pt idx="65">
                <c:v>0.93628309340476257</c:v>
              </c:pt>
              <c:pt idx="66">
                <c:v>0.936273430632929</c:v>
              </c:pt>
              <c:pt idx="67">
                <c:v>0.93626349573780221</c:v>
              </c:pt>
              <c:pt idx="68">
                <c:v>0.93625328571116018</c:v>
              </c:pt>
              <c:pt idx="69">
                <c:v>0.936242797590083</c:v>
              </c:pt>
              <c:pt idx="70">
                <c:v>0.93623202845770703</c:v>
              </c:pt>
              <c:pt idx="71">
                <c:v>0.93622097544397187</c:v>
              </c:pt>
              <c:pt idx="72">
                <c:v>0.93620963572635474</c:v>
              </c:pt>
              <c:pt idx="73">
                <c:v>0.93619800653059382</c:v>
              </c:pt>
              <c:pt idx="74">
                <c:v>0.93618608513139812</c:v>
              </c:pt>
              <c:pt idx="75">
                <c:v>0.9361738688531438</c:v>
              </c:pt>
              <c:pt idx="76">
                <c:v>0.93616135507055698</c:v>
              </c:pt>
              <c:pt idx="77">
                <c:v>0.93614854120938018</c:v>
              </c:pt>
              <c:pt idx="78">
                <c:v>0.93613542474702249</c:v>
              </c:pt>
              <c:pt idx="79">
                <c:v>0.93612200321319472</c:v>
              </c:pt>
              <c:pt idx="80">
                <c:v>0.93610827419052323</c:v>
              </c:pt>
              <c:pt idx="81">
                <c:v>0.93609423531514957</c:v>
              </c:pt>
              <c:pt idx="82">
                <c:v>0.93607988427730726</c:v>
              </c:pt>
              <c:pt idx="83">
                <c:v>0.93606521882188143</c:v>
              </c:pt>
              <c:pt idx="84">
                <c:v>0.9360502367489455</c:v>
              </c:pt>
              <c:pt idx="85">
                <c:v>0.93603493591427833</c:v>
              </c:pt>
              <c:pt idx="86">
                <c:v>0.93601931422985973</c:v>
              </c:pt>
              <c:pt idx="87">
                <c:v>0.93600336966433995</c:v>
              </c:pt>
              <c:pt idx="88">
                <c:v>0.93598710024349197</c:v>
              </c:pt>
              <c:pt idx="89">
                <c:v>0.93597050405063464</c:v>
              </c:pt>
              <c:pt idx="90">
                <c:v>0.93595357922703537</c:v>
              </c:pt>
              <c:pt idx="91">
                <c:v>0.93593632397228621</c:v>
              </c:pt>
              <c:pt idx="92">
                <c:v>0.93591873654465518</c:v>
              </c:pt>
              <c:pt idx="93">
                <c:v>0.93590081526141344</c:v>
              </c:pt>
              <c:pt idx="94">
                <c:v>0.93588255849913449</c:v>
              </c:pt>
              <c:pt idx="95">
                <c:v>0.93586396469396871</c:v>
              </c:pt>
              <c:pt idx="96">
                <c:v>0.93584503234189131</c:v>
              </c:pt>
              <c:pt idx="97">
                <c:v>0.93582575999892126</c:v>
              </c:pt>
              <c:pt idx="98">
                <c:v>0.93580614628131709</c:v>
              </c:pt>
              <c:pt idx="99">
                <c:v>0.93578618986574169</c:v>
              </c:pt>
              <c:pt idx="100">
                <c:v>0.9357658894894012</c:v>
              </c:pt>
              <c:pt idx="101">
                <c:v>0.93574524395015657</c:v>
              </c:pt>
              <c:pt idx="102">
                <c:v>0.93572425210660648</c:v>
              </c:pt>
              <c:pt idx="103">
                <c:v>0.935702912878143</c:v>
              </c:pt>
              <c:pt idx="104">
                <c:v>0.93568122524497988</c:v>
              </c:pt>
              <c:pt idx="105">
                <c:v>0.93565918824815142</c:v>
              </c:pt>
              <c:pt idx="106">
                <c:v>0.93563680098948532</c:v>
              </c:pt>
              <c:pt idx="107">
                <c:v>0.93561406263154578</c:v>
              </c:pt>
              <c:pt idx="108">
                <c:v>0.93559097239755151</c:v>
              </c:pt>
              <c:pt idx="109">
                <c:v>0.93556752957126377</c:v>
              </c:pt>
              <c:pt idx="110">
                <c:v>0.93554373349684838</c:v>
              </c:pt>
              <c:pt idx="111">
                <c:v>0.93551958357871001</c:v>
              </c:pt>
              <c:pt idx="112">
                <c:v>0.9354950792812996</c:v>
              </c:pt>
              <c:pt idx="113">
                <c:v>0.9354702201288958</c:v>
              </c:pt>
              <c:pt idx="114">
                <c:v>0.93544500570535827</c:v>
              </c:pt>
              <c:pt idx="115">
                <c:v>0.93541943565385743</c:v>
              </c:pt>
              <c:pt idx="116">
                <c:v>0.93539350967657575</c:v>
              </c:pt>
              <c:pt idx="117">
                <c:v>0.93536722753438584</c:v>
              </c:pt>
              <c:pt idx="118">
                <c:v>0.93534058904650264</c:v>
              </c:pt>
              <c:pt idx="119">
                <c:v>0.93531359409011094</c:v>
              </c:pt>
              <c:pt idx="120">
                <c:v>0.93528624259996918</c:v>
              </c:pt>
              <c:pt idx="121">
                <c:v>0.93525853456799013</c:v>
              </c:pt>
              <c:pt idx="122">
                <c:v>0.93523047004279691</c:v>
              </c:pt>
              <c:pt idx="123">
                <c:v>0.93520204912925831</c:v>
              </c:pt>
              <c:pt idx="124">
                <c:v>0.9351732719880006</c:v>
              </c:pt>
              <c:pt idx="125">
                <c:v>0.93514413883489977</c:v>
              </c:pt>
              <c:pt idx="126">
                <c:v>0.93511464994054994</c:v>
              </c:pt>
              <c:pt idx="127">
                <c:v>0.93508480562971441</c:v>
              </c:pt>
              <c:pt idx="128">
                <c:v>0.93505460628075565</c:v>
              </c:pt>
              <c:pt idx="129">
                <c:v>0.93502405232504582</c:v>
              </c:pt>
              <c:pt idx="130">
                <c:v>0.93499314424636015</c:v>
              </c:pt>
              <c:pt idx="131">
                <c:v>0.93496188258025192</c:v>
              </c:pt>
              <c:pt idx="132">
                <c:v>0.93493026791340983</c:v>
              </c:pt>
              <c:pt idx="133">
                <c:v>0.93489830088299974</c:v>
              </c:pt>
              <c:pt idx="134">
                <c:v>0.93486598217599082</c:v>
              </c:pt>
              <c:pt idx="135">
                <c:v>0.93483331252846547</c:v>
              </c:pt>
              <c:pt idx="136">
                <c:v>0.9348002927249166</c:v>
              </c:pt>
              <c:pt idx="137">
                <c:v>0.93476692359752955</c:v>
              </c:pt>
              <c:pt idx="138">
                <c:v>0.9347332060254524</c:v>
              </c:pt>
              <c:pt idx="139">
                <c:v>0.93469914093405326</c:v>
              </c:pt>
              <c:pt idx="140">
                <c:v>0.93466472929416611</c:v>
              </c:pt>
              <c:pt idx="141">
                <c:v>0.93462997212132637</c:v>
              </c:pt>
              <c:pt idx="142">
                <c:v>0.9345948704749959</c:v>
              </c:pt>
              <c:pt idx="143">
                <c:v>0.93455942545777781</c:v>
              </c:pt>
              <c:pt idx="144">
                <c:v>0.93452363821462558</c:v>
              </c:pt>
              <c:pt idx="145">
                <c:v>0.93448750993203866</c:v>
              </c:pt>
              <c:pt idx="146">
                <c:v>0.93445104183725736</c:v>
              </c:pt>
              <c:pt idx="147">
                <c:v>0.93441423519744482</c:v>
              </c:pt>
              <c:pt idx="148">
                <c:v>0.93437709131886926</c:v>
              </c:pt>
              <c:pt idx="149">
                <c:v>0.9343396115460747</c:v>
              </c:pt>
              <c:pt idx="150">
                <c:v>0.934301797261052</c:v>
              </c:pt>
              <c:pt idx="151">
                <c:v>0.9342636498824024</c:v>
              </c:pt>
              <c:pt idx="152">
                <c:v>0.93422517086450108</c:v>
              </c:pt>
              <c:pt idx="153">
                <c:v>0.93418636169665537</c:v>
              </c:pt>
              <c:pt idx="154">
                <c:v>0.93414722390226146</c:v>
              </c:pt>
              <c:pt idx="155">
                <c:v>0.93410775903796084</c:v>
              </c:pt>
              <c:pt idx="156">
                <c:v>0.93406796869279451</c:v>
              </c:pt>
              <c:pt idx="157">
                <c:v>0.93402785448735814</c:v>
              </c:pt>
              <c:pt idx="158">
                <c:v>0.93398741807295638</c:v>
              </c:pt>
              <c:pt idx="159">
                <c:v>0.93394666113075886</c:v>
              </c:pt>
              <c:pt idx="160">
                <c:v>0.93390558537095736</c:v>
              </c:pt>
              <c:pt idx="161">
                <c:v>0.9338641925319251</c:v>
              </c:pt>
              <c:pt idx="162">
                <c:v>0.93382248437937831</c:v>
              </c:pt>
              <c:pt idx="163">
                <c:v>0.9337804627055406</c:v>
              </c:pt>
              <c:pt idx="164">
                <c:v>0.93373812932831124</c:v>
              </c:pt>
              <c:pt idx="165">
                <c:v>0.93369548609043784</c:v>
              </c:pt>
              <c:pt idx="166">
                <c:v>0.93365253485869149</c:v>
              </c:pt>
              <c:pt idx="167">
                <c:v>0.93360927752304967</c:v>
              </c:pt>
              <c:pt idx="168">
                <c:v>0.93356571599588156</c:v>
              </c:pt>
              <c:pt idx="169">
                <c:v>0.93352185221114081</c:v>
              </c:pt>
              <c:pt idx="170">
                <c:v>0.93347768812356391</c:v>
              </c:pt>
              <c:pt idx="171">
                <c:v>0.93343322570787546</c:v>
              </c:pt>
              <c:pt idx="172">
                <c:v>0.93338846695799871</c:v>
              </c:pt>
              <c:pt idx="173">
                <c:v>0.93334341388627584</c:v>
              </c:pt>
              <c:pt idx="174">
                <c:v>0.93329806852269237</c:v>
              </c:pt>
              <c:pt idx="175">
                <c:v>0.93325243291411319</c:v>
              </c:pt>
              <c:pt idx="176">
                <c:v>0.9332065091235231</c:v>
              </c:pt>
              <c:pt idx="177">
                <c:v>0.93316029922927901</c:v>
              </c:pt>
              <c:pt idx="178">
                <c:v>0.93311380532436783</c:v>
              </c:pt>
              <c:pt idx="179">
                <c:v>0.93306702951567499</c:v>
              </c:pt>
              <c:pt idx="180">
                <c:v>0.9330199739232623</c:v>
              </c:pt>
              <c:pt idx="181">
                <c:v>0.9329726406796538</c:v>
              </c:pt>
              <c:pt idx="182">
                <c:v>0.93292503192913268</c:v>
              </c:pt>
              <c:pt idx="183">
                <c:v>0.93287714982704695</c:v>
              </c:pt>
              <c:pt idx="184">
                <c:v>0.93282899653912454</c:v>
              </c:pt>
              <c:pt idx="185">
                <c:v>0.93278057424080141</c:v>
              </c:pt>
              <c:pt idx="186">
                <c:v>0.93273188511655536</c:v>
              </c:pt>
              <c:pt idx="187">
                <c:v>0.93268293135925429</c:v>
              </c:pt>
              <c:pt idx="188">
                <c:v>0.93263371516951321</c:v>
              </c:pt>
              <c:pt idx="189">
                <c:v>0.93258423875506169</c:v>
              </c:pt>
              <c:pt idx="190">
                <c:v>0.93253450433012197</c:v>
              </c:pt>
              <c:pt idx="191">
                <c:v>0.93248451411479938</c:v>
              </c:pt>
              <c:pt idx="192">
                <c:v>0.93243427033448145</c:v>
              </c:pt>
              <c:pt idx="193">
                <c:v>0.93238377521925031</c:v>
              </c:pt>
              <c:pt idx="194">
                <c:v>0.93233303100330367</c:v>
              </c:pt>
              <c:pt idx="195">
                <c:v>0.93228203992438896</c:v>
              </c:pt>
              <c:pt idx="196">
                <c:v>0.93223080422324622</c:v>
              </c:pt>
              <c:pt idx="197">
                <c:v>0.93217932614306609</c:v>
              </c:pt>
              <c:pt idx="198">
                <c:v>0.93212760792895311</c:v>
              </c:pt>
              <c:pt idx="199">
                <c:v>0.93207565182740604</c:v>
              </c:pt>
              <c:pt idx="200">
                <c:v>0.93202346008580494</c:v>
              </c:pt>
              <c:pt idx="201">
                <c:v>0.93197103495191158</c:v>
              </c:pt>
              <c:pt idx="202">
                <c:v>0.93191837867338023</c:v>
              </c:pt>
              <c:pt idx="203">
                <c:v>0.93186549349727921</c:v>
              </c:pt>
              <c:pt idx="204">
                <c:v>0.93181238166962443</c:v>
              </c:pt>
              <c:pt idx="205">
                <c:v>0.93175904543492261</c:v>
              </c:pt>
              <c:pt idx="206">
                <c:v>0.93170548703572609</c:v>
              </c:pt>
              <c:pt idx="207">
                <c:v>0.93165170871219871</c:v>
              </c:pt>
              <c:pt idx="208">
                <c:v>0.93159771270169167</c:v>
              </c:pt>
            </c:numLit>
          </c:yVal>
          <c:smooth val="1"/>
          <c:extLst>
            <c:ext xmlns:c16="http://schemas.microsoft.com/office/drawing/2014/chart" uri="{C3380CC4-5D6E-409C-BE32-E72D297353CC}">
              <c16:uniqueId val="{00000000-F842-4C88-99F7-CA465D9DB003}"/>
            </c:ext>
          </c:extLst>
        </c:ser>
        <c:dLbls>
          <c:showLegendKey val="0"/>
          <c:showVal val="0"/>
          <c:showCatName val="0"/>
          <c:showSerName val="0"/>
          <c:showPercent val="0"/>
          <c:showBubbleSize val="0"/>
        </c:dLbls>
        <c:axId val="1914643152"/>
        <c:axId val="1"/>
      </c:scatterChart>
      <c:valAx>
        <c:axId val="19146431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max val="1"/>
          <c:min val="0.75"/>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914643152"/>
        <c:crosses val="autoZero"/>
        <c:crossBetween val="midCat"/>
      </c:valAx>
      <c:spPr>
        <a:solidFill>
          <a:srgbClr val="C0C0C0"/>
        </a:solidFill>
        <a:ln w="12700">
          <a:solidFill>
            <a:srgbClr val="808080"/>
          </a:solidFill>
          <a:prstDash val="solid"/>
        </a:ln>
      </c:spPr>
    </c:plotArea>
    <c:legend>
      <c:legendPos val="r"/>
      <c:layout>
        <c:manualLayout>
          <c:xMode val="edge"/>
          <c:yMode val="edge"/>
          <c:x val="0.85299288870942414"/>
          <c:y val="0.49662968533427704"/>
          <c:w val="0.1333335127980797"/>
          <c:h val="4.9438202247191032E-2"/>
        </c:manualLayout>
      </c:layout>
      <c:overlay val="0"/>
      <c:spPr>
        <a:solidFill>
          <a:srgbClr val="FFFFFF"/>
        </a:solidFill>
        <a:ln w="3175">
          <a:solidFill>
            <a:srgbClr val="000000"/>
          </a:solidFill>
          <a:prstDash val="solid"/>
        </a:ln>
      </c:spPr>
      <c:txPr>
        <a:bodyPr/>
        <a:lstStyle/>
        <a:p>
          <a:pPr>
            <a:defRPr sz="87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215900</xdr:colOff>
      <xdr:row>5</xdr:row>
      <xdr:rowOff>120650</xdr:rowOff>
    </xdr:from>
    <xdr:to>
      <xdr:col>6</xdr:col>
      <xdr:colOff>419100</xdr:colOff>
      <xdr:row>7</xdr:row>
      <xdr:rowOff>39624</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5213"/>
        <a:stretch/>
      </xdr:blipFill>
      <xdr:spPr>
        <a:xfrm>
          <a:off x="1485900" y="1479550"/>
          <a:ext cx="2743200" cy="236474"/>
        </a:xfrm>
        <a:prstGeom prst="rect">
          <a:avLst/>
        </a:prstGeom>
      </xdr:spPr>
    </xdr:pic>
    <xdr:clientData/>
  </xdr:twoCellAnchor>
  <xdr:twoCellAnchor editAs="oneCell">
    <xdr:from>
      <xdr:col>2</xdr:col>
      <xdr:colOff>215900</xdr:colOff>
      <xdr:row>8</xdr:row>
      <xdr:rowOff>6350</xdr:rowOff>
    </xdr:from>
    <xdr:to>
      <xdr:col>6</xdr:col>
      <xdr:colOff>419100</xdr:colOff>
      <xdr:row>9</xdr:row>
      <xdr:rowOff>96774</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73882"/>
        <a:stretch/>
      </xdr:blipFill>
      <xdr:spPr>
        <a:xfrm>
          <a:off x="1485900" y="1682750"/>
          <a:ext cx="2743200" cy="249174"/>
        </a:xfrm>
        <a:prstGeom prst="rect">
          <a:avLst/>
        </a:prstGeom>
      </xdr:spPr>
    </xdr:pic>
    <xdr:clientData/>
  </xdr:twoCellAnchor>
  <xdr:twoCellAnchor editAs="oneCell">
    <xdr:from>
      <xdr:col>2</xdr:col>
      <xdr:colOff>469900</xdr:colOff>
      <xdr:row>0</xdr:row>
      <xdr:rowOff>38100</xdr:rowOff>
    </xdr:from>
    <xdr:to>
      <xdr:col>6</xdr:col>
      <xdr:colOff>190500</xdr:colOff>
      <xdr:row>1</xdr:row>
      <xdr:rowOff>123826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52600" y="38100"/>
          <a:ext cx="2286000" cy="4667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330200</xdr:colOff>
      <xdr:row>0</xdr:row>
      <xdr:rowOff>50808</xdr:rowOff>
    </xdr:from>
    <xdr:to>
      <xdr:col>6</xdr:col>
      <xdr:colOff>177800</xdr:colOff>
      <xdr:row>0</xdr:row>
      <xdr:rowOff>517534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4250" y="50808"/>
          <a:ext cx="2286000" cy="4667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571500</xdr:colOff>
          <xdr:row>13</xdr:row>
          <xdr:rowOff>50800</xdr:rowOff>
        </xdr:from>
        <xdr:to>
          <xdr:col>12</xdr:col>
          <xdr:colOff>19050</xdr:colOff>
          <xdr:row>37</xdr:row>
          <xdr:rowOff>171450</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2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4</xdr:col>
      <xdr:colOff>400050</xdr:colOff>
      <xdr:row>0</xdr:row>
      <xdr:rowOff>38100</xdr:rowOff>
    </xdr:from>
    <xdr:to>
      <xdr:col>8</xdr:col>
      <xdr:colOff>120650</xdr:colOff>
      <xdr:row>1</xdr:row>
      <xdr:rowOff>123826</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65450" y="38100"/>
          <a:ext cx="2286000" cy="4667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6350</xdr:colOff>
      <xdr:row>0</xdr:row>
      <xdr:rowOff>57150</xdr:rowOff>
    </xdr:from>
    <xdr:to>
      <xdr:col>7</xdr:col>
      <xdr:colOff>627185</xdr:colOff>
      <xdr:row>0</xdr:row>
      <xdr:rowOff>523876</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89600" y="57150"/>
          <a:ext cx="2286000" cy="46672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573115</xdr:colOff>
      <xdr:row>34</xdr:row>
      <xdr:rowOff>48432</xdr:rowOff>
    </xdr:from>
    <xdr:ext cx="2697277" cy="45025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573115" y="3601257"/>
              <a:ext cx="2697277" cy="450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h𝑓</m:t>
                    </m:r>
                    <m:r>
                      <a:rPr lang="en-US" sz="1100" b="0" i="1">
                        <a:latin typeface="Cambria Math" panose="02040503050406030204" pitchFamily="18" charset="0"/>
                      </a:rPr>
                      <m:t>=</m:t>
                    </m:r>
                    <m:d>
                      <m:dPr>
                        <m:begChr m:val="{"/>
                        <m:endChr m:val="}"/>
                        <m:ctrlPr>
                          <a:rPr lang="en-US" sz="1100" b="0" i="1">
                            <a:latin typeface="Cambria Math" panose="02040503050406030204" pitchFamily="18" charset="0"/>
                          </a:rPr>
                        </m:ctrlPr>
                      </m:dPr>
                      <m:e>
                        <m:r>
                          <a:rPr lang="en-US" sz="1100" b="0" i="1">
                            <a:solidFill>
                              <a:schemeClr val="tx1"/>
                            </a:solidFill>
                            <a:effectLst/>
                            <a:latin typeface="Cambria Math" panose="02040503050406030204" pitchFamily="18" charset="0"/>
                            <a:ea typeface="+mn-ea"/>
                            <a:cs typeface="+mn-cs"/>
                          </a:rPr>
                          <m:t>0.2083 </m:t>
                        </m:r>
                        <m:sSup>
                          <m:sSupPr>
                            <m:ctrlPr>
                              <a:rPr lang="en-US" sz="1100" b="0" i="1">
                                <a:solidFill>
                                  <a:schemeClr val="tx1"/>
                                </a:solidFill>
                                <a:effectLst/>
                                <a:latin typeface="Cambria Math" panose="02040503050406030204" pitchFamily="18" charset="0"/>
                                <a:ea typeface="+mn-ea"/>
                                <a:cs typeface="+mn-cs"/>
                              </a:rPr>
                            </m:ctrlPr>
                          </m:sSupPr>
                          <m:e>
                            <m:d>
                              <m:dPr>
                                <m:ctrlPr>
                                  <a:rPr lang="en-US" sz="1100" b="0" i="1">
                                    <a:solidFill>
                                      <a:schemeClr val="tx1"/>
                                    </a:solidFill>
                                    <a:effectLst/>
                                    <a:latin typeface="Cambria Math" panose="02040503050406030204" pitchFamily="18" charset="0"/>
                                    <a:ea typeface="+mn-ea"/>
                                    <a:cs typeface="+mn-cs"/>
                                  </a:rPr>
                                </m:ctrlPr>
                              </m:dPr>
                              <m:e>
                                <m:f>
                                  <m:fPr>
                                    <m:ctrlPr>
                                      <a:rPr lang="en-US" sz="1100" b="0" i="1">
                                        <a:solidFill>
                                          <a:schemeClr val="tx1"/>
                                        </a:solidFill>
                                        <a:effectLst/>
                                        <a:latin typeface="Cambria Math" panose="02040503050406030204" pitchFamily="18" charset="0"/>
                                        <a:ea typeface="+mn-ea"/>
                                        <a:cs typeface="+mn-cs"/>
                                      </a:rPr>
                                    </m:ctrlPr>
                                  </m:fPr>
                                  <m:num>
                                    <m:r>
                                      <a:rPr lang="en-US" sz="1100" b="0" i="1">
                                        <a:solidFill>
                                          <a:schemeClr val="tx1"/>
                                        </a:solidFill>
                                        <a:effectLst/>
                                        <a:latin typeface="Cambria Math" panose="02040503050406030204" pitchFamily="18" charset="0"/>
                                        <a:ea typeface="+mn-ea"/>
                                        <a:cs typeface="+mn-cs"/>
                                      </a:rPr>
                                      <m:t>100</m:t>
                                    </m:r>
                                  </m:num>
                                  <m:den>
                                    <m:r>
                                      <a:rPr lang="en-US" sz="1100" b="0" i="1">
                                        <a:solidFill>
                                          <a:schemeClr val="tx1"/>
                                        </a:solidFill>
                                        <a:effectLst/>
                                        <a:latin typeface="Cambria Math" panose="02040503050406030204" pitchFamily="18" charset="0"/>
                                        <a:ea typeface="+mn-ea"/>
                                        <a:cs typeface="+mn-cs"/>
                                      </a:rPr>
                                      <m:t>𝐶</m:t>
                                    </m:r>
                                  </m:den>
                                </m:f>
                              </m:e>
                            </m:d>
                          </m:e>
                          <m:sup>
                            <m:r>
                              <a:rPr lang="en-US" sz="1100" b="0" i="1">
                                <a:solidFill>
                                  <a:schemeClr val="tx1"/>
                                </a:solidFill>
                                <a:effectLst/>
                                <a:latin typeface="Cambria Math" panose="02040503050406030204" pitchFamily="18" charset="0"/>
                                <a:ea typeface="+mn-ea"/>
                                <a:cs typeface="+mn-cs"/>
                              </a:rPr>
                              <m:t>1.852</m:t>
                            </m:r>
                          </m:sup>
                        </m:sSup>
                        <m:r>
                          <a:rPr lang="en-US" sz="1100" b="0" i="1">
                            <a:solidFill>
                              <a:schemeClr val="tx1"/>
                            </a:solidFill>
                            <a:effectLst/>
                            <a:latin typeface="Cambria Math" panose="02040503050406030204" pitchFamily="18" charset="0"/>
                            <a:ea typeface="Cambria Math" panose="02040503050406030204" pitchFamily="18" charset="0"/>
                            <a:cs typeface="+mn-cs"/>
                          </a:rPr>
                          <m:t>× </m:t>
                        </m:r>
                        <m:f>
                          <m:fPr>
                            <m:ctrlPr>
                              <a:rPr lang="en-US" sz="1100" b="0" i="1">
                                <a:solidFill>
                                  <a:schemeClr val="tx1"/>
                                </a:solidFill>
                                <a:effectLst/>
                                <a:latin typeface="Cambria Math" panose="02040503050406030204" pitchFamily="18" charset="0"/>
                                <a:ea typeface="+mn-ea"/>
                                <a:cs typeface="+mn-cs"/>
                              </a:rPr>
                            </m:ctrlPr>
                          </m:fPr>
                          <m:num>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𝑄</m:t>
                                </m:r>
                              </m:e>
                              <m:sup>
                                <m:r>
                                  <a:rPr lang="en-US" sz="1100" b="0" i="1">
                                    <a:solidFill>
                                      <a:schemeClr val="tx1"/>
                                    </a:solidFill>
                                    <a:effectLst/>
                                    <a:latin typeface="Cambria Math" panose="02040503050406030204" pitchFamily="18" charset="0"/>
                                    <a:ea typeface="+mn-ea"/>
                                    <a:cs typeface="+mn-cs"/>
                                  </a:rPr>
                                  <m:t>1.852</m:t>
                                </m:r>
                              </m:sup>
                            </m:sSup>
                          </m:num>
                          <m:den>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𝑑</m:t>
                                </m:r>
                              </m:e>
                              <m:sup>
                                <m:r>
                                  <a:rPr lang="en-US" sz="1100" b="0" i="1">
                                    <a:solidFill>
                                      <a:schemeClr val="tx1"/>
                                    </a:solidFill>
                                    <a:effectLst/>
                                    <a:latin typeface="Cambria Math" panose="02040503050406030204" pitchFamily="18" charset="0"/>
                                    <a:ea typeface="+mn-ea"/>
                                    <a:cs typeface="+mn-cs"/>
                                  </a:rPr>
                                  <m:t>4.866</m:t>
                                </m:r>
                              </m:sup>
                            </m:sSup>
                          </m:den>
                        </m:f>
                      </m:e>
                    </m:d>
                    <m:r>
                      <a:rPr lang="en-US" sz="1100" b="0" i="1">
                        <a:latin typeface="Cambria Math" panose="02040503050406030204" pitchFamily="18" charset="0"/>
                      </a:rPr>
                      <m:t> </m:t>
                    </m:r>
                    <m:r>
                      <a:rPr lang="en-US" sz="1100" b="0" i="1">
                        <a:latin typeface="Cambria Math" panose="02040503050406030204" pitchFamily="18" charset="0"/>
                        <a:ea typeface="Cambria Math" panose="02040503050406030204" pitchFamily="18" charset="0"/>
                      </a:rPr>
                      <m:t>×0.433</m:t>
                    </m:r>
                  </m:oMath>
                </m:oMathPara>
              </a14:m>
              <a:endParaRPr lang="en-US" sz="1100"/>
            </a:p>
          </xdr:txBody>
        </xdr:sp>
      </mc:Choice>
      <mc:Fallback xmlns="">
        <xdr:sp macro="" textlink="">
          <xdr:nvSpPr>
            <xdr:cNvPr id="4" name="TextBox 3">
              <a:extLst>
                <a:ext uri="{FF2B5EF4-FFF2-40B4-BE49-F238E27FC236}">
                  <a16:creationId xmlns:a16="http://schemas.microsoft.com/office/drawing/2014/main" id="{C52DD912-A949-4917-80D8-5C1F1D4C1A6F}"/>
                </a:ext>
              </a:extLst>
            </xdr:cNvPr>
            <xdr:cNvSpPr txBox="1"/>
          </xdr:nvSpPr>
          <xdr:spPr>
            <a:xfrm>
              <a:off x="573115" y="3601257"/>
              <a:ext cx="2697277" cy="450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ℎ𝑓={</a:t>
              </a:r>
              <a:r>
                <a:rPr lang="en-US" sz="1100" b="0" i="0">
                  <a:solidFill>
                    <a:schemeClr val="tx1"/>
                  </a:solidFill>
                  <a:effectLst/>
                  <a:latin typeface="Cambria Math" panose="02040503050406030204" pitchFamily="18" charset="0"/>
                  <a:ea typeface="+mn-ea"/>
                  <a:cs typeface="+mn-cs"/>
                </a:rPr>
                <a:t>0.2083 (100/𝐶)^1.852</a:t>
              </a:r>
              <a:r>
                <a:rPr lang="en-US" sz="1100" b="0" i="0">
                  <a:solidFill>
                    <a:schemeClr val="tx1"/>
                  </a:solidFill>
                  <a:effectLst/>
                  <a:latin typeface="Cambria Math" panose="02040503050406030204" pitchFamily="18" charset="0"/>
                  <a:ea typeface="Cambria Math" panose="02040503050406030204" pitchFamily="18" charset="0"/>
                  <a:cs typeface="+mn-cs"/>
                </a:rPr>
                <a:t>× </a:t>
              </a:r>
              <a:r>
                <a:rPr lang="en-US" sz="1100" b="0" i="0">
                  <a:solidFill>
                    <a:schemeClr val="tx1"/>
                  </a:solidFill>
                  <a:effectLst/>
                  <a:latin typeface="Cambria Math" panose="02040503050406030204" pitchFamily="18" charset="0"/>
                  <a:ea typeface="+mn-ea"/>
                  <a:cs typeface="+mn-cs"/>
                </a:rPr>
                <a:t>𝑄^1.852/𝑑^4.866 } </a:t>
              </a:r>
              <a:r>
                <a:rPr lang="en-US" sz="1100" b="0" i="0">
                  <a:latin typeface="Cambria Math" panose="02040503050406030204" pitchFamily="18" charset="0"/>
                </a:rPr>
                <a:t> </a:t>
              </a:r>
              <a:r>
                <a:rPr lang="en-US" sz="1100" b="0" i="0">
                  <a:latin typeface="Cambria Math" panose="02040503050406030204" pitchFamily="18" charset="0"/>
                  <a:ea typeface="Cambria Math" panose="02040503050406030204" pitchFamily="18" charset="0"/>
                </a:rPr>
                <a:t>×0.433</a:t>
              </a:r>
              <a:endParaRPr lang="en-US" sz="1100"/>
            </a:p>
          </xdr:txBody>
        </xdr:sp>
      </mc:Fallback>
    </mc:AlternateContent>
    <xdr:clientData/>
  </xdr:oneCellAnchor>
  <xdr:oneCellAnchor>
    <xdr:from>
      <xdr:col>0</xdr:col>
      <xdr:colOff>605403</xdr:colOff>
      <xdr:row>37</xdr:row>
      <xdr:rowOff>113009</xdr:rowOff>
    </xdr:from>
    <xdr:ext cx="1136016" cy="31797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605403" y="4208759"/>
              <a:ext cx="1136016"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𝑉</m:t>
                    </m:r>
                    <m:r>
                      <a:rPr lang="en-US" sz="1100" b="0" i="1">
                        <a:latin typeface="Cambria Math" panose="02040503050406030204" pitchFamily="18" charset="0"/>
                      </a:rPr>
                      <m:t> =0.4085 × </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𝑄</m:t>
                        </m:r>
                      </m:num>
                      <m:den>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𝑑</m:t>
                            </m:r>
                          </m:e>
                          <m:sup>
                            <m:r>
                              <a:rPr lang="en-US" sz="1100" b="0" i="1">
                                <a:latin typeface="Cambria Math" panose="02040503050406030204" pitchFamily="18" charset="0"/>
                                <a:ea typeface="Cambria Math" panose="02040503050406030204" pitchFamily="18" charset="0"/>
                              </a:rPr>
                              <m:t>2</m:t>
                            </m:r>
                          </m:sup>
                        </m:sSup>
                      </m:den>
                    </m:f>
                  </m:oMath>
                </m:oMathPara>
              </a14:m>
              <a:endParaRPr lang="en-US" sz="1100"/>
            </a:p>
          </xdr:txBody>
        </xdr:sp>
      </mc:Choice>
      <mc:Fallback xmlns="">
        <xdr:sp macro="" textlink="">
          <xdr:nvSpPr>
            <xdr:cNvPr id="5" name="TextBox 4">
              <a:extLst>
                <a:ext uri="{FF2B5EF4-FFF2-40B4-BE49-F238E27FC236}">
                  <a16:creationId xmlns:a16="http://schemas.microsoft.com/office/drawing/2014/main" id="{2EB36A8B-2B92-4DC8-9E22-A01A0405FDBC}"/>
                </a:ext>
              </a:extLst>
            </xdr:cNvPr>
            <xdr:cNvSpPr txBox="1"/>
          </xdr:nvSpPr>
          <xdr:spPr>
            <a:xfrm>
              <a:off x="605403" y="4208759"/>
              <a:ext cx="1136016"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 =0.4085 × </a:t>
              </a:r>
              <a:r>
                <a:rPr lang="en-US" sz="1100" b="0" i="0">
                  <a:latin typeface="Cambria Math" panose="02040503050406030204" pitchFamily="18" charset="0"/>
                  <a:ea typeface="Cambria Math" panose="02040503050406030204" pitchFamily="18" charset="0"/>
                </a:rPr>
                <a:t> 𝑄/𝑑^2 </a:t>
              </a:r>
              <a:endParaRPr lang="en-US"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twoCellAnchor>
    <xdr:from>
      <xdr:col>14</xdr:col>
      <xdr:colOff>323850</xdr:colOff>
      <xdr:row>621</xdr:row>
      <xdr:rowOff>28575</xdr:rowOff>
    </xdr:from>
    <xdr:to>
      <xdr:col>20</xdr:col>
      <xdr:colOff>552450</xdr:colOff>
      <xdr:row>647</xdr:row>
      <xdr:rowOff>57150</xdr:rowOff>
    </xdr:to>
    <xdr:graphicFrame macro="">
      <xdr:nvGraphicFramePr>
        <xdr:cNvPr id="2" name="Chart 12">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323850</xdr:colOff>
      <xdr:row>621</xdr:row>
      <xdr:rowOff>28575</xdr:rowOff>
    </xdr:from>
    <xdr:to>
      <xdr:col>32</xdr:col>
      <xdr:colOff>552450</xdr:colOff>
      <xdr:row>647</xdr:row>
      <xdr:rowOff>57150</xdr:rowOff>
    </xdr:to>
    <xdr:graphicFrame macro="">
      <xdr:nvGraphicFramePr>
        <xdr:cNvPr id="3" name="Chart 16">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323850</xdr:colOff>
      <xdr:row>621</xdr:row>
      <xdr:rowOff>28575</xdr:rowOff>
    </xdr:from>
    <xdr:to>
      <xdr:col>44</xdr:col>
      <xdr:colOff>552450</xdr:colOff>
      <xdr:row>647</xdr:row>
      <xdr:rowOff>57150</xdr:rowOff>
    </xdr:to>
    <xdr:graphicFrame macro="">
      <xdr:nvGraphicFramePr>
        <xdr:cNvPr id="4" name="Chart 21">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573115</xdr:colOff>
      <xdr:row>20</xdr:row>
      <xdr:rowOff>48432</xdr:rowOff>
    </xdr:from>
    <xdr:ext cx="2697277" cy="4502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573115" y="3534582"/>
              <a:ext cx="2697277" cy="450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h𝑓</m:t>
                    </m:r>
                    <m:r>
                      <a:rPr lang="en-US" sz="1100" b="0" i="1">
                        <a:latin typeface="Cambria Math" panose="02040503050406030204" pitchFamily="18" charset="0"/>
                      </a:rPr>
                      <m:t>=</m:t>
                    </m:r>
                    <m:d>
                      <m:dPr>
                        <m:begChr m:val="{"/>
                        <m:endChr m:val="}"/>
                        <m:ctrlPr>
                          <a:rPr lang="en-US" sz="1100" b="0" i="1">
                            <a:latin typeface="Cambria Math" panose="02040503050406030204" pitchFamily="18" charset="0"/>
                          </a:rPr>
                        </m:ctrlPr>
                      </m:dPr>
                      <m:e>
                        <m:r>
                          <a:rPr lang="en-US" sz="1100" b="0" i="1">
                            <a:solidFill>
                              <a:schemeClr val="tx1"/>
                            </a:solidFill>
                            <a:effectLst/>
                            <a:latin typeface="Cambria Math" panose="02040503050406030204" pitchFamily="18" charset="0"/>
                            <a:ea typeface="+mn-ea"/>
                            <a:cs typeface="+mn-cs"/>
                          </a:rPr>
                          <m:t>0.2083 </m:t>
                        </m:r>
                        <m:sSup>
                          <m:sSupPr>
                            <m:ctrlPr>
                              <a:rPr lang="en-US" sz="1100" b="0" i="1">
                                <a:solidFill>
                                  <a:schemeClr val="tx1"/>
                                </a:solidFill>
                                <a:effectLst/>
                                <a:latin typeface="Cambria Math" panose="02040503050406030204" pitchFamily="18" charset="0"/>
                                <a:ea typeface="+mn-ea"/>
                                <a:cs typeface="+mn-cs"/>
                              </a:rPr>
                            </m:ctrlPr>
                          </m:sSupPr>
                          <m:e>
                            <m:d>
                              <m:dPr>
                                <m:ctrlPr>
                                  <a:rPr lang="en-US" sz="1100" b="0" i="1">
                                    <a:solidFill>
                                      <a:schemeClr val="tx1"/>
                                    </a:solidFill>
                                    <a:effectLst/>
                                    <a:latin typeface="Cambria Math" panose="02040503050406030204" pitchFamily="18" charset="0"/>
                                    <a:ea typeface="+mn-ea"/>
                                    <a:cs typeface="+mn-cs"/>
                                  </a:rPr>
                                </m:ctrlPr>
                              </m:dPr>
                              <m:e>
                                <m:f>
                                  <m:fPr>
                                    <m:ctrlPr>
                                      <a:rPr lang="en-US" sz="1100" b="0" i="1">
                                        <a:solidFill>
                                          <a:schemeClr val="tx1"/>
                                        </a:solidFill>
                                        <a:effectLst/>
                                        <a:latin typeface="Cambria Math" panose="02040503050406030204" pitchFamily="18" charset="0"/>
                                        <a:ea typeface="+mn-ea"/>
                                        <a:cs typeface="+mn-cs"/>
                                      </a:rPr>
                                    </m:ctrlPr>
                                  </m:fPr>
                                  <m:num>
                                    <m:r>
                                      <a:rPr lang="en-US" sz="1100" b="0" i="1">
                                        <a:solidFill>
                                          <a:schemeClr val="tx1"/>
                                        </a:solidFill>
                                        <a:effectLst/>
                                        <a:latin typeface="Cambria Math" panose="02040503050406030204" pitchFamily="18" charset="0"/>
                                        <a:ea typeface="+mn-ea"/>
                                        <a:cs typeface="+mn-cs"/>
                                      </a:rPr>
                                      <m:t>100</m:t>
                                    </m:r>
                                  </m:num>
                                  <m:den>
                                    <m:r>
                                      <a:rPr lang="en-US" sz="1100" b="0" i="1">
                                        <a:solidFill>
                                          <a:schemeClr val="tx1"/>
                                        </a:solidFill>
                                        <a:effectLst/>
                                        <a:latin typeface="Cambria Math" panose="02040503050406030204" pitchFamily="18" charset="0"/>
                                        <a:ea typeface="+mn-ea"/>
                                        <a:cs typeface="+mn-cs"/>
                                      </a:rPr>
                                      <m:t>𝐶</m:t>
                                    </m:r>
                                  </m:den>
                                </m:f>
                              </m:e>
                            </m:d>
                          </m:e>
                          <m:sup>
                            <m:r>
                              <a:rPr lang="en-US" sz="1100" b="0" i="1">
                                <a:solidFill>
                                  <a:schemeClr val="tx1"/>
                                </a:solidFill>
                                <a:effectLst/>
                                <a:latin typeface="Cambria Math" panose="02040503050406030204" pitchFamily="18" charset="0"/>
                                <a:ea typeface="+mn-ea"/>
                                <a:cs typeface="+mn-cs"/>
                              </a:rPr>
                              <m:t>1.852</m:t>
                            </m:r>
                          </m:sup>
                        </m:sSup>
                        <m:r>
                          <a:rPr lang="en-US" sz="1100" b="0" i="1">
                            <a:solidFill>
                              <a:schemeClr val="tx1"/>
                            </a:solidFill>
                            <a:effectLst/>
                            <a:latin typeface="Cambria Math" panose="02040503050406030204" pitchFamily="18" charset="0"/>
                            <a:ea typeface="Cambria Math" panose="02040503050406030204" pitchFamily="18" charset="0"/>
                            <a:cs typeface="+mn-cs"/>
                          </a:rPr>
                          <m:t>× </m:t>
                        </m:r>
                        <m:f>
                          <m:fPr>
                            <m:ctrlPr>
                              <a:rPr lang="en-US" sz="1100" b="0" i="1">
                                <a:solidFill>
                                  <a:schemeClr val="tx1"/>
                                </a:solidFill>
                                <a:effectLst/>
                                <a:latin typeface="Cambria Math" panose="02040503050406030204" pitchFamily="18" charset="0"/>
                                <a:ea typeface="+mn-ea"/>
                                <a:cs typeface="+mn-cs"/>
                              </a:rPr>
                            </m:ctrlPr>
                          </m:fPr>
                          <m:num>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𝑄</m:t>
                                </m:r>
                              </m:e>
                              <m:sup>
                                <m:r>
                                  <a:rPr lang="en-US" sz="1100" b="0" i="1">
                                    <a:solidFill>
                                      <a:schemeClr val="tx1"/>
                                    </a:solidFill>
                                    <a:effectLst/>
                                    <a:latin typeface="Cambria Math" panose="02040503050406030204" pitchFamily="18" charset="0"/>
                                    <a:ea typeface="+mn-ea"/>
                                    <a:cs typeface="+mn-cs"/>
                                  </a:rPr>
                                  <m:t>1.852</m:t>
                                </m:r>
                              </m:sup>
                            </m:sSup>
                          </m:num>
                          <m:den>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𝑑</m:t>
                                </m:r>
                              </m:e>
                              <m:sup>
                                <m:r>
                                  <a:rPr lang="en-US" sz="1100" b="0" i="1">
                                    <a:solidFill>
                                      <a:schemeClr val="tx1"/>
                                    </a:solidFill>
                                    <a:effectLst/>
                                    <a:latin typeface="Cambria Math" panose="02040503050406030204" pitchFamily="18" charset="0"/>
                                    <a:ea typeface="+mn-ea"/>
                                    <a:cs typeface="+mn-cs"/>
                                  </a:rPr>
                                  <m:t>4.866</m:t>
                                </m:r>
                              </m:sup>
                            </m:sSup>
                          </m:den>
                        </m:f>
                      </m:e>
                    </m:d>
                    <m:r>
                      <a:rPr lang="en-US" sz="1100" b="0" i="1">
                        <a:latin typeface="Cambria Math" panose="02040503050406030204" pitchFamily="18" charset="0"/>
                      </a:rPr>
                      <m:t> </m:t>
                    </m:r>
                    <m:r>
                      <a:rPr lang="en-US" sz="1100" b="0" i="1">
                        <a:latin typeface="Cambria Math" panose="02040503050406030204" pitchFamily="18" charset="0"/>
                        <a:ea typeface="Cambria Math" panose="02040503050406030204" pitchFamily="18" charset="0"/>
                      </a:rPr>
                      <m:t>×0.433</m:t>
                    </m:r>
                  </m:oMath>
                </m:oMathPara>
              </a14:m>
              <a:endParaRPr lang="en-US" sz="1100"/>
            </a:p>
          </xdr:txBody>
        </xdr:sp>
      </mc:Choice>
      <mc:Fallback xmlns="">
        <xdr:sp macro="" textlink="">
          <xdr:nvSpPr>
            <xdr:cNvPr id="2" name="TextBox 1">
              <a:extLst>
                <a:ext uri="{FF2B5EF4-FFF2-40B4-BE49-F238E27FC236}">
                  <a16:creationId xmlns:a16="http://schemas.microsoft.com/office/drawing/2014/main" id="{9EFBA0BD-E9CC-45D1-A322-59AA0769A2BC}"/>
                </a:ext>
              </a:extLst>
            </xdr:cNvPr>
            <xdr:cNvSpPr txBox="1"/>
          </xdr:nvSpPr>
          <xdr:spPr>
            <a:xfrm>
              <a:off x="573115" y="3534582"/>
              <a:ext cx="2697277" cy="450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ℎ𝑓={</a:t>
              </a:r>
              <a:r>
                <a:rPr lang="en-US" sz="1100" b="0" i="0">
                  <a:solidFill>
                    <a:schemeClr val="tx1"/>
                  </a:solidFill>
                  <a:effectLst/>
                  <a:latin typeface="Cambria Math" panose="02040503050406030204" pitchFamily="18" charset="0"/>
                  <a:ea typeface="+mn-ea"/>
                  <a:cs typeface="+mn-cs"/>
                </a:rPr>
                <a:t>0.2083 (100/𝐶)^1.852</a:t>
              </a:r>
              <a:r>
                <a:rPr lang="en-US" sz="1100" b="0" i="0">
                  <a:solidFill>
                    <a:schemeClr val="tx1"/>
                  </a:solidFill>
                  <a:effectLst/>
                  <a:latin typeface="Cambria Math" panose="02040503050406030204" pitchFamily="18" charset="0"/>
                  <a:ea typeface="Cambria Math" panose="02040503050406030204" pitchFamily="18" charset="0"/>
                  <a:cs typeface="+mn-cs"/>
                </a:rPr>
                <a:t>× </a:t>
              </a:r>
              <a:r>
                <a:rPr lang="en-US" sz="1100" b="0" i="0">
                  <a:solidFill>
                    <a:schemeClr val="tx1"/>
                  </a:solidFill>
                  <a:effectLst/>
                  <a:latin typeface="Cambria Math" panose="02040503050406030204" pitchFamily="18" charset="0"/>
                  <a:ea typeface="+mn-ea"/>
                  <a:cs typeface="+mn-cs"/>
                </a:rPr>
                <a:t>𝑄^1.852/𝑑^4.866 } </a:t>
              </a:r>
              <a:r>
                <a:rPr lang="en-US" sz="1100" b="0" i="0">
                  <a:latin typeface="Cambria Math" panose="02040503050406030204" pitchFamily="18" charset="0"/>
                </a:rPr>
                <a:t> </a:t>
              </a:r>
              <a:r>
                <a:rPr lang="en-US" sz="1100" b="0" i="0">
                  <a:latin typeface="Cambria Math" panose="02040503050406030204" pitchFamily="18" charset="0"/>
                  <a:ea typeface="Cambria Math" panose="02040503050406030204" pitchFamily="18" charset="0"/>
                </a:rPr>
                <a:t>×0.433</a:t>
              </a:r>
              <a:endParaRPr lang="en-US" sz="1100"/>
            </a:p>
          </xdr:txBody>
        </xdr:sp>
      </mc:Fallback>
    </mc:AlternateContent>
    <xdr:clientData/>
  </xdr:oneCellAnchor>
  <xdr:oneCellAnchor>
    <xdr:from>
      <xdr:col>0</xdr:col>
      <xdr:colOff>605403</xdr:colOff>
      <xdr:row>23</xdr:row>
      <xdr:rowOff>113009</xdr:rowOff>
    </xdr:from>
    <xdr:ext cx="1136016" cy="31797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605403" y="4132559"/>
              <a:ext cx="1136016"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𝑉</m:t>
                    </m:r>
                    <m:r>
                      <a:rPr lang="en-US" sz="1100" b="0" i="1">
                        <a:latin typeface="Cambria Math" panose="02040503050406030204" pitchFamily="18" charset="0"/>
                      </a:rPr>
                      <m:t> =0.4085 × </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𝑄</m:t>
                        </m:r>
                      </m:num>
                      <m:den>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𝑑</m:t>
                            </m:r>
                          </m:e>
                          <m:sup>
                            <m:r>
                              <a:rPr lang="en-US" sz="1100" b="0" i="1">
                                <a:latin typeface="Cambria Math" panose="02040503050406030204" pitchFamily="18" charset="0"/>
                                <a:ea typeface="Cambria Math" panose="02040503050406030204" pitchFamily="18" charset="0"/>
                              </a:rPr>
                              <m:t>2</m:t>
                            </m:r>
                          </m:sup>
                        </m:sSup>
                      </m:den>
                    </m:f>
                  </m:oMath>
                </m:oMathPara>
              </a14:m>
              <a:endParaRPr lang="en-US" sz="1100"/>
            </a:p>
          </xdr:txBody>
        </xdr:sp>
      </mc:Choice>
      <mc:Fallback xmlns="">
        <xdr:sp macro="" textlink="">
          <xdr:nvSpPr>
            <xdr:cNvPr id="3" name="TextBox 2">
              <a:extLst>
                <a:ext uri="{FF2B5EF4-FFF2-40B4-BE49-F238E27FC236}">
                  <a16:creationId xmlns:a16="http://schemas.microsoft.com/office/drawing/2014/main" id="{52A13756-BA58-4928-B38A-E75B4D2D8E5C}"/>
                </a:ext>
              </a:extLst>
            </xdr:cNvPr>
            <xdr:cNvSpPr txBox="1"/>
          </xdr:nvSpPr>
          <xdr:spPr>
            <a:xfrm>
              <a:off x="605403" y="4132559"/>
              <a:ext cx="1136016"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 =0.4085 × </a:t>
              </a:r>
              <a:r>
                <a:rPr lang="en-US" sz="1100" b="0" i="0">
                  <a:latin typeface="Cambria Math" panose="02040503050406030204" pitchFamily="18" charset="0"/>
                  <a:ea typeface="Cambria Math" panose="02040503050406030204" pitchFamily="18" charset="0"/>
                </a:rPr>
                <a:t> 𝑄/𝑑^2 </a:t>
              </a:r>
              <a:endParaRPr lang="en-US"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avid\Documents\Spread%20Sheets\HDM%20Design%20Aides\Anua-Geoflow-Web\20230526_TDH%20Cal_Beta_R5_Test.xlsx" TargetMode="External"/><Relationship Id="rId1" Type="http://schemas.openxmlformats.org/officeDocument/2006/relationships/externalLinkPath" Target="file:///C:\Users\David\Documents\Spread%20Sheets\HDM%20Design%20Aides\Anua-Geoflow-Web\20230526_TDH%20Cal_Beta_R5_Te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quired Inputs"/>
      <sheetName val="Drip Tube Loss Curves"/>
      <sheetName val="Headworks Data"/>
      <sheetName val="Zone Valves Data"/>
      <sheetName val="Drip Tube Loss Calculator"/>
      <sheetName val="Drip Tube Data"/>
      <sheetName val="Pipe Data"/>
    </sheetNames>
    <sheetDataSet>
      <sheetData sheetId="0">
        <row r="3">
          <cell r="A3" t="str">
            <v>G-WHWSGUT-D-15FA</v>
          </cell>
        </row>
        <row r="4">
          <cell r="A4" t="str">
            <v>G-HT-4404</v>
          </cell>
        </row>
        <row r="35">
          <cell r="A35">
            <v>150</v>
          </cell>
        </row>
      </sheetData>
      <sheetData sheetId="1" refreshError="1"/>
      <sheetData sheetId="2"/>
      <sheetData sheetId="3">
        <row r="3">
          <cell r="B3">
            <v>15.750000000000002</v>
          </cell>
        </row>
        <row r="4">
          <cell r="B4">
            <v>20.933598531211754</v>
          </cell>
        </row>
        <row r="5">
          <cell r="B5">
            <v>5.1835985312117518</v>
          </cell>
        </row>
      </sheetData>
      <sheetData sheetId="4">
        <row r="26">
          <cell r="A26">
            <v>0</v>
          </cell>
        </row>
      </sheetData>
      <sheetData sheetId="5">
        <row r="29">
          <cell r="G29">
            <v>25.917596512500005</v>
          </cell>
        </row>
        <row r="32">
          <cell r="C32">
            <v>15.750000000000002</v>
          </cell>
        </row>
        <row r="34">
          <cell r="C34">
            <v>20.933598531211754</v>
          </cell>
        </row>
      </sheetData>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0499F0-80FD-4926-BFB4-8470DD87100F}" name="Table24" displayName="Table24" ref="B3:J13" totalsRowShown="0" headerRowDxfId="56" dataDxfId="55">
  <autoFilter ref="B3:J13" xr:uid="{00000000-0009-0000-0100-000002000000}"/>
  <tableColumns count="9">
    <tableColumn id="1" xr3:uid="{0E3F68DF-6D9D-4816-B91C-98B4F4C152E1}" name="Drip Tube_x000a_ Model #" dataDxfId="54"/>
    <tableColumn id="2" xr3:uid="{AC5DB50A-4966-4A41-916F-A41BE74F009A}" name="Tube ID_x000a_Inches" dataDxfId="53"/>
    <tableColumn id="3" xr3:uid="{D2FA2731-34A2-411D-B179-4FA5C673246E}" name="Emitter Kd" dataDxfId="52"/>
    <tableColumn id="4" xr3:uid="{B3C4E76E-DCA2-4736-A4B0-C03A5727F068}" name="Emitter Exponent" dataDxfId="51"/>
    <tableColumn id="8" xr3:uid="{48275B2E-11C3-4E33-BC66-A493EB294ADD}" name="Emitter Spacing_x000a_Inches" dataDxfId="50"/>
    <tableColumn id="5" xr3:uid="{3F4B5A88-8ECE-4889-8793-84D3B975CE76}" name="Emitter Spacing_x000a_Feet" dataDxfId="49"/>
    <tableColumn id="6" xr3:uid="{1469B401-A3D3-4ED4-A7C4-CA72F4153213}" name="Nominal Emitter_x000a_Flow GPH" dataDxfId="48"/>
    <tableColumn id="7" xr3:uid="{018DD6E0-A919-465E-B591-E58FBE379C05}" name="Actual Flow @ 30 psi" dataDxfId="47"/>
    <tableColumn id="9" xr3:uid="{B4CEE5FC-F575-433B-8D76-77F9CABB2349}" name="Nominal Flow_x000a_GPM" dataDxfId="46">
      <calculatedColumnFormula>Table24[[#This Row],[Actual Flow @ 30 psi]]/60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EF5813-A568-41E4-AB58-37DF44C02D8D}" name="Table3" displayName="Table3" ref="B16:E23" totalsRowShown="0" headerRowDxfId="45" dataDxfId="44">
  <autoFilter ref="B16:E23" xr:uid="{00000000-0009-0000-0100-000003000000}"/>
  <tableColumns count="4">
    <tableColumn id="1" xr3:uid="{584EA8F4-81FA-4250-B9CE-AFA20D98B3C9}" name="Inlet Pressure_x000a_ Psi" dataDxfId="43"/>
    <tableColumn id="2" xr3:uid="{912AE18E-B504-46B3-AC4E-E66104CD884E}" name="Distal End_x000a_Pressure" dataDxfId="42"/>
    <tableColumn id="3" xr3:uid="{BAA48C02-9AF5-4780-BE43-2D741671F605}" name="Flush Velocity_x000a_FPS" dataDxfId="41"/>
    <tableColumn id="4" xr3:uid="{FB79B7B0-6052-4D7A-A485-6B2A6C91686E}" name="Drip Tube_x000a_Spacing Ft" dataDxfId="4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2C4AD6-8061-47AD-B365-D0AC476776F5}" name="Table6" displayName="Table6" ref="B7:F13" totalsRowShown="0" headerRowDxfId="39" dataDxfId="38">
  <autoFilter ref="B7:F13" xr:uid="{F8D5CEAB-89E2-4DF8-9856-9168AABA2AD5}"/>
  <tableColumns count="5">
    <tableColumn id="1" xr3:uid="{C5102198-CD3B-4576-8CED-71D11D5549D8}" name="Headworks Part #" dataDxfId="37"/>
    <tableColumn id="7" xr3:uid="{FC56457A-8269-4AD2-99BD-C00E61FCBCAE}" name="Maximum GPM" dataDxfId="36"/>
    <tableColumn id="5" xr3:uid="{AEF09D56-EEA2-4D7C-A1BB-9FEBA19C2BF6}" name="Supply" dataDxfId="35"/>
    <tableColumn id="4" xr3:uid="{FCD7E898-75E3-4042-9866-EE615DF02FC8}" name="Return" dataDxfId="34">
      <calculatedColumnFormula>Table6[[#This Row],[Supply]]</calculatedColumnFormula>
    </tableColumn>
    <tableColumn id="2" xr3:uid="{5A6EA96A-B0D1-40AC-BD0E-3AAF44DC633F}" name="Description" dataDxfId="3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D50128-2EA3-4CD1-BE38-7D5F15D698BC}" name="Table1" displayName="Table1" ref="C7:M9" totalsRowShown="0" headerRowDxfId="32" dataDxfId="31">
  <autoFilter ref="C7:M9" xr:uid="{F6C2A506-353B-4A89-8BF7-2BAA14EB4AB1}"/>
  <tableColumns count="11">
    <tableColumn id="1" xr3:uid="{AA05DC65-F286-4848-80AB-ABF8CD632C78}" name="1 Zone" dataDxfId="30">
      <calculatedColumnFormula>C13</calculatedColumnFormula>
    </tableColumn>
    <tableColumn id="2" xr3:uid="{D4ADC9A0-5B24-4963-8EBB-1C3BE69A305B}" name="G-HT-4402" dataDxfId="29">
      <calculatedColumnFormula>LOOKUP($B$3,$B$18:$B$197,D17:D196)</calculatedColumnFormula>
    </tableColumn>
    <tableColumn id="3" xr3:uid="{91E79715-2034-4F2A-88DC-4109E788864A}" name="G-HT-4403" dataDxfId="28">
      <calculatedColumnFormula>LOOKUP($B$3,$B$18:$B$197,E17:E196)</calculatedColumnFormula>
    </tableColumn>
    <tableColumn id="4" xr3:uid="{FAF22DD2-2ADF-4A86-B23A-2F54CC5C976D}" name="G-HT-4404" dataDxfId="27">
      <calculatedColumnFormula>LOOKUP($B$3,$B$18:$B$197,F17:F196)</calculatedColumnFormula>
    </tableColumn>
    <tableColumn id="5" xr3:uid="{86D7AA31-C52C-4B99-9232-56D08CA37D0B}" name="G-HT-4602" dataDxfId="26">
      <calculatedColumnFormula>LOOKUP($B$3,$B$18:$B$197,G17:G196)</calculatedColumnFormula>
    </tableColumn>
    <tableColumn id="6" xr3:uid="{FE09D3F5-DE61-4CE5-AF2B-CCE1D13EB8A3}" name="G-HT-4603" dataDxfId="25">
      <calculatedColumnFormula>LOOKUP($B$3,$B$18:$B$197,H17:H196)</calculatedColumnFormula>
    </tableColumn>
    <tableColumn id="7" xr3:uid="{AFF1A757-9B62-4EE7-A3AD-DC613C4B3A2E}" name="G-HT-4604" dataDxfId="24">
      <calculatedColumnFormula>LOOKUP($B$3,$B$18:$B$197,I17:I196)</calculatedColumnFormula>
    </tableColumn>
    <tableColumn id="8" xr3:uid="{8E5B9693-20FA-490A-9AA5-5F12CB33A112}" name="G-HT-4605" dataDxfId="23">
      <calculatedColumnFormula>LOOKUP($B$3,$B$18:$B$197,J17:J196)</calculatedColumnFormula>
    </tableColumn>
    <tableColumn id="9" xr3:uid="{50F83F68-37D2-4BF2-B050-1D82153DD009}" name="G-HT-4606" dataDxfId="22">
      <calculatedColumnFormula>LOOKUP($B$3,$B$18:$B$197,K17:K196)</calculatedColumnFormula>
    </tableColumn>
    <tableColumn id="10" xr3:uid="{6E9C7BDF-35EB-450F-8DFE-2102F90FE813}" name="G-SVLVB-100" dataDxfId="21">
      <calculatedColumnFormula>LOOKUP($B$3,$B$18:$B$197,T17:T197)</calculatedColumnFormula>
    </tableColumn>
    <tableColumn id="11" xr3:uid="{1E1CF80E-C777-4F9C-86AA-E006509038AD}" name="G-SVLVB-150" dataDxfId="20">
      <calculatedColumnFormula>LOOKUP($B$3,$B$18:$B$197,U17:U197)</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6332078-D09A-40B8-8AEA-370F286793E1}" name="Table5" displayName="Table5" ref="B3:G13" totalsRowShown="0" headerRowDxfId="19" dataDxfId="18">
  <autoFilter ref="B3:G13" xr:uid="{681CB572-7DB5-4BC0-AA8B-89D70A47BB33}"/>
  <tableColumns count="6">
    <tableColumn id="1" xr3:uid="{5CECBD34-AAF1-4856-BF68-538E15493FD5}" name="OD  Inches" dataDxfId="17"/>
    <tableColumn id="2" xr3:uid="{A95F1125-0AC6-46C8-84A8-544EC4C22A4B}" name="ID  Inches" dataDxfId="16"/>
    <tableColumn id="3" xr3:uid="{8817F61F-27E4-4467-B6A0-7A886F6B6D84}" name="Velocity  FPS_x000a_@ 1 gpm" dataDxfId="15">
      <calculatedColumnFormula>0.4085*1/C4^2</calculatedColumnFormula>
    </tableColumn>
    <tableColumn id="4" xr3:uid="{16899F83-4186-4EFF-8433-F5804EFC57BD}" name="Friction Loss_x000a_PSI/100'" dataDxfId="14">
      <calculatedColumnFormula>(0.2083*(100/$A$1)^1.852*1^1.852/C4^4.866)*0.433</calculatedColumnFormula>
    </tableColumn>
    <tableColumn id="5" xr3:uid="{29354284-E91C-47DD-A285-94ED9C9BC36E}" name="Gallons/100'" dataDxfId="13">
      <calculatedColumnFormula>(C4/2)^2*16.32</calculatedColumnFormula>
    </tableColumn>
    <tableColumn id="6" xr3:uid="{C82E3C60-3CAB-4A26-B4F0-133D97BC7A0A}" name="Gallons/1'" dataDxfId="12">
      <calculatedColumnFormula>0.04079905*Table5[[#This Row],[ID  Inches]]^2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29E82-18E4-408C-B60F-7F9ADC7E42A6}">
  <dimension ref="A1:I20"/>
  <sheetViews>
    <sheetView showGridLines="0" tabSelected="1" workbookViewId="0">
      <selection sqref="A1:I2"/>
    </sheetView>
  </sheetViews>
  <sheetFormatPr defaultRowHeight="12.5" x14ac:dyDescent="0.25"/>
  <cols>
    <col min="1" max="9" width="9.1796875" customWidth="1"/>
    <col min="257" max="265" width="9.1796875" customWidth="1"/>
    <col min="513" max="521" width="9.1796875" customWidth="1"/>
    <col min="769" max="777" width="9.1796875" customWidth="1"/>
    <col min="1025" max="1033" width="9.1796875" customWidth="1"/>
    <col min="1281" max="1289" width="9.1796875" customWidth="1"/>
    <col min="1537" max="1545" width="9.1796875" customWidth="1"/>
    <col min="1793" max="1801" width="9.1796875" customWidth="1"/>
    <col min="2049" max="2057" width="9.1796875" customWidth="1"/>
    <col min="2305" max="2313" width="9.1796875" customWidth="1"/>
    <col min="2561" max="2569" width="9.1796875" customWidth="1"/>
    <col min="2817" max="2825" width="9.1796875" customWidth="1"/>
    <col min="3073" max="3081" width="9.1796875" customWidth="1"/>
    <col min="3329" max="3337" width="9.1796875" customWidth="1"/>
    <col min="3585" max="3593" width="9.1796875" customWidth="1"/>
    <col min="3841" max="3849" width="9.1796875" customWidth="1"/>
    <col min="4097" max="4105" width="9.1796875" customWidth="1"/>
    <col min="4353" max="4361" width="9.1796875" customWidth="1"/>
    <col min="4609" max="4617" width="9.1796875" customWidth="1"/>
    <col min="4865" max="4873" width="9.1796875" customWidth="1"/>
    <col min="5121" max="5129" width="9.1796875" customWidth="1"/>
    <col min="5377" max="5385" width="9.1796875" customWidth="1"/>
    <col min="5633" max="5641" width="9.1796875" customWidth="1"/>
    <col min="5889" max="5897" width="9.1796875" customWidth="1"/>
    <col min="6145" max="6153" width="9.1796875" customWidth="1"/>
    <col min="6401" max="6409" width="9.1796875" customWidth="1"/>
    <col min="6657" max="6665" width="9.1796875" customWidth="1"/>
    <col min="6913" max="6921" width="9.1796875" customWidth="1"/>
    <col min="7169" max="7177" width="9.1796875" customWidth="1"/>
    <col min="7425" max="7433" width="9.1796875" customWidth="1"/>
    <col min="7681" max="7689" width="9.1796875" customWidth="1"/>
    <col min="7937" max="7945" width="9.1796875" customWidth="1"/>
    <col min="8193" max="8201" width="9.1796875" customWidth="1"/>
    <col min="8449" max="8457" width="9.1796875" customWidth="1"/>
    <col min="8705" max="8713" width="9.1796875" customWidth="1"/>
    <col min="8961" max="8969" width="9.1796875" customWidth="1"/>
    <col min="9217" max="9225" width="9.1796875" customWidth="1"/>
    <col min="9473" max="9481" width="9.1796875" customWidth="1"/>
    <col min="9729" max="9737" width="9.1796875" customWidth="1"/>
    <col min="9985" max="9993" width="9.1796875" customWidth="1"/>
    <col min="10241" max="10249" width="9.1796875" customWidth="1"/>
    <col min="10497" max="10505" width="9.1796875" customWidth="1"/>
    <col min="10753" max="10761" width="9.1796875" customWidth="1"/>
    <col min="11009" max="11017" width="9.1796875" customWidth="1"/>
    <col min="11265" max="11273" width="9.1796875" customWidth="1"/>
    <col min="11521" max="11529" width="9.1796875" customWidth="1"/>
    <col min="11777" max="11785" width="9.1796875" customWidth="1"/>
    <col min="12033" max="12041" width="9.1796875" customWidth="1"/>
    <col min="12289" max="12297" width="9.1796875" customWidth="1"/>
    <col min="12545" max="12553" width="9.1796875" customWidth="1"/>
    <col min="12801" max="12809" width="9.1796875" customWidth="1"/>
    <col min="13057" max="13065" width="9.1796875" customWidth="1"/>
    <col min="13313" max="13321" width="9.1796875" customWidth="1"/>
    <col min="13569" max="13577" width="9.1796875" customWidth="1"/>
    <col min="13825" max="13833" width="9.1796875" customWidth="1"/>
    <col min="14081" max="14089" width="9.1796875" customWidth="1"/>
    <col min="14337" max="14345" width="9.1796875" customWidth="1"/>
    <col min="14593" max="14601" width="9.1796875" customWidth="1"/>
    <col min="14849" max="14857" width="9.1796875" customWidth="1"/>
    <col min="15105" max="15113" width="9.1796875" customWidth="1"/>
    <col min="15361" max="15369" width="9.1796875" customWidth="1"/>
    <col min="15617" max="15625" width="9.1796875" customWidth="1"/>
    <col min="15873" max="15881" width="9.1796875" customWidth="1"/>
    <col min="16129" max="16137" width="9.1796875" customWidth="1"/>
  </cols>
  <sheetData>
    <row r="1" spans="1:9" ht="30" customHeight="1" x14ac:dyDescent="0.25">
      <c r="A1" s="240"/>
      <c r="B1" s="240"/>
      <c r="C1" s="240"/>
      <c r="D1" s="240"/>
      <c r="E1" s="240"/>
      <c r="F1" s="240"/>
      <c r="G1" s="240"/>
      <c r="H1" s="240"/>
      <c r="I1" s="240"/>
    </row>
    <row r="2" spans="1:9" x14ac:dyDescent="0.25">
      <c r="A2" s="240"/>
      <c r="B2" s="240"/>
      <c r="C2" s="240"/>
      <c r="D2" s="240"/>
      <c r="E2" s="240"/>
      <c r="F2" s="240"/>
      <c r="G2" s="240"/>
      <c r="H2" s="240"/>
      <c r="I2" s="240"/>
    </row>
    <row r="3" spans="1:9" x14ac:dyDescent="0.25">
      <c r="A3" s="239"/>
      <c r="B3" s="239"/>
      <c r="C3" s="239"/>
      <c r="D3" s="239"/>
      <c r="E3" s="239"/>
      <c r="F3" s="239"/>
      <c r="G3" s="239"/>
      <c r="H3" s="239"/>
      <c r="I3" s="239"/>
    </row>
    <row r="4" spans="1:9" ht="26.25" customHeight="1" x14ac:dyDescent="0.25">
      <c r="A4" s="241" t="s">
        <v>226</v>
      </c>
      <c r="B4" s="242"/>
      <c r="C4" s="242"/>
      <c r="D4" s="242"/>
      <c r="E4" s="242"/>
      <c r="F4" s="242"/>
      <c r="G4" s="242"/>
      <c r="H4" s="242"/>
      <c r="I4" s="243"/>
    </row>
    <row r="5" spans="1:9" x14ac:dyDescent="0.25">
      <c r="A5" s="244"/>
      <c r="B5" s="245"/>
      <c r="C5" s="245"/>
      <c r="D5" s="245"/>
      <c r="E5" s="245"/>
      <c r="F5" s="245"/>
      <c r="G5" s="245"/>
      <c r="H5" s="245"/>
      <c r="I5" s="246"/>
    </row>
    <row r="6" spans="1:9" x14ac:dyDescent="0.25">
      <c r="A6" s="1"/>
      <c r="B6" s="1"/>
      <c r="C6" s="1"/>
      <c r="D6" s="1"/>
      <c r="E6" s="1"/>
      <c r="F6" s="1"/>
      <c r="G6" s="1"/>
      <c r="H6" s="1"/>
      <c r="I6" s="1"/>
    </row>
    <row r="7" spans="1:9" x14ac:dyDescent="0.25">
      <c r="A7" s="1"/>
      <c r="B7" s="1"/>
      <c r="C7" s="1"/>
      <c r="D7" s="1"/>
      <c r="E7" s="1"/>
      <c r="F7" s="1"/>
      <c r="G7" s="1"/>
      <c r="H7" s="1"/>
      <c r="I7" s="1"/>
    </row>
    <row r="8" spans="1:9" x14ac:dyDescent="0.25">
      <c r="A8" s="1"/>
      <c r="B8" s="1"/>
      <c r="C8" s="1"/>
      <c r="D8" s="1"/>
      <c r="E8" s="1"/>
      <c r="F8" s="1"/>
      <c r="G8" s="1"/>
      <c r="H8" s="1"/>
      <c r="I8" s="1"/>
    </row>
    <row r="9" spans="1:9" x14ac:dyDescent="0.25">
      <c r="A9" s="1"/>
      <c r="B9" s="1"/>
      <c r="C9" s="1"/>
      <c r="D9" s="1"/>
      <c r="E9" s="1"/>
      <c r="F9" s="1"/>
      <c r="G9" s="1"/>
      <c r="H9" s="1"/>
      <c r="I9" s="1"/>
    </row>
    <row r="10" spans="1:9" x14ac:dyDescent="0.25">
      <c r="A10" s="1"/>
      <c r="B10" s="1"/>
      <c r="C10" s="1"/>
      <c r="D10" s="1"/>
      <c r="E10" s="1"/>
      <c r="F10" s="1"/>
      <c r="G10" s="1"/>
      <c r="H10" s="1"/>
      <c r="I10" s="1"/>
    </row>
    <row r="11" spans="1:9" x14ac:dyDescent="0.25">
      <c r="A11" s="1"/>
      <c r="B11" s="1"/>
      <c r="C11" s="1"/>
      <c r="D11" s="1"/>
      <c r="E11" s="1"/>
      <c r="F11" s="1"/>
      <c r="G11" s="1"/>
      <c r="H11" s="1"/>
      <c r="I11" s="1"/>
    </row>
    <row r="12" spans="1:9" s="137" customFormat="1" ht="15.5" x14ac:dyDescent="0.35">
      <c r="A12" s="247" t="s">
        <v>220</v>
      </c>
      <c r="B12" s="248"/>
      <c r="C12" s="248"/>
      <c r="D12" s="248"/>
      <c r="E12" s="248"/>
      <c r="F12" s="248"/>
      <c r="G12" s="248"/>
      <c r="H12" s="248"/>
      <c r="I12" s="249"/>
    </row>
    <row r="13" spans="1:9" s="137" customFormat="1" ht="15.5" x14ac:dyDescent="0.35">
      <c r="A13" s="136"/>
      <c r="B13" s="138"/>
      <c r="C13" s="138"/>
      <c r="D13" s="250" t="s">
        <v>221</v>
      </c>
      <c r="E13" s="250"/>
      <c r="F13" s="250"/>
      <c r="G13" s="250"/>
      <c r="H13" s="250"/>
      <c r="I13" s="251"/>
    </row>
    <row r="14" spans="1:9" s="137" customFormat="1" ht="15.5" x14ac:dyDescent="0.35">
      <c r="A14" s="136"/>
      <c r="B14" s="138"/>
      <c r="C14" s="138"/>
      <c r="D14" s="250" t="s">
        <v>222</v>
      </c>
      <c r="E14" s="250"/>
      <c r="F14" s="250"/>
      <c r="G14" s="250"/>
      <c r="H14" s="250"/>
      <c r="I14" s="251"/>
    </row>
    <row r="15" spans="1:9" s="137" customFormat="1" ht="15.5" x14ac:dyDescent="0.35">
      <c r="A15" s="136"/>
      <c r="B15" s="138"/>
      <c r="C15" s="138"/>
      <c r="D15" s="250" t="s">
        <v>223</v>
      </c>
      <c r="E15" s="250"/>
      <c r="F15" s="250"/>
      <c r="G15" s="250"/>
      <c r="H15" s="250"/>
      <c r="I15" s="251"/>
    </row>
    <row r="16" spans="1:9" s="137" customFormat="1" ht="15.5" x14ac:dyDescent="0.35">
      <c r="A16" s="136"/>
      <c r="B16" s="138"/>
      <c r="C16" s="138"/>
      <c r="D16" s="250" t="s">
        <v>225</v>
      </c>
      <c r="E16" s="250"/>
      <c r="F16" s="250"/>
      <c r="G16" s="250"/>
      <c r="H16" s="250"/>
      <c r="I16" s="251"/>
    </row>
    <row r="17" spans="1:9" ht="15.5" x14ac:dyDescent="0.35">
      <c r="A17" s="139"/>
      <c r="B17" s="140"/>
      <c r="C17" s="140"/>
      <c r="D17" s="252" t="s">
        <v>224</v>
      </c>
      <c r="E17" s="252"/>
      <c r="F17" s="252"/>
      <c r="G17" s="252"/>
      <c r="H17" s="252"/>
      <c r="I17" s="253"/>
    </row>
    <row r="18" spans="1:9" ht="13" x14ac:dyDescent="0.3">
      <c r="A18" s="1"/>
      <c r="B18" s="1"/>
      <c r="C18" s="1"/>
      <c r="D18" s="1"/>
      <c r="E18" s="1"/>
      <c r="F18" s="1"/>
      <c r="G18" s="238" t="s">
        <v>219</v>
      </c>
      <c r="H18" s="238"/>
      <c r="I18" s="238"/>
    </row>
    <row r="19" spans="1:9" x14ac:dyDescent="0.25">
      <c r="A19" s="1"/>
    </row>
    <row r="20" spans="1:9" x14ac:dyDescent="0.25">
      <c r="A20" s="1"/>
    </row>
  </sheetData>
  <sheetProtection algorithmName="SHA-512" hashValue="SngQxqvx8hlIutnMAHCBcgiD4rZKLQGJnd1zKbFo8P4nl66u6Ew+WVZeRLE6Szg6UrN/Mg5Gp/Q36GP6eKtdNw==" saltValue="5GeKmvSxaytpIrXA5HyCwA==" spinCount="100000" sheet="1" objects="1" scenarios="1"/>
  <mergeCells count="10">
    <mergeCell ref="G18:I18"/>
    <mergeCell ref="A3:I3"/>
    <mergeCell ref="A1:I2"/>
    <mergeCell ref="A4:I5"/>
    <mergeCell ref="A12:I12"/>
    <mergeCell ref="D13:I13"/>
    <mergeCell ref="D14:I14"/>
    <mergeCell ref="D15:I15"/>
    <mergeCell ref="D16:I16"/>
    <mergeCell ref="D17:I17"/>
  </mergeCells>
  <pageMargins left="0.75" right="0.75" top="0.5" bottom="0.5" header="0" footer="0"/>
  <pageSetup orientation="portrait" horizontalDpi="4294967293"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ADF7E-2959-4E01-A1D9-5FA1DEBEAA39}">
  <dimension ref="A1:J52"/>
  <sheetViews>
    <sheetView showGridLines="0" zoomScaleNormal="100" workbookViewId="0">
      <selection sqref="A1:J1"/>
    </sheetView>
  </sheetViews>
  <sheetFormatPr defaultRowHeight="12.5" x14ac:dyDescent="0.25"/>
  <cols>
    <col min="1" max="1" width="18.81640625" bestFit="1" customWidth="1"/>
  </cols>
  <sheetData>
    <row r="1" spans="1:10" s="26" customFormat="1" ht="45" customHeight="1" x14ac:dyDescent="0.3">
      <c r="A1" s="261"/>
      <c r="B1" s="261"/>
      <c r="C1" s="261"/>
      <c r="D1" s="261"/>
      <c r="E1" s="261"/>
      <c r="F1" s="261"/>
      <c r="G1" s="261"/>
      <c r="H1" s="261"/>
      <c r="I1" s="261"/>
      <c r="J1" s="261"/>
    </row>
    <row r="2" spans="1:10" s="26" customFormat="1" ht="13" x14ac:dyDescent="0.3">
      <c r="A2" s="262"/>
      <c r="B2" s="262"/>
      <c r="C2" s="262"/>
      <c r="D2" s="262"/>
      <c r="E2" s="262"/>
      <c r="F2" s="262"/>
      <c r="G2" s="262"/>
      <c r="H2" s="262"/>
      <c r="I2" s="262"/>
      <c r="J2" s="262"/>
    </row>
    <row r="3" spans="1:10" s="26" customFormat="1" ht="23" x14ac:dyDescent="0.3">
      <c r="A3" s="263" t="s">
        <v>114</v>
      </c>
      <c r="B3" s="264"/>
      <c r="C3" s="264"/>
      <c r="D3" s="264"/>
      <c r="E3" s="264"/>
      <c r="F3" s="264"/>
      <c r="G3" s="264"/>
      <c r="H3" s="264"/>
      <c r="I3" s="264"/>
      <c r="J3" s="265"/>
    </row>
    <row r="4" spans="1:10" s="26" customFormat="1" ht="13" x14ac:dyDescent="0.3">
      <c r="A4" s="141"/>
      <c r="B4" s="141"/>
      <c r="C4" s="141"/>
      <c r="D4" s="141"/>
      <c r="E4" s="141"/>
      <c r="F4" s="141"/>
      <c r="G4" s="141"/>
      <c r="H4" s="141"/>
      <c r="I4" s="141"/>
      <c r="J4" s="141"/>
    </row>
    <row r="5" spans="1:10" s="26" customFormat="1" ht="13" x14ac:dyDescent="0.3">
      <c r="A5" s="266" t="s">
        <v>103</v>
      </c>
      <c r="B5" s="266"/>
      <c r="C5" s="266"/>
      <c r="D5" s="266"/>
      <c r="E5" s="266"/>
      <c r="F5" s="266"/>
      <c r="G5" s="142"/>
      <c r="H5" s="267" t="s">
        <v>107</v>
      </c>
      <c r="I5" s="268"/>
      <c r="J5" s="28" t="s">
        <v>311</v>
      </c>
    </row>
    <row r="6" spans="1:10" s="26" customFormat="1" ht="13" x14ac:dyDescent="0.3">
      <c r="A6" s="261"/>
      <c r="B6" s="261"/>
      <c r="C6" s="261"/>
      <c r="D6" s="261"/>
      <c r="E6" s="261"/>
      <c r="F6" s="261"/>
      <c r="G6" s="261"/>
      <c r="H6" s="261"/>
      <c r="I6" s="261"/>
      <c r="J6" s="261"/>
    </row>
    <row r="7" spans="1:10" s="26" customFormat="1" ht="13" x14ac:dyDescent="0.3">
      <c r="A7" s="230">
        <v>1050</v>
      </c>
      <c r="B7" s="29" t="s">
        <v>237</v>
      </c>
      <c r="C7" s="29"/>
      <c r="D7" s="30"/>
      <c r="E7" s="43" t="s">
        <v>100</v>
      </c>
      <c r="F7" s="44" t="s">
        <v>96</v>
      </c>
      <c r="G7" s="44"/>
      <c r="H7" s="44"/>
      <c r="I7" s="44"/>
      <c r="J7" s="45"/>
    </row>
    <row r="8" spans="1:10" s="26" customFormat="1" ht="15" x14ac:dyDescent="0.3">
      <c r="A8" s="231">
        <v>0.2</v>
      </c>
      <c r="B8" s="27" t="s">
        <v>236</v>
      </c>
      <c r="C8" s="27"/>
      <c r="D8" s="27"/>
      <c r="E8" s="46"/>
      <c r="F8" s="257" t="s">
        <v>108</v>
      </c>
      <c r="G8" s="257"/>
      <c r="H8" s="257"/>
      <c r="I8" s="257"/>
      <c r="J8" s="47"/>
    </row>
    <row r="9" spans="1:10" s="26" customFormat="1" ht="13" x14ac:dyDescent="0.3">
      <c r="A9" s="232">
        <v>1</v>
      </c>
      <c r="B9" s="27" t="s">
        <v>94</v>
      </c>
      <c r="C9" s="27"/>
      <c r="D9" s="27"/>
      <c r="E9" s="48"/>
      <c r="F9" s="258" t="s">
        <v>109</v>
      </c>
      <c r="G9" s="258"/>
      <c r="H9" s="258"/>
      <c r="I9" s="258"/>
      <c r="J9" s="49"/>
    </row>
    <row r="10" spans="1:10" s="26" customFormat="1" ht="15" x14ac:dyDescent="0.3">
      <c r="A10" s="31">
        <f>A7/A8</f>
        <v>5250</v>
      </c>
      <c r="B10" s="27" t="s">
        <v>238</v>
      </c>
      <c r="C10" s="27"/>
      <c r="D10" s="27"/>
      <c r="E10" s="27"/>
      <c r="F10" s="27"/>
      <c r="G10" s="27"/>
      <c r="H10" s="27"/>
      <c r="I10" s="27"/>
      <c r="J10" s="143"/>
    </row>
    <row r="11" spans="1:10" s="26" customFormat="1" ht="13" x14ac:dyDescent="0.3">
      <c r="A11" s="202">
        <f>(A10/43560)/A9</f>
        <v>0.12052341597796143</v>
      </c>
      <c r="B11" s="27" t="s">
        <v>93</v>
      </c>
      <c r="C11" s="27"/>
      <c r="D11" s="27"/>
      <c r="E11" s="27"/>
      <c r="F11" s="27"/>
      <c r="G11" s="27"/>
      <c r="H11" s="27"/>
      <c r="I11" s="27"/>
      <c r="J11" s="143"/>
    </row>
    <row r="12" spans="1:10" s="26" customFormat="1" ht="13" x14ac:dyDescent="0.3">
      <c r="A12" s="233" t="s">
        <v>216</v>
      </c>
      <c r="B12" s="27" t="s">
        <v>97</v>
      </c>
      <c r="C12" s="27"/>
      <c r="D12" s="27"/>
      <c r="E12" s="27"/>
      <c r="F12" s="27"/>
      <c r="G12" s="27"/>
      <c r="H12" s="27"/>
      <c r="I12" s="27"/>
      <c r="J12" s="143"/>
    </row>
    <row r="13" spans="1:10" s="26" customFormat="1" ht="13" x14ac:dyDescent="0.3">
      <c r="A13" s="234">
        <v>2</v>
      </c>
      <c r="B13" s="39" t="s">
        <v>280</v>
      </c>
      <c r="C13" s="27"/>
      <c r="D13" s="27"/>
      <c r="E13" s="27"/>
      <c r="F13" s="27"/>
      <c r="G13" s="27"/>
      <c r="H13" s="27"/>
      <c r="I13" s="27"/>
      <c r="J13" s="143"/>
    </row>
    <row r="14" spans="1:10" s="26" customFormat="1" ht="13" x14ac:dyDescent="0.3">
      <c r="A14" s="31">
        <f>A10/A13</f>
        <v>2625</v>
      </c>
      <c r="B14" s="27" t="s">
        <v>243</v>
      </c>
      <c r="C14" s="27"/>
      <c r="D14" s="27"/>
      <c r="E14" s="27"/>
      <c r="F14" s="203"/>
      <c r="G14" s="27"/>
      <c r="H14" s="27"/>
      <c r="I14" s="27"/>
      <c r="J14" s="143"/>
    </row>
    <row r="15" spans="1:10" s="26" customFormat="1" ht="13" x14ac:dyDescent="0.3">
      <c r="A15" s="33">
        <f>LOOKUP(A12,Table24[Drip Tube
 Model '#],Table24[Emitter Spacing
Feet])</f>
        <v>2</v>
      </c>
      <c r="B15" s="27" t="s">
        <v>244</v>
      </c>
      <c r="C15" s="27"/>
      <c r="D15" s="27"/>
      <c r="E15" s="27"/>
      <c r="F15" s="27"/>
      <c r="G15" s="27"/>
      <c r="H15" s="27"/>
      <c r="I15" s="27"/>
      <c r="J15" s="143"/>
    </row>
    <row r="16" spans="1:10" s="26" customFormat="1" ht="13" customHeight="1" x14ac:dyDescent="0.3">
      <c r="A16" s="33">
        <f>A15*A13</f>
        <v>4</v>
      </c>
      <c r="B16" s="27" t="s">
        <v>95</v>
      </c>
      <c r="C16" s="27"/>
      <c r="D16" s="27"/>
      <c r="E16" s="27"/>
      <c r="F16" s="27"/>
      <c r="G16" s="27"/>
      <c r="H16" s="27"/>
      <c r="I16" s="27"/>
      <c r="J16" s="143"/>
    </row>
    <row r="17" spans="1:10" s="26" customFormat="1" ht="13" customHeight="1" x14ac:dyDescent="0.3">
      <c r="A17" s="34">
        <f>A16*A8</f>
        <v>0.8</v>
      </c>
      <c r="B17" s="27" t="s">
        <v>282</v>
      </c>
      <c r="C17" s="27"/>
      <c r="D17" s="27"/>
      <c r="E17" s="27"/>
      <c r="F17" s="27"/>
      <c r="G17" s="27"/>
      <c r="H17" s="27"/>
      <c r="I17" s="27"/>
      <c r="J17" s="143"/>
    </row>
    <row r="18" spans="1:10" s="26" customFormat="1" ht="13" customHeight="1" x14ac:dyDescent="0.3">
      <c r="A18" s="33">
        <f>LOOKUP(A12,Table24[Drip Tube
 Model '#],Table24[Nominal Emitter
Flow GPH])</f>
        <v>0.6</v>
      </c>
      <c r="B18" s="27" t="s">
        <v>239</v>
      </c>
      <c r="C18" s="27"/>
      <c r="D18" s="27"/>
      <c r="E18" s="27"/>
      <c r="F18" s="27"/>
      <c r="G18" s="27"/>
      <c r="H18" s="27"/>
      <c r="I18" s="27"/>
      <c r="J18" s="143"/>
    </row>
    <row r="19" spans="1:10" s="26" customFormat="1" ht="13" customHeight="1" x14ac:dyDescent="0.3">
      <c r="A19" s="34">
        <f>A17/A18</f>
        <v>1.3333333333333335</v>
      </c>
      <c r="B19" s="27" t="s">
        <v>290</v>
      </c>
      <c r="C19" s="27"/>
      <c r="D19" s="27"/>
      <c r="E19" s="27"/>
      <c r="F19" s="27"/>
      <c r="G19" s="27"/>
      <c r="H19" s="27"/>
      <c r="I19" s="27"/>
      <c r="J19" s="143"/>
    </row>
    <row r="20" spans="1:10" s="26" customFormat="1" ht="13" customHeight="1" x14ac:dyDescent="0.3">
      <c r="A20" s="31">
        <f>A19*60</f>
        <v>80.000000000000014</v>
      </c>
      <c r="B20" s="27" t="s">
        <v>291</v>
      </c>
      <c r="C20" s="27"/>
      <c r="D20" s="27"/>
      <c r="E20" s="27"/>
      <c r="F20" s="27"/>
      <c r="G20" s="27"/>
      <c r="H20" s="27"/>
      <c r="I20" s="27"/>
      <c r="J20" s="143"/>
    </row>
    <row r="21" spans="1:10" s="26" customFormat="1" ht="13" x14ac:dyDescent="0.3">
      <c r="A21" s="235">
        <v>12</v>
      </c>
      <c r="B21" s="27" t="s">
        <v>240</v>
      </c>
      <c r="C21" s="27"/>
      <c r="D21" s="27"/>
      <c r="E21" s="27"/>
      <c r="F21" s="27"/>
      <c r="G21" s="27"/>
      <c r="H21" s="27"/>
      <c r="I21" s="27"/>
      <c r="J21" s="143"/>
    </row>
    <row r="22" spans="1:10" s="26" customFormat="1" ht="13" x14ac:dyDescent="0.3">
      <c r="A22" s="35">
        <f>A21/A19</f>
        <v>8.9999999999999982</v>
      </c>
      <c r="B22" s="27" t="s">
        <v>241</v>
      </c>
      <c r="C22" s="27"/>
      <c r="D22" s="27"/>
      <c r="E22" s="27"/>
      <c r="F22" s="27"/>
      <c r="G22" s="27"/>
      <c r="H22" s="27"/>
      <c r="I22" s="27"/>
      <c r="J22" s="143"/>
    </row>
    <row r="23" spans="1:10" s="26" customFormat="1" ht="13" x14ac:dyDescent="0.3">
      <c r="A23" s="235">
        <v>1</v>
      </c>
      <c r="B23" s="27" t="s">
        <v>101</v>
      </c>
      <c r="C23" s="27"/>
      <c r="D23" s="27"/>
      <c r="E23" s="27"/>
      <c r="F23" s="27"/>
      <c r="G23" s="27"/>
      <c r="H23" s="27"/>
      <c r="I23" s="27"/>
      <c r="J23" s="143"/>
    </row>
    <row r="24" spans="1:10" s="26" customFormat="1" ht="13" x14ac:dyDescent="0.3">
      <c r="A24" s="36"/>
      <c r="B24" s="27"/>
      <c r="C24" s="27"/>
      <c r="D24" s="27"/>
      <c r="E24" s="27"/>
      <c r="F24" s="27"/>
      <c r="G24" s="27"/>
      <c r="H24" s="27"/>
      <c r="I24" s="27"/>
      <c r="J24" s="143"/>
    </row>
    <row r="25" spans="1:10" s="26" customFormat="1" ht="15" x14ac:dyDescent="0.3">
      <c r="A25" s="31">
        <f>A10/A23</f>
        <v>5250</v>
      </c>
      <c r="B25" s="27" t="s">
        <v>267</v>
      </c>
      <c r="C25" s="27"/>
      <c r="D25" s="27"/>
      <c r="E25" s="40"/>
      <c r="F25" s="41" t="s">
        <v>98</v>
      </c>
      <c r="G25" s="27"/>
      <c r="H25" s="27"/>
      <c r="I25" s="27"/>
      <c r="J25" s="143"/>
    </row>
    <row r="26" spans="1:10" s="26" customFormat="1" ht="13" x14ac:dyDescent="0.3">
      <c r="A26" s="31">
        <f>A14/A23</f>
        <v>2625</v>
      </c>
      <c r="B26" s="27" t="s">
        <v>283</v>
      </c>
      <c r="C26" s="27"/>
      <c r="D26" s="27"/>
      <c r="E26" s="40"/>
      <c r="F26" s="41" t="s">
        <v>99</v>
      </c>
      <c r="G26" s="27"/>
      <c r="H26" s="27"/>
      <c r="I26" s="27"/>
      <c r="J26" s="143"/>
    </row>
    <row r="27" spans="1:10" s="26" customFormat="1" ht="13" x14ac:dyDescent="0.3">
      <c r="A27" s="146" t="s">
        <v>99</v>
      </c>
      <c r="B27" s="27" t="s">
        <v>104</v>
      </c>
      <c r="C27" s="27"/>
      <c r="D27" s="27"/>
      <c r="E27" s="27"/>
      <c r="F27" s="259" t="s">
        <v>102</v>
      </c>
      <c r="G27" s="259"/>
      <c r="H27" s="259"/>
      <c r="I27" s="259"/>
      <c r="J27" s="260"/>
    </row>
    <row r="28" spans="1:10" s="26" customFormat="1" ht="13" x14ac:dyDescent="0.3">
      <c r="A28" s="236">
        <v>202</v>
      </c>
      <c r="B28" s="27" t="s">
        <v>242</v>
      </c>
      <c r="C28" s="27"/>
      <c r="D28" s="27"/>
      <c r="E28" s="41" t="b">
        <f>IF(A15=1,IF(A28&lt;=150,TRUE,FALSE),IF(A15=2,IF(A28&lt;=300,TRUE,FALSE)))</f>
        <v>1</v>
      </c>
      <c r="F28" s="41" t="b">
        <f>IF(A27="No",IF(E28=TRUE,TRUE,FALSE))</f>
        <v>1</v>
      </c>
      <c r="G28" s="27"/>
      <c r="H28" s="27"/>
      <c r="I28" s="27"/>
      <c r="J28" s="143"/>
    </row>
    <row r="29" spans="1:10" s="26" customFormat="1" ht="13" x14ac:dyDescent="0.3">
      <c r="A29" s="201">
        <v>13</v>
      </c>
      <c r="B29" s="27" t="s">
        <v>292</v>
      </c>
      <c r="C29" s="27"/>
      <c r="D29" s="27"/>
      <c r="E29" s="27"/>
      <c r="F29" s="27"/>
      <c r="G29" s="27"/>
      <c r="H29" s="27"/>
      <c r="I29" s="27"/>
      <c r="J29" s="143"/>
    </row>
    <row r="30" spans="1:10" s="26" customFormat="1" ht="13" x14ac:dyDescent="0.3">
      <c r="A30" s="237">
        <v>0.5</v>
      </c>
      <c r="B30" s="27" t="s">
        <v>258</v>
      </c>
      <c r="C30" s="27"/>
      <c r="D30" s="27"/>
      <c r="E30" s="27"/>
      <c r="F30" s="27"/>
      <c r="G30" s="27"/>
      <c r="H30" s="27"/>
      <c r="I30" s="27"/>
      <c r="J30" s="143"/>
    </row>
    <row r="31" spans="1:10" s="26" customFormat="1" ht="13" x14ac:dyDescent="0.3">
      <c r="A31" s="32">
        <f>A28*A29</f>
        <v>2626</v>
      </c>
      <c r="B31" s="27" t="s">
        <v>284</v>
      </c>
      <c r="C31" s="27"/>
      <c r="D31" s="27"/>
      <c r="E31" s="27"/>
      <c r="F31" s="259" t="b">
        <f>IF(A26&gt;A31,"CALCULATED &lt; THEORETICAL; ADJUST LENGTH!",FALSE)</f>
        <v>0</v>
      </c>
      <c r="G31" s="259"/>
      <c r="H31" s="259"/>
      <c r="I31" s="259"/>
      <c r="J31" s="260"/>
    </row>
    <row r="32" spans="1:10" s="26" customFormat="1" ht="13" x14ac:dyDescent="0.3">
      <c r="A32" s="31">
        <f>(A31/A15)</f>
        <v>1313</v>
      </c>
      <c r="B32" s="27" t="s">
        <v>285</v>
      </c>
      <c r="C32" s="27"/>
      <c r="D32" s="27"/>
      <c r="E32" s="27"/>
      <c r="F32" s="27"/>
      <c r="G32" s="27"/>
      <c r="H32" s="27"/>
      <c r="I32" s="27"/>
      <c r="J32" s="143"/>
    </row>
    <row r="33" spans="1:10" s="26" customFormat="1" ht="13" x14ac:dyDescent="0.3">
      <c r="A33" s="32">
        <f>A29*A28/A15*A18/60</f>
        <v>13.129999999999999</v>
      </c>
      <c r="B33" s="27" t="s">
        <v>245</v>
      </c>
      <c r="C33" s="27"/>
      <c r="D33" s="27"/>
      <c r="E33" s="27"/>
      <c r="F33" s="27"/>
      <c r="G33" s="27"/>
      <c r="H33" s="27"/>
      <c r="I33" s="27"/>
      <c r="J33" s="143"/>
    </row>
    <row r="34" spans="1:10" s="26" customFormat="1" ht="13" x14ac:dyDescent="0.3">
      <c r="A34" s="32">
        <f>A30/0.4085*0.55^2*A29+A33</f>
        <v>17.943341493268054</v>
      </c>
      <c r="B34" s="27" t="s">
        <v>246</v>
      </c>
      <c r="C34" s="27"/>
      <c r="D34" s="42"/>
      <c r="E34" s="27"/>
      <c r="F34" s="27"/>
      <c r="G34" s="27"/>
      <c r="H34" s="27"/>
      <c r="I34" s="27"/>
      <c r="J34" s="143"/>
    </row>
    <row r="35" spans="1:10" s="26" customFormat="1" ht="13" x14ac:dyDescent="0.3">
      <c r="A35" s="32">
        <f>A34-A33</f>
        <v>4.8133414932680552</v>
      </c>
      <c r="B35" s="27" t="s">
        <v>247</v>
      </c>
      <c r="C35" s="27"/>
      <c r="D35" s="42"/>
      <c r="E35" s="27"/>
      <c r="F35" s="27"/>
      <c r="G35" s="27"/>
      <c r="H35" s="27"/>
      <c r="I35" s="27"/>
      <c r="J35" s="143"/>
    </row>
    <row r="36" spans="1:10" s="26" customFormat="1" ht="13" customHeight="1" x14ac:dyDescent="0.3">
      <c r="A36" s="37"/>
      <c r="B36" s="27"/>
      <c r="C36" s="27"/>
      <c r="D36" s="27"/>
      <c r="E36" s="27"/>
      <c r="F36" s="27"/>
      <c r="G36" s="27"/>
      <c r="H36" s="27"/>
      <c r="I36" s="27"/>
      <c r="J36" s="143"/>
    </row>
    <row r="37" spans="1:10" s="26" customFormat="1" ht="13" x14ac:dyDescent="0.3">
      <c r="A37" s="235">
        <v>12</v>
      </c>
      <c r="B37" s="27" t="s">
        <v>248</v>
      </c>
      <c r="C37" s="27"/>
      <c r="D37" s="27"/>
      <c r="E37" s="27"/>
      <c r="F37" s="27"/>
      <c r="G37" s="27"/>
      <c r="H37" s="27"/>
      <c r="I37" s="27"/>
      <c r="J37" s="143"/>
    </row>
    <row r="38" spans="1:10" s="26" customFormat="1" ht="13" x14ac:dyDescent="0.3">
      <c r="A38" s="34">
        <f>(A7/(A23*A33))/A37</f>
        <v>6.6641279512566642</v>
      </c>
      <c r="B38" s="27" t="s">
        <v>293</v>
      </c>
      <c r="C38" s="27"/>
      <c r="D38" s="27"/>
      <c r="E38" s="27"/>
      <c r="F38" s="27"/>
      <c r="G38" s="27"/>
      <c r="H38" s="27"/>
      <c r="I38" s="27"/>
      <c r="J38" s="143"/>
    </row>
    <row r="39" spans="1:10" s="26" customFormat="1" ht="13" x14ac:dyDescent="0.3">
      <c r="A39" s="34">
        <f>A23*A38</f>
        <v>6.6641279512566642</v>
      </c>
      <c r="B39" s="204" t="s">
        <v>286</v>
      </c>
      <c r="C39" s="27"/>
      <c r="D39" s="27"/>
      <c r="E39" s="27"/>
      <c r="F39" s="27"/>
      <c r="G39" s="27"/>
      <c r="H39" s="27"/>
      <c r="I39" s="27"/>
      <c r="J39" s="143"/>
    </row>
    <row r="40" spans="1:10" s="26" customFormat="1" ht="13" x14ac:dyDescent="0.3">
      <c r="A40" s="34">
        <f>(1440/A37)-A39</f>
        <v>113.33587204874334</v>
      </c>
      <c r="B40" s="204" t="s">
        <v>287</v>
      </c>
      <c r="C40" s="27"/>
      <c r="D40" s="27"/>
      <c r="E40" s="27"/>
      <c r="F40" s="259" t="s">
        <v>102</v>
      </c>
      <c r="G40" s="259"/>
      <c r="H40" s="259"/>
      <c r="I40" s="259"/>
      <c r="J40" s="260"/>
    </row>
    <row r="41" spans="1:10" s="26" customFormat="1" ht="13" x14ac:dyDescent="0.3">
      <c r="A41" s="35">
        <f>A39*A37</f>
        <v>79.969535415079974</v>
      </c>
      <c r="B41" s="27" t="s">
        <v>288</v>
      </c>
      <c r="C41" s="27"/>
      <c r="D41" s="205">
        <f>A41/60</f>
        <v>1.3328255902513328</v>
      </c>
      <c r="E41" s="27" t="s">
        <v>105</v>
      </c>
      <c r="F41" s="27"/>
      <c r="G41" s="27"/>
      <c r="H41" s="27"/>
      <c r="I41" s="27"/>
      <c r="J41" s="143"/>
    </row>
    <row r="42" spans="1:10" s="26" customFormat="1" ht="13" x14ac:dyDescent="0.3">
      <c r="A42" s="35">
        <f>A40*A37</f>
        <v>1360.0304645849201</v>
      </c>
      <c r="B42" s="27" t="s">
        <v>289</v>
      </c>
      <c r="C42" s="27"/>
      <c r="D42" s="206">
        <f>A42/60</f>
        <v>22.667174409748668</v>
      </c>
      <c r="E42" s="27" t="s">
        <v>105</v>
      </c>
      <c r="F42" s="259" t="s">
        <v>102</v>
      </c>
      <c r="G42" s="259"/>
      <c r="H42" s="259"/>
      <c r="I42" s="259"/>
      <c r="J42" s="260"/>
    </row>
    <row r="43" spans="1:10" s="26" customFormat="1" ht="13" hidden="1" x14ac:dyDescent="0.3">
      <c r="A43" s="31">
        <f>A38*A33*A23</f>
        <v>87.5</v>
      </c>
      <c r="B43" s="27" t="s">
        <v>110</v>
      </c>
      <c r="C43" s="27"/>
      <c r="D43" s="27"/>
      <c r="E43" s="27"/>
      <c r="F43" s="27"/>
      <c r="G43" s="27"/>
      <c r="H43" s="27"/>
      <c r="I43" s="27"/>
      <c r="J43" s="143"/>
    </row>
    <row r="44" spans="1:10" s="26" customFormat="1" ht="13" hidden="1" x14ac:dyDescent="0.3">
      <c r="A44" s="31">
        <f>3*A23*A34</f>
        <v>53.830024479804166</v>
      </c>
      <c r="B44" s="27" t="s">
        <v>111</v>
      </c>
      <c r="C44" s="27"/>
      <c r="D44" s="27"/>
      <c r="E44" s="27"/>
      <c r="F44" s="27"/>
      <c r="G44" s="27"/>
      <c r="H44" s="27"/>
      <c r="I44" s="27"/>
      <c r="J44" s="143"/>
    </row>
    <row r="45" spans="1:10" s="26" customFormat="1" ht="13" hidden="1" x14ac:dyDescent="0.3">
      <c r="A45" s="31">
        <f>(A38-3)*(A33*A23)+A44</f>
        <v>101.94002447980417</v>
      </c>
      <c r="B45" s="27" t="s">
        <v>112</v>
      </c>
      <c r="C45" s="27"/>
      <c r="D45" s="27"/>
      <c r="E45" s="27"/>
      <c r="F45" s="27"/>
      <c r="G45" s="27"/>
      <c r="H45" s="27"/>
      <c r="I45" s="27"/>
      <c r="J45" s="143"/>
    </row>
    <row r="46" spans="1:10" s="26" customFormat="1" ht="13" hidden="1" x14ac:dyDescent="0.3">
      <c r="A46" s="31">
        <f>A33*2</f>
        <v>26.259999999999998</v>
      </c>
      <c r="B46" s="27" t="s">
        <v>113</v>
      </c>
      <c r="C46" s="27"/>
      <c r="D46" s="27"/>
      <c r="E46" s="27"/>
      <c r="F46" s="27"/>
      <c r="G46" s="27"/>
      <c r="H46" s="27"/>
      <c r="I46" s="27"/>
      <c r="J46" s="143"/>
    </row>
    <row r="47" spans="1:10" s="26" customFormat="1" ht="13" hidden="1" x14ac:dyDescent="0.3">
      <c r="A47" s="31">
        <f>A45+A46</f>
        <v>128.20002447980417</v>
      </c>
      <c r="B47" s="27" t="s">
        <v>106</v>
      </c>
      <c r="C47" s="27"/>
      <c r="D47" s="27"/>
      <c r="E47" s="27"/>
      <c r="F47" s="27"/>
      <c r="G47" s="27"/>
      <c r="H47" s="27"/>
      <c r="I47" s="27"/>
      <c r="J47" s="144"/>
    </row>
    <row r="48" spans="1:10" s="26" customFormat="1" ht="13" x14ac:dyDescent="0.3">
      <c r="A48" s="31"/>
      <c r="B48" s="27"/>
      <c r="C48" s="27"/>
      <c r="D48" s="27"/>
      <c r="E48" s="27"/>
      <c r="F48" s="27"/>
      <c r="G48" s="27"/>
      <c r="H48" s="27"/>
      <c r="I48" s="27"/>
      <c r="J48" s="144"/>
    </row>
    <row r="49" spans="1:10" s="26" customFormat="1" ht="13" x14ac:dyDescent="0.3">
      <c r="A49" s="33"/>
      <c r="B49" s="254" t="s">
        <v>250</v>
      </c>
      <c r="C49" s="254"/>
      <c r="D49" s="254"/>
      <c r="E49" s="254"/>
      <c r="F49" s="254"/>
      <c r="G49" s="254"/>
      <c r="H49" s="254"/>
      <c r="I49" s="254"/>
      <c r="J49" s="143"/>
    </row>
    <row r="50" spans="1:10" ht="13" x14ac:dyDescent="0.3">
      <c r="A50" s="38"/>
      <c r="B50" s="255">
        <f>A23*A37*A38*A33</f>
        <v>1050</v>
      </c>
      <c r="C50" s="255"/>
      <c r="D50" s="255"/>
      <c r="E50" s="255"/>
      <c r="F50" s="256" t="s">
        <v>249</v>
      </c>
      <c r="G50" s="256"/>
      <c r="H50" s="256"/>
      <c r="I50" s="256"/>
      <c r="J50" s="145"/>
    </row>
    <row r="51" spans="1:10" ht="13" x14ac:dyDescent="0.3">
      <c r="A51" s="27"/>
      <c r="B51" s="27"/>
      <c r="C51" s="27"/>
      <c r="D51" s="27"/>
      <c r="E51" s="27"/>
      <c r="F51" s="27"/>
      <c r="G51" s="27"/>
      <c r="H51" s="27"/>
      <c r="I51" s="27"/>
      <c r="J51" s="26"/>
    </row>
    <row r="52" spans="1:10" x14ac:dyDescent="0.25">
      <c r="A52" s="1"/>
      <c r="B52" s="1"/>
      <c r="C52" s="1"/>
      <c r="D52" s="1"/>
      <c r="E52" s="1"/>
      <c r="F52" s="1"/>
      <c r="G52" s="1"/>
      <c r="H52" s="1"/>
      <c r="I52" s="1"/>
    </row>
  </sheetData>
  <sheetProtection algorithmName="SHA-512" hashValue="2cnQ8Opj27p12FrLoq5e94b7Q5X3lVTazqfg9tUcnj85X6yGB6ZlsoZu2X3K/eG+XzMQfyjHMrsEIedh6doYBg==" saltValue="QEiTbKtMYDgsVkQ4iW8BIA==" spinCount="100000" sheet="1" objects="1" scenarios="1"/>
  <mergeCells count="15">
    <mergeCell ref="A6:J6"/>
    <mergeCell ref="A1:J1"/>
    <mergeCell ref="A2:J2"/>
    <mergeCell ref="A3:J3"/>
    <mergeCell ref="A5:F5"/>
    <mergeCell ref="H5:I5"/>
    <mergeCell ref="B49:I49"/>
    <mergeCell ref="B50:E50"/>
    <mergeCell ref="F50:I50"/>
    <mergeCell ref="F8:I8"/>
    <mergeCell ref="F9:I9"/>
    <mergeCell ref="F27:J27"/>
    <mergeCell ref="F31:J31"/>
    <mergeCell ref="F40:J40"/>
    <mergeCell ref="F42:J42"/>
  </mergeCells>
  <conditionalFormatting sqref="A28">
    <cfRule type="expression" dxfId="11" priority="1">
      <formula>IF(A26&gt;(A28*A29),TRUE,FALSE)</formula>
    </cfRule>
  </conditionalFormatting>
  <conditionalFormatting sqref="A29:A50">
    <cfRule type="expression" dxfId="10" priority="12">
      <formula>IF($A$27="Yes",TRUE,FALSE)</formula>
    </cfRule>
  </conditionalFormatting>
  <conditionalFormatting sqref="A31">
    <cfRule type="expression" dxfId="9" priority="3">
      <formula>IF(A26&gt;(A28*A29),TRUE,FALSE)</formula>
    </cfRule>
  </conditionalFormatting>
  <conditionalFormatting sqref="A40">
    <cfRule type="expression" dxfId="8" priority="8">
      <formula>IF($A$40&lt;0,TRUE,FALSE)</formula>
    </cfRule>
  </conditionalFormatting>
  <conditionalFormatting sqref="A42">
    <cfRule type="expression" dxfId="7" priority="7">
      <formula>IF($A$42&lt;0,TRUE,FALSE)</formula>
    </cfRule>
  </conditionalFormatting>
  <conditionalFormatting sqref="B50:E50">
    <cfRule type="expression" dxfId="6" priority="4">
      <formula>IF((A23*A37*A38*A33)&gt;A7,TRUE,FALSE)</formula>
    </cfRule>
    <cfRule type="expression" dxfId="5" priority="5">
      <formula>IF((A23*A37*A38*A33)&lt;=A7,TRUE,FALSE)</formula>
    </cfRule>
  </conditionalFormatting>
  <conditionalFormatting sqref="D42">
    <cfRule type="expression" dxfId="4" priority="6">
      <formula>IF($D$42&lt;0,TRUE,FALSE)</formula>
    </cfRule>
  </conditionalFormatting>
  <conditionalFormatting sqref="F27">
    <cfRule type="expression" dxfId="3" priority="11">
      <formula>IF($A$27="Yes",TRUE,FALSE)</formula>
    </cfRule>
  </conditionalFormatting>
  <conditionalFormatting sqref="F31">
    <cfRule type="expression" dxfId="2" priority="2">
      <formula>IF(A26&gt;A31,TRUE,FALSE)</formula>
    </cfRule>
  </conditionalFormatting>
  <conditionalFormatting sqref="F40">
    <cfRule type="expression" dxfId="1" priority="10">
      <formula>IF($A$40&lt;0,TRUE,FALSE)</formula>
    </cfRule>
  </conditionalFormatting>
  <conditionalFormatting sqref="F42">
    <cfRule type="expression" dxfId="0" priority="9">
      <formula>IF($A$42&lt;0,TRUE,FALSE)</formula>
    </cfRule>
  </conditionalFormatting>
  <dataValidations count="9">
    <dataValidation allowBlank="1" showInputMessage="1" showErrorMessage="1" errorTitle="Adjust length!" error="Calculated dripline run length per zone must be equal to or greater than theoretical" sqref="A31" xr:uid="{8329770D-4615-42FA-8DB3-B02E2E2CC026}"/>
    <dataValidation allowBlank="1" showInputMessage="1" showErrorMessage="1" errorTitle="Adjustment Needed!" error="Adjust nunber of zones (A23) and/or number of input cycles (A35)_x000a_Call Geoflow Engineering 800.828.3388 for assistance" sqref="B50" xr:uid="{8F2460BC-63C0-40E1-822A-84C2AE255606}"/>
    <dataValidation type="whole" allowBlank="1" showErrorMessage="1" errorTitle="Run Time Exceeded!" error="Enter 18 hours or less" promptTitle="Daily Pump Run TIme" prompt="12 Hours Typical" sqref="A21" xr:uid="{90B95726-EAD7-4495-B92C-4FAB87F6FC0B}">
      <formula1>1</formula1>
      <formula2>18</formula2>
    </dataValidation>
    <dataValidation operator="lessThan" allowBlank="1" showInputMessage="1" showErrorMessage="1" errorTitle="Check Zones Input!" error="Change the nubmer of zones!" sqref="A40" xr:uid="{3B4840BA-1C66-47A9-8340-C1004D96720F}"/>
    <dataValidation type="custom" allowBlank="1" showInputMessage="1" showErrorMessage="1" errorTitle="Contact Geoflow Engineering" error="Contact Geoflow Engineering!_x000a_800.828.3388_x000a_2-foot emitter spacing &lt;= 300 feet_x000a_1-foot emitter spacing &lt;= 150 feet" sqref="A28" xr:uid="{E0187428-135C-4D7F-BDBB-E0C0D84EED81}">
      <formula1>IF(E28=TRUE,TRUE,FALSE)</formula1>
    </dataValidation>
    <dataValidation type="list" allowBlank="1" showInputMessage="1" showErrorMessage="1" sqref="A27" xr:uid="{77D93E7D-CB85-41EC-ACD4-8E274FB5F9E1}">
      <formula1>$F$25:$F$26</formula1>
    </dataValidation>
    <dataValidation type="custom" operator="lessThanOrEqual" allowBlank="1" showInputMessage="1" showErrorMessage="1" errorTitle="Call Geoflow Engineering" error="Contact Geoflow Engineering!_x000a_800.828.3388" sqref="A23" xr:uid="{0A35DD60-24BE-4E6C-B323-DB4ABD6C3902}">
      <formula1>IF(A23&lt;=12,IF(D41&lt;=A21,TRUE,FALSE))</formula1>
    </dataValidation>
    <dataValidation type="decimal" errorStyle="information" allowBlank="1" showInputMessage="1" showErrorMessage="1" errorTitle="Contact Geoflow Engineering" error="Soil loading rate is outside typical range!_x000a_Contact Geoflow Engineering_x000a_800.828.3388" sqref="A8" xr:uid="{04641B50-CAE0-40BF-AC6E-A957B34C8727}">
      <formula1>0.1</formula1>
      <formula2>0.5</formula2>
    </dataValidation>
    <dataValidation type="decimal" allowBlank="1" showErrorMessage="1" errorTitle="Input Error!" error="Must be 0.5 fps to 2 fps_x000a_1 fps is recommended" sqref="A30" xr:uid="{4D2D4769-53B1-4A4C-9921-168AFE3E01CE}">
      <formula1>0.5</formula1>
      <formula2>3</formula2>
    </dataValidation>
  </dataValidations>
  <pageMargins left="0.7" right="0.7" top="0.5" bottom="0.5" header="0" footer="0"/>
  <pageSetup orientation="portrait" horizontalDpi="1200" verticalDpi="1200" r:id="rId1"/>
  <drawing r:id="rId2"/>
  <extLst>
    <ext xmlns:x14="http://schemas.microsoft.com/office/spreadsheetml/2009/9/main" uri="{CCE6A557-97BC-4b89-ADB6-D9C93CAAB3DF}">
      <x14:dataValidations xmlns:xm="http://schemas.microsoft.com/office/excel/2006/main" count="2">
        <x14:dataValidation type="list" allowBlank="1" showInputMessage="1" promptTitle="Model number" prompt="Select from list" xr:uid="{737C8DBD-8CB4-4FA2-9378-CF93B535DE7A}">
          <x14:formula1>
            <xm:f>'Drip Tube Data'!$B$4:$B$13</xm:f>
          </x14:formula1>
          <xm:sqref>A12</xm:sqref>
        </x14:dataValidation>
        <x14:dataValidation type="list" allowBlank="1" showInputMessage="1" xr:uid="{644ED5D4-E6D1-4269-9C20-B0E3DEE1F388}">
          <x14:formula1>
            <xm:f>'Drip Tube Data'!$E$17:$E$23</xm:f>
          </x14:formula1>
          <xm:sqref>A13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62CA-3DA4-4D67-9FC7-0844A47FF37C}">
  <dimension ref="A1:T39"/>
  <sheetViews>
    <sheetView zoomScaleNormal="100" workbookViewId="0">
      <selection sqref="A1:M2"/>
    </sheetView>
  </sheetViews>
  <sheetFormatPr defaultRowHeight="12.5" x14ac:dyDescent="0.25"/>
  <cols>
    <col min="1" max="9" width="9.1796875" customWidth="1"/>
    <col min="257" max="265" width="9.1796875" customWidth="1"/>
    <col min="513" max="521" width="9.1796875" customWidth="1"/>
    <col min="769" max="777" width="9.1796875" customWidth="1"/>
    <col min="1025" max="1033" width="9.1796875" customWidth="1"/>
    <col min="1281" max="1289" width="9.1796875" customWidth="1"/>
    <col min="1537" max="1545" width="9.1796875" customWidth="1"/>
    <col min="1793" max="1801" width="9.1796875" customWidth="1"/>
    <col min="2049" max="2057" width="9.1796875" customWidth="1"/>
    <col min="2305" max="2313" width="9.1796875" customWidth="1"/>
    <col min="2561" max="2569" width="9.1796875" customWidth="1"/>
    <col min="2817" max="2825" width="9.1796875" customWidth="1"/>
    <col min="3073" max="3081" width="9.1796875" customWidth="1"/>
    <col min="3329" max="3337" width="9.1796875" customWidth="1"/>
    <col min="3585" max="3593" width="9.1796875" customWidth="1"/>
    <col min="3841" max="3849" width="9.1796875" customWidth="1"/>
    <col min="4097" max="4105" width="9.1796875" customWidth="1"/>
    <col min="4353" max="4361" width="9.1796875" customWidth="1"/>
    <col min="4609" max="4617" width="9.1796875" customWidth="1"/>
    <col min="4865" max="4873" width="9.1796875" customWidth="1"/>
    <col min="5121" max="5129" width="9.1796875" customWidth="1"/>
    <col min="5377" max="5385" width="9.1796875" customWidth="1"/>
    <col min="5633" max="5641" width="9.1796875" customWidth="1"/>
    <col min="5889" max="5897" width="9.1796875" customWidth="1"/>
    <col min="6145" max="6153" width="9.1796875" customWidth="1"/>
    <col min="6401" max="6409" width="9.1796875" customWidth="1"/>
    <col min="6657" max="6665" width="9.1796875" customWidth="1"/>
    <col min="6913" max="6921" width="9.1796875" customWidth="1"/>
    <col min="7169" max="7177" width="9.1796875" customWidth="1"/>
    <col min="7425" max="7433" width="9.1796875" customWidth="1"/>
    <col min="7681" max="7689" width="9.1796875" customWidth="1"/>
    <col min="7937" max="7945" width="9.1796875" customWidth="1"/>
    <col min="8193" max="8201" width="9.1796875" customWidth="1"/>
    <col min="8449" max="8457" width="9.1796875" customWidth="1"/>
    <col min="8705" max="8713" width="9.1796875" customWidth="1"/>
    <col min="8961" max="8969" width="9.1796875" customWidth="1"/>
    <col min="9217" max="9225" width="9.1796875" customWidth="1"/>
    <col min="9473" max="9481" width="9.1796875" customWidth="1"/>
    <col min="9729" max="9737" width="9.1796875" customWidth="1"/>
    <col min="9985" max="9993" width="9.1796875" customWidth="1"/>
    <col min="10241" max="10249" width="9.1796875" customWidth="1"/>
    <col min="10497" max="10505" width="9.1796875" customWidth="1"/>
    <col min="10753" max="10761" width="9.1796875" customWidth="1"/>
    <col min="11009" max="11017" width="9.1796875" customWidth="1"/>
    <col min="11265" max="11273" width="9.1796875" customWidth="1"/>
    <col min="11521" max="11529" width="9.1796875" customWidth="1"/>
    <col min="11777" max="11785" width="9.1796875" customWidth="1"/>
    <col min="12033" max="12041" width="9.1796875" customWidth="1"/>
    <col min="12289" max="12297" width="9.1796875" customWidth="1"/>
    <col min="12545" max="12553" width="9.1796875" customWidth="1"/>
    <col min="12801" max="12809" width="9.1796875" customWidth="1"/>
    <col min="13057" max="13065" width="9.1796875" customWidth="1"/>
    <col min="13313" max="13321" width="9.1796875" customWidth="1"/>
    <col min="13569" max="13577" width="9.1796875" customWidth="1"/>
    <col min="13825" max="13833" width="9.1796875" customWidth="1"/>
    <col min="14081" max="14089" width="9.1796875" customWidth="1"/>
    <col min="14337" max="14345" width="9.1796875" customWidth="1"/>
    <col min="14593" max="14601" width="9.1796875" customWidth="1"/>
    <col min="14849" max="14857" width="9.1796875" customWidth="1"/>
    <col min="15105" max="15113" width="9.1796875" customWidth="1"/>
    <col min="15361" max="15369" width="9.1796875" customWidth="1"/>
    <col min="15617" max="15625" width="9.1796875" customWidth="1"/>
    <col min="15873" max="15881" width="9.1796875" customWidth="1"/>
    <col min="16129" max="16137" width="9.1796875" customWidth="1"/>
  </cols>
  <sheetData>
    <row r="1" spans="1:20" ht="30" customHeight="1" x14ac:dyDescent="0.55000000000000004">
      <c r="A1" s="240"/>
      <c r="B1" s="240"/>
      <c r="C1" s="240"/>
      <c r="D1" s="240"/>
      <c r="E1" s="240"/>
      <c r="F1" s="240"/>
      <c r="G1" s="240"/>
      <c r="H1" s="240"/>
      <c r="I1" s="240"/>
      <c r="J1" s="240"/>
      <c r="K1" s="240"/>
      <c r="L1" s="240"/>
      <c r="M1" s="240"/>
      <c r="N1" s="185"/>
    </row>
    <row r="2" spans="1:20" ht="12.65" customHeight="1" x14ac:dyDescent="0.55000000000000004">
      <c r="A2" s="240"/>
      <c r="B2" s="240"/>
      <c r="C2" s="240"/>
      <c r="D2" s="240"/>
      <c r="E2" s="240"/>
      <c r="F2" s="240"/>
      <c r="G2" s="240"/>
      <c r="H2" s="240"/>
      <c r="I2" s="240"/>
      <c r="J2" s="240"/>
      <c r="K2" s="240"/>
      <c r="L2" s="240"/>
      <c r="M2" s="240"/>
      <c r="N2" s="185"/>
    </row>
    <row r="3" spans="1:20" x14ac:dyDescent="0.25">
      <c r="A3" s="239"/>
      <c r="B3" s="239"/>
      <c r="C3" s="239"/>
      <c r="D3" s="239"/>
      <c r="E3" s="239"/>
      <c r="F3" s="239"/>
      <c r="G3" s="239"/>
      <c r="H3" s="239"/>
      <c r="I3" s="239"/>
      <c r="J3" s="239"/>
      <c r="K3" s="239"/>
      <c r="L3" s="239"/>
      <c r="M3" s="239"/>
    </row>
    <row r="4" spans="1:20" s="137" customFormat="1" ht="15.5" x14ac:dyDescent="0.35">
      <c r="A4" s="247" t="s">
        <v>235</v>
      </c>
      <c r="B4" s="248"/>
      <c r="C4" s="248"/>
      <c r="D4" s="248"/>
      <c r="E4" s="248"/>
      <c r="F4" s="248"/>
      <c r="G4" s="248"/>
      <c r="H4" s="248"/>
      <c r="I4" s="248"/>
      <c r="J4" s="186"/>
      <c r="K4" s="186"/>
      <c r="L4" s="186"/>
      <c r="M4" s="187"/>
    </row>
    <row r="5" spans="1:20" s="137" customFormat="1" ht="15.5" x14ac:dyDescent="0.35">
      <c r="A5" s="136"/>
      <c r="B5" s="138"/>
      <c r="C5" s="138"/>
      <c r="D5" s="250" t="s">
        <v>253</v>
      </c>
      <c r="E5" s="250"/>
      <c r="F5" s="250"/>
      <c r="G5" s="250"/>
      <c r="H5" s="250"/>
      <c r="I5" s="250"/>
      <c r="M5" s="188"/>
      <c r="O5" s="138"/>
      <c r="P5" s="138"/>
      <c r="Q5" s="138"/>
      <c r="R5" s="138"/>
      <c r="S5" s="138"/>
      <c r="T5" s="138"/>
    </row>
    <row r="6" spans="1:20" s="137" customFormat="1" ht="15.5" x14ac:dyDescent="0.35">
      <c r="A6" s="136"/>
      <c r="B6" s="138"/>
      <c r="C6" s="138"/>
      <c r="D6" s="250" t="s">
        <v>254</v>
      </c>
      <c r="E6" s="250"/>
      <c r="F6" s="250"/>
      <c r="G6" s="250"/>
      <c r="H6" s="250"/>
      <c r="I6" s="250"/>
      <c r="M6" s="188"/>
      <c r="O6" s="191"/>
      <c r="P6" s="191"/>
      <c r="Q6" s="191"/>
      <c r="R6" s="191"/>
      <c r="S6" s="191"/>
      <c r="T6" s="191"/>
    </row>
    <row r="7" spans="1:20" s="137" customFormat="1" ht="15.5" x14ac:dyDescent="0.35">
      <c r="A7" s="136"/>
      <c r="B7" s="138"/>
      <c r="C7" s="138"/>
      <c r="D7" s="250" t="s">
        <v>268</v>
      </c>
      <c r="E7" s="250"/>
      <c r="F7" s="250"/>
      <c r="G7" s="250"/>
      <c r="H7" s="250"/>
      <c r="I7" s="250"/>
      <c r="M7" s="188"/>
      <c r="O7" s="138"/>
      <c r="P7" s="138"/>
      <c r="Q7" s="138"/>
      <c r="R7" s="138"/>
      <c r="S7" s="138"/>
      <c r="T7" s="138"/>
    </row>
    <row r="8" spans="1:20" s="137" customFormat="1" ht="15.5" x14ac:dyDescent="0.35">
      <c r="A8" s="136"/>
      <c r="B8" s="138"/>
      <c r="C8" s="138"/>
      <c r="D8" s="250" t="s">
        <v>255</v>
      </c>
      <c r="E8" s="250"/>
      <c r="F8" s="250"/>
      <c r="G8" s="250"/>
      <c r="H8" s="250"/>
      <c r="I8" s="250"/>
      <c r="M8" s="188"/>
      <c r="O8" s="138"/>
      <c r="P8" s="138"/>
      <c r="Q8" s="138"/>
      <c r="R8" s="138"/>
      <c r="S8" s="138"/>
      <c r="T8" s="138"/>
    </row>
    <row r="9" spans="1:20" s="137" customFormat="1" ht="15.5" x14ac:dyDescent="0.35">
      <c r="A9" s="136"/>
      <c r="B9" s="138"/>
      <c r="C9" s="138"/>
      <c r="D9" s="250" t="s">
        <v>269</v>
      </c>
      <c r="E9" s="250"/>
      <c r="F9" s="250"/>
      <c r="G9" s="250"/>
      <c r="H9" s="250"/>
      <c r="I9" s="250"/>
      <c r="M9" s="188"/>
      <c r="O9" s="138"/>
      <c r="P9" s="138"/>
      <c r="Q9" s="138"/>
      <c r="R9" s="138"/>
      <c r="S9" s="138"/>
      <c r="T9" s="138"/>
    </row>
    <row r="10" spans="1:20" s="137" customFormat="1" ht="15.5" x14ac:dyDescent="0.35">
      <c r="A10" s="136"/>
      <c r="B10" s="138"/>
      <c r="C10" s="138"/>
      <c r="D10" s="250" t="s">
        <v>270</v>
      </c>
      <c r="E10" s="250"/>
      <c r="F10" s="250"/>
      <c r="G10" s="250"/>
      <c r="H10" s="250"/>
      <c r="I10" s="250"/>
      <c r="M10" s="188"/>
      <c r="O10" s="138"/>
      <c r="P10" s="138"/>
      <c r="Q10" s="138"/>
      <c r="R10" s="138"/>
      <c r="S10" s="138"/>
      <c r="T10" s="138"/>
    </row>
    <row r="11" spans="1:20" s="137" customFormat="1" ht="15.5" x14ac:dyDescent="0.35">
      <c r="A11" s="136"/>
      <c r="B11" s="138"/>
      <c r="C11" s="138"/>
      <c r="D11" s="250" t="s">
        <v>281</v>
      </c>
      <c r="E11" s="250"/>
      <c r="F11" s="250"/>
      <c r="G11" s="250"/>
      <c r="H11" s="250"/>
      <c r="I11" s="250"/>
      <c r="M11" s="188"/>
      <c r="O11" s="138"/>
      <c r="P11" s="138"/>
      <c r="Q11" s="138"/>
      <c r="R11" s="138"/>
      <c r="S11" s="138"/>
      <c r="T11" s="138"/>
    </row>
    <row r="12" spans="1:20" s="137" customFormat="1" ht="15.5" x14ac:dyDescent="0.35">
      <c r="A12" s="136"/>
      <c r="B12" s="138"/>
      <c r="C12" s="138"/>
      <c r="D12" s="250" t="s">
        <v>256</v>
      </c>
      <c r="E12" s="250"/>
      <c r="F12" s="250"/>
      <c r="G12" s="250"/>
      <c r="H12" s="250"/>
      <c r="I12" s="250"/>
      <c r="M12" s="188"/>
      <c r="O12" s="138"/>
      <c r="P12" s="138"/>
      <c r="Q12" s="138"/>
      <c r="R12" s="138"/>
      <c r="S12" s="138"/>
      <c r="T12" s="138"/>
    </row>
    <row r="13" spans="1:20" ht="15.5" x14ac:dyDescent="0.35">
      <c r="A13" s="139"/>
      <c r="B13" s="140"/>
      <c r="C13" s="140"/>
      <c r="D13" s="252" t="s">
        <v>271</v>
      </c>
      <c r="E13" s="252"/>
      <c r="F13" s="252"/>
      <c r="G13" s="252"/>
      <c r="H13" s="252"/>
      <c r="I13" s="252"/>
      <c r="J13" s="189"/>
      <c r="K13" s="189"/>
      <c r="L13" s="189"/>
      <c r="M13" s="190"/>
      <c r="O13" s="138"/>
      <c r="P13" s="138"/>
      <c r="Q13" s="138"/>
      <c r="R13" s="138"/>
      <c r="S13" s="138"/>
      <c r="T13" s="138"/>
    </row>
    <row r="14" spans="1:20" ht="13" customHeight="1" x14ac:dyDescent="0.25">
      <c r="A14" s="269"/>
      <c r="B14" s="269"/>
      <c r="C14" s="269"/>
      <c r="D14" s="269"/>
      <c r="E14" s="269"/>
      <c r="F14" s="269"/>
      <c r="G14" s="269"/>
      <c r="H14" s="269"/>
      <c r="I14" s="269"/>
      <c r="J14" s="269"/>
      <c r="K14" s="269"/>
      <c r="L14" s="269"/>
      <c r="M14" s="269"/>
    </row>
    <row r="15" spans="1:20" ht="12.75" customHeight="1" x14ac:dyDescent="0.25">
      <c r="A15" s="270"/>
      <c r="B15" s="270"/>
      <c r="C15" s="270"/>
      <c r="D15" s="270"/>
      <c r="E15" s="270"/>
      <c r="F15" s="270"/>
      <c r="G15" s="270"/>
      <c r="H15" s="270"/>
      <c r="I15" s="270"/>
      <c r="J15" s="270"/>
      <c r="K15" s="270"/>
      <c r="L15" s="270"/>
      <c r="M15" s="270"/>
    </row>
    <row r="16" spans="1:20" ht="12.75" customHeight="1" x14ac:dyDescent="0.25">
      <c r="A16" s="270"/>
      <c r="B16" s="270"/>
      <c r="C16" s="270"/>
      <c r="D16" s="270"/>
      <c r="E16" s="270"/>
      <c r="F16" s="270"/>
      <c r="G16" s="270"/>
      <c r="H16" s="270"/>
      <c r="I16" s="270"/>
      <c r="J16" s="270"/>
      <c r="K16" s="270"/>
      <c r="L16" s="270"/>
      <c r="M16" s="270"/>
    </row>
    <row r="17" spans="1:13" ht="12.75" customHeight="1" x14ac:dyDescent="0.25">
      <c r="A17" s="270"/>
      <c r="B17" s="270"/>
      <c r="C17" s="270"/>
      <c r="D17" s="270"/>
      <c r="E17" s="270"/>
      <c r="F17" s="270"/>
      <c r="G17" s="270"/>
      <c r="H17" s="270"/>
      <c r="I17" s="270"/>
      <c r="J17" s="270"/>
      <c r="K17" s="270"/>
      <c r="L17" s="270"/>
      <c r="M17" s="270"/>
    </row>
    <row r="18" spans="1:13" ht="12.75" customHeight="1" x14ac:dyDescent="0.25">
      <c r="A18" s="270"/>
      <c r="B18" s="270"/>
      <c r="C18" s="270"/>
      <c r="D18" s="270"/>
      <c r="E18" s="270"/>
      <c r="F18" s="270"/>
      <c r="G18" s="270"/>
      <c r="H18" s="270"/>
      <c r="I18" s="270"/>
      <c r="J18" s="270"/>
      <c r="K18" s="270"/>
      <c r="L18" s="270"/>
      <c r="M18" s="270"/>
    </row>
    <row r="19" spans="1:13" ht="12.75" customHeight="1" x14ac:dyDescent="0.25">
      <c r="A19" s="270"/>
      <c r="B19" s="270"/>
      <c r="C19" s="270"/>
      <c r="D19" s="270"/>
      <c r="E19" s="270"/>
      <c r="F19" s="270"/>
      <c r="G19" s="270"/>
      <c r="H19" s="270"/>
      <c r="I19" s="270"/>
      <c r="J19" s="270"/>
      <c r="K19" s="270"/>
      <c r="L19" s="270"/>
      <c r="M19" s="270"/>
    </row>
    <row r="20" spans="1:13" ht="12.75" customHeight="1" x14ac:dyDescent="0.25">
      <c r="A20" s="270"/>
      <c r="B20" s="270"/>
      <c r="C20" s="270"/>
      <c r="D20" s="270"/>
      <c r="E20" s="270"/>
      <c r="F20" s="270"/>
      <c r="G20" s="270"/>
      <c r="H20" s="270"/>
      <c r="I20" s="270"/>
      <c r="J20" s="270"/>
      <c r="K20" s="270"/>
      <c r="L20" s="270"/>
      <c r="M20" s="270"/>
    </row>
    <row r="21" spans="1:13" ht="12.75" customHeight="1" x14ac:dyDescent="0.25">
      <c r="A21" s="270"/>
      <c r="B21" s="270"/>
      <c r="C21" s="270"/>
      <c r="D21" s="270"/>
      <c r="E21" s="270"/>
      <c r="F21" s="270"/>
      <c r="G21" s="270"/>
      <c r="H21" s="270"/>
      <c r="I21" s="270"/>
      <c r="J21" s="270"/>
      <c r="K21" s="270"/>
      <c r="L21" s="270"/>
      <c r="M21" s="270"/>
    </row>
    <row r="22" spans="1:13" ht="12.75" customHeight="1" x14ac:dyDescent="0.25">
      <c r="A22" s="270"/>
      <c r="B22" s="270"/>
      <c r="C22" s="270"/>
      <c r="D22" s="270"/>
      <c r="E22" s="270"/>
      <c r="F22" s="270"/>
      <c r="G22" s="270"/>
      <c r="H22" s="270"/>
      <c r="I22" s="270"/>
      <c r="J22" s="270"/>
      <c r="K22" s="270"/>
      <c r="L22" s="270"/>
      <c r="M22" s="270"/>
    </row>
    <row r="23" spans="1:13" ht="12.75" customHeight="1" x14ac:dyDescent="0.25">
      <c r="A23" s="270"/>
      <c r="B23" s="270"/>
      <c r="C23" s="270"/>
      <c r="D23" s="270"/>
      <c r="E23" s="270"/>
      <c r="F23" s="270"/>
      <c r="G23" s="270"/>
      <c r="H23" s="270"/>
      <c r="I23" s="270"/>
      <c r="J23" s="270"/>
      <c r="K23" s="270"/>
      <c r="L23" s="270"/>
      <c r="M23" s="270"/>
    </row>
    <row r="24" spans="1:13" ht="12.75" customHeight="1" x14ac:dyDescent="0.25">
      <c r="A24" s="270"/>
      <c r="B24" s="270"/>
      <c r="C24" s="270"/>
      <c r="D24" s="270"/>
      <c r="E24" s="270"/>
      <c r="F24" s="270"/>
      <c r="G24" s="270"/>
      <c r="H24" s="270"/>
      <c r="I24" s="270"/>
      <c r="J24" s="270"/>
      <c r="K24" s="270"/>
      <c r="L24" s="270"/>
      <c r="M24" s="270"/>
    </row>
    <row r="25" spans="1:13" ht="12.75" customHeight="1" x14ac:dyDescent="0.25">
      <c r="A25" s="270"/>
      <c r="B25" s="270"/>
      <c r="C25" s="270"/>
      <c r="D25" s="270"/>
      <c r="E25" s="270"/>
      <c r="F25" s="270"/>
      <c r="G25" s="270"/>
      <c r="H25" s="270"/>
      <c r="I25" s="270"/>
      <c r="J25" s="270"/>
      <c r="K25" s="270"/>
      <c r="L25" s="270"/>
      <c r="M25" s="270"/>
    </row>
    <row r="26" spans="1:13" ht="12.75" customHeight="1" x14ac:dyDescent="0.25">
      <c r="A26" s="270"/>
      <c r="B26" s="270"/>
      <c r="C26" s="270"/>
      <c r="D26" s="270"/>
      <c r="E26" s="270"/>
      <c r="F26" s="270"/>
      <c r="G26" s="270"/>
      <c r="H26" s="270"/>
      <c r="I26" s="270"/>
      <c r="J26" s="270"/>
      <c r="K26" s="270"/>
      <c r="L26" s="270"/>
      <c r="M26" s="270"/>
    </row>
    <row r="27" spans="1:13" ht="12.75" customHeight="1" x14ac:dyDescent="0.25">
      <c r="A27" s="270"/>
      <c r="B27" s="270"/>
      <c r="C27" s="270"/>
      <c r="D27" s="270"/>
      <c r="E27" s="270"/>
      <c r="F27" s="270"/>
      <c r="G27" s="270"/>
      <c r="H27" s="270"/>
      <c r="I27" s="270"/>
      <c r="J27" s="270"/>
      <c r="K27" s="270"/>
      <c r="L27" s="270"/>
      <c r="M27" s="270"/>
    </row>
    <row r="28" spans="1:13" ht="12.75" customHeight="1" x14ac:dyDescent="0.25">
      <c r="A28" s="270"/>
      <c r="B28" s="270"/>
      <c r="C28" s="270"/>
      <c r="D28" s="270"/>
      <c r="E28" s="270"/>
      <c r="F28" s="270"/>
      <c r="G28" s="270"/>
      <c r="H28" s="270"/>
      <c r="I28" s="270"/>
      <c r="J28" s="270"/>
      <c r="K28" s="270"/>
      <c r="L28" s="270"/>
      <c r="M28" s="270"/>
    </row>
    <row r="29" spans="1:13" ht="12.75" customHeight="1" x14ac:dyDescent="0.25">
      <c r="A29" s="270"/>
      <c r="B29" s="270"/>
      <c r="C29" s="270"/>
      <c r="D29" s="270"/>
      <c r="E29" s="270"/>
      <c r="F29" s="270"/>
      <c r="G29" s="270"/>
      <c r="H29" s="270"/>
      <c r="I29" s="270"/>
      <c r="J29" s="270"/>
      <c r="K29" s="270"/>
      <c r="L29" s="270"/>
      <c r="M29" s="270"/>
    </row>
    <row r="30" spans="1:13" ht="12.75" customHeight="1" x14ac:dyDescent="0.25">
      <c r="A30" s="270"/>
      <c r="B30" s="270"/>
      <c r="C30" s="270"/>
      <c r="D30" s="270"/>
      <c r="E30" s="270"/>
      <c r="F30" s="270"/>
      <c r="G30" s="270"/>
      <c r="H30" s="270"/>
      <c r="I30" s="270"/>
      <c r="J30" s="270"/>
      <c r="K30" s="270"/>
      <c r="L30" s="270"/>
      <c r="M30" s="270"/>
    </row>
    <row r="31" spans="1:13" ht="12.75" customHeight="1" x14ac:dyDescent="0.25">
      <c r="A31" s="270"/>
      <c r="B31" s="270"/>
      <c r="C31" s="270"/>
      <c r="D31" s="270"/>
      <c r="E31" s="270"/>
      <c r="F31" s="270"/>
      <c r="G31" s="270"/>
      <c r="H31" s="270"/>
      <c r="I31" s="270"/>
      <c r="J31" s="270"/>
      <c r="K31" s="270"/>
      <c r="L31" s="270"/>
      <c r="M31" s="270"/>
    </row>
    <row r="32" spans="1:13" ht="12.75" customHeight="1" x14ac:dyDescent="0.25">
      <c r="A32" s="270"/>
      <c r="B32" s="270"/>
      <c r="C32" s="270"/>
      <c r="D32" s="270"/>
      <c r="E32" s="270"/>
      <c r="F32" s="270"/>
      <c r="G32" s="270"/>
      <c r="H32" s="270"/>
      <c r="I32" s="270"/>
      <c r="J32" s="270"/>
      <c r="K32" s="270"/>
      <c r="L32" s="270"/>
      <c r="M32" s="270"/>
    </row>
    <row r="33" spans="1:13" ht="12.75" customHeight="1" x14ac:dyDescent="0.25">
      <c r="A33" s="270"/>
      <c r="B33" s="270"/>
      <c r="C33" s="270"/>
      <c r="D33" s="270"/>
      <c r="E33" s="270"/>
      <c r="F33" s="270"/>
      <c r="G33" s="270"/>
      <c r="H33" s="270"/>
      <c r="I33" s="270"/>
      <c r="J33" s="270"/>
      <c r="K33" s="270"/>
      <c r="L33" s="270"/>
      <c r="M33" s="270"/>
    </row>
    <row r="34" spans="1:13" ht="12.75" customHeight="1" x14ac:dyDescent="0.25">
      <c r="A34" s="270"/>
      <c r="B34" s="270"/>
      <c r="C34" s="270"/>
      <c r="D34" s="270"/>
      <c r="E34" s="270"/>
      <c r="F34" s="270"/>
      <c r="G34" s="270"/>
      <c r="H34" s="270"/>
      <c r="I34" s="270"/>
      <c r="J34" s="270"/>
      <c r="K34" s="270"/>
      <c r="L34" s="270"/>
      <c r="M34" s="270"/>
    </row>
    <row r="35" spans="1:13" ht="12.75" customHeight="1" x14ac:dyDescent="0.25">
      <c r="A35" s="270"/>
      <c r="B35" s="270"/>
      <c r="C35" s="270"/>
      <c r="D35" s="270"/>
      <c r="E35" s="270"/>
      <c r="F35" s="270"/>
      <c r="G35" s="270"/>
      <c r="H35" s="270"/>
      <c r="I35" s="270"/>
      <c r="J35" s="270"/>
      <c r="K35" s="270"/>
      <c r="L35" s="270"/>
      <c r="M35" s="270"/>
    </row>
    <row r="36" spans="1:13" ht="12.75" customHeight="1" x14ac:dyDescent="0.25">
      <c r="A36" s="270"/>
      <c r="B36" s="270"/>
      <c r="C36" s="270"/>
      <c r="D36" s="270"/>
      <c r="E36" s="270"/>
      <c r="F36" s="270"/>
      <c r="G36" s="270"/>
      <c r="H36" s="270"/>
      <c r="I36" s="270"/>
      <c r="J36" s="270"/>
      <c r="K36" s="270"/>
      <c r="L36" s="270"/>
      <c r="M36" s="270"/>
    </row>
    <row r="37" spans="1:13" ht="12.75" customHeight="1" x14ac:dyDescent="0.25">
      <c r="A37" s="270"/>
      <c r="B37" s="270"/>
      <c r="C37" s="270"/>
      <c r="D37" s="270"/>
      <c r="E37" s="270"/>
      <c r="F37" s="270"/>
      <c r="G37" s="270"/>
      <c r="H37" s="270"/>
      <c r="I37" s="270"/>
      <c r="J37" s="270"/>
      <c r="K37" s="270"/>
      <c r="L37" s="270"/>
      <c r="M37" s="270"/>
    </row>
    <row r="38" spans="1:13" ht="15.75" customHeight="1" x14ac:dyDescent="0.25">
      <c r="A38" s="270"/>
      <c r="B38" s="270"/>
      <c r="C38" s="270"/>
      <c r="D38" s="270"/>
      <c r="E38" s="270"/>
      <c r="F38" s="270"/>
      <c r="G38" s="270"/>
      <c r="H38" s="270"/>
      <c r="I38" s="270"/>
      <c r="J38" s="270"/>
      <c r="K38" s="270"/>
      <c r="L38" s="270"/>
      <c r="M38" s="270"/>
    </row>
    <row r="39" spans="1:13" ht="13" x14ac:dyDescent="0.3">
      <c r="K39" s="238" t="s">
        <v>219</v>
      </c>
      <c r="L39" s="238"/>
      <c r="M39" s="238"/>
    </row>
  </sheetData>
  <sheetProtection algorithmName="SHA-512" hashValue="Po43mNELXUux19xtmxwUpJoMLMEqJovupH5CKXvk34T+3NXg/02ypaPTuxaU4zZyAdC5TB2Qo2Ju8DstmSzNrg==" saltValue="UucQVLW+1TB/QRKFv8kbeQ==" spinCount="100000" sheet="1" objects="1" scenarios="1"/>
  <mergeCells count="14">
    <mergeCell ref="A1:M2"/>
    <mergeCell ref="A3:M3"/>
    <mergeCell ref="K39:M39"/>
    <mergeCell ref="D8:I8"/>
    <mergeCell ref="D9:I9"/>
    <mergeCell ref="D13:I13"/>
    <mergeCell ref="D11:I11"/>
    <mergeCell ref="D12:I12"/>
    <mergeCell ref="D6:I6"/>
    <mergeCell ref="D10:I10"/>
    <mergeCell ref="A14:M38"/>
    <mergeCell ref="A4:I4"/>
    <mergeCell ref="D5:I5"/>
    <mergeCell ref="D7:I7"/>
  </mergeCells>
  <phoneticPr fontId="4" type="noConversion"/>
  <pageMargins left="0.75" right="0.75" top="0.5" bottom="0.5" header="0" footer="0"/>
  <pageSetup orientation="landscape" r:id="rId1"/>
  <headerFooter alignWithMargins="0"/>
  <drawing r:id="rId2"/>
  <legacyDrawing r:id="rId3"/>
  <oleObjects>
    <mc:AlternateContent xmlns:mc="http://schemas.openxmlformats.org/markup-compatibility/2006">
      <mc:Choice Requires="x14">
        <oleObject progId="TurboCAD.Drawing.4" shapeId="3096" r:id="rId4">
          <objectPr defaultSize="0" autoPict="0" r:id="rId5">
            <anchor moveWithCells="1">
              <from>
                <xdr:col>0</xdr:col>
                <xdr:colOff>571500</xdr:colOff>
                <xdr:row>13</xdr:row>
                <xdr:rowOff>50800</xdr:rowOff>
              </from>
              <to>
                <xdr:col>12</xdr:col>
                <xdr:colOff>19050</xdr:colOff>
                <xdr:row>37</xdr:row>
                <xdr:rowOff>171450</xdr:rowOff>
              </to>
            </anchor>
          </objectPr>
        </oleObject>
      </mc:Choice>
      <mc:Fallback>
        <oleObject progId="TurboCAD.Drawing.4" shapeId="3096"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80B94-AB47-4382-AAF8-B683CC2099E4}">
  <dimension ref="A1:R60"/>
  <sheetViews>
    <sheetView zoomScaleNormal="100" workbookViewId="0">
      <selection activeCell="B4" sqref="B4:E4"/>
    </sheetView>
  </sheetViews>
  <sheetFormatPr defaultColWidth="9.1796875" defaultRowHeight="12.5" x14ac:dyDescent="0.25"/>
  <cols>
    <col min="1" max="1" width="38.7265625" style="1" bestFit="1" customWidth="1"/>
    <col min="2" max="2" width="13.453125" style="1" bestFit="1" customWidth="1"/>
    <col min="3" max="3" width="10.81640625" style="1" bestFit="1" customWidth="1"/>
    <col min="4" max="4" width="11.7265625" style="1" bestFit="1" customWidth="1"/>
    <col min="5" max="6" width="12.54296875" style="1" bestFit="1" customWidth="1"/>
    <col min="7" max="7" width="11.1796875" style="1" bestFit="1" customWidth="1"/>
    <col min="8" max="8" width="12.54296875" style="1" bestFit="1" customWidth="1"/>
    <col min="9" max="9" width="12.453125" style="1" customWidth="1"/>
    <col min="10" max="10" width="9.1796875" style="1"/>
    <col min="11" max="11" width="11.1796875" style="1" customWidth="1"/>
    <col min="12" max="13" width="11.26953125" style="1" customWidth="1"/>
    <col min="14" max="16384" width="9.1796875" style="1"/>
  </cols>
  <sheetData>
    <row r="1" spans="1:15" ht="45" customHeight="1" x14ac:dyDescent="0.25">
      <c r="A1" s="239"/>
      <c r="B1" s="239"/>
      <c r="C1" s="239"/>
      <c r="D1" s="239"/>
      <c r="E1" s="239"/>
      <c r="F1" s="239"/>
      <c r="G1" s="239"/>
      <c r="H1" s="239"/>
      <c r="I1" s="239"/>
      <c r="J1" s="239"/>
      <c r="K1" s="239"/>
      <c r="L1" s="239"/>
      <c r="M1" s="239"/>
      <c r="N1" s="239"/>
      <c r="O1" s="239"/>
    </row>
    <row r="2" spans="1:15" s="164" customFormat="1" ht="5.5" x14ac:dyDescent="0.15">
      <c r="A2" s="277"/>
      <c r="B2" s="277"/>
      <c r="C2" s="277"/>
      <c r="D2" s="277"/>
      <c r="E2" s="277"/>
      <c r="F2" s="277"/>
      <c r="G2" s="277"/>
      <c r="H2" s="277"/>
      <c r="I2" s="277"/>
      <c r="J2" s="277"/>
      <c r="K2" s="277"/>
      <c r="L2" s="277"/>
      <c r="M2" s="277"/>
      <c r="N2" s="277"/>
      <c r="O2" s="277"/>
    </row>
    <row r="3" spans="1:15" s="27" customFormat="1" ht="13.5" thickBot="1" x14ac:dyDescent="0.35">
      <c r="A3" s="178" t="s">
        <v>217</v>
      </c>
      <c r="B3" s="284" t="s">
        <v>115</v>
      </c>
      <c r="C3" s="284"/>
      <c r="D3" s="284"/>
      <c r="E3" s="285"/>
      <c r="G3" s="147"/>
      <c r="L3" s="267" t="s">
        <v>107</v>
      </c>
      <c r="M3" s="268"/>
      <c r="N3" s="28" t="s">
        <v>311</v>
      </c>
    </row>
    <row r="4" spans="1:15" s="27" customFormat="1" ht="13.5" thickBot="1" x14ac:dyDescent="0.35">
      <c r="A4" s="179" t="s">
        <v>167</v>
      </c>
      <c r="B4" s="278" t="s">
        <v>117</v>
      </c>
      <c r="C4" s="278"/>
      <c r="D4" s="278"/>
      <c r="E4" s="279"/>
      <c r="G4" s="147"/>
    </row>
    <row r="5" spans="1:15" s="27" customFormat="1" ht="13.5" thickBot="1" x14ac:dyDescent="0.35">
      <c r="A5" s="179" t="s">
        <v>190</v>
      </c>
      <c r="B5" s="286" t="s">
        <v>119</v>
      </c>
      <c r="C5" s="278"/>
      <c r="D5" s="278"/>
      <c r="E5" s="279"/>
      <c r="G5" s="147"/>
    </row>
    <row r="6" spans="1:15" s="27" customFormat="1" ht="16" thickBot="1" x14ac:dyDescent="0.4">
      <c r="A6" s="199">
        <v>2</v>
      </c>
      <c r="B6" s="278" t="s">
        <v>120</v>
      </c>
      <c r="C6" s="278"/>
      <c r="D6" s="278"/>
      <c r="E6" s="279"/>
      <c r="G6" s="138"/>
      <c r="H6" s="138"/>
      <c r="I6" s="138"/>
      <c r="J6" s="138"/>
      <c r="K6" s="138"/>
      <c r="L6" s="138"/>
    </row>
    <row r="7" spans="1:15" s="27" customFormat="1" ht="16" thickBot="1" x14ac:dyDescent="0.4">
      <c r="A7" s="179">
        <v>20</v>
      </c>
      <c r="B7" s="286" t="s">
        <v>121</v>
      </c>
      <c r="C7" s="278"/>
      <c r="D7" s="278"/>
      <c r="E7" s="279"/>
      <c r="G7" s="138"/>
      <c r="H7" s="138"/>
      <c r="I7" s="138"/>
      <c r="J7" s="138"/>
      <c r="K7" s="138"/>
      <c r="L7" s="138"/>
    </row>
    <row r="8" spans="1:15" s="27" customFormat="1" ht="13.5" thickBot="1" x14ac:dyDescent="0.35">
      <c r="A8" s="179">
        <v>20</v>
      </c>
      <c r="B8" s="286" t="s">
        <v>122</v>
      </c>
      <c r="C8" s="278"/>
      <c r="D8" s="278"/>
      <c r="E8" s="279"/>
      <c r="G8" s="147"/>
    </row>
    <row r="9" spans="1:15" s="27" customFormat="1" ht="14" x14ac:dyDescent="0.3">
      <c r="A9" s="180">
        <v>126</v>
      </c>
      <c r="B9" s="278" t="s">
        <v>123</v>
      </c>
      <c r="C9" s="278"/>
      <c r="D9" s="278"/>
      <c r="E9" s="279"/>
    </row>
    <row r="10" spans="1:15" s="27" customFormat="1" ht="14" x14ac:dyDescent="0.3">
      <c r="A10" s="181">
        <v>2</v>
      </c>
      <c r="B10" s="278" t="s">
        <v>124</v>
      </c>
      <c r="C10" s="278"/>
      <c r="D10" s="278"/>
      <c r="E10" s="279"/>
    </row>
    <row r="11" spans="1:15" s="27" customFormat="1" ht="13" x14ac:dyDescent="0.3">
      <c r="A11" s="177">
        <f>A10*A9</f>
        <v>252</v>
      </c>
      <c r="B11" s="282" t="s">
        <v>125</v>
      </c>
      <c r="C11" s="282"/>
      <c r="D11" s="282"/>
      <c r="E11" s="283"/>
    </row>
    <row r="12" spans="1:15" s="164" customFormat="1" ht="5.5" x14ac:dyDescent="0.15"/>
    <row r="13" spans="1:15" s="27" customFormat="1" ht="26" x14ac:dyDescent="0.3">
      <c r="A13" s="148"/>
      <c r="B13" s="165" t="s">
        <v>126</v>
      </c>
      <c r="C13" s="166" t="s">
        <v>127</v>
      </c>
      <c r="D13" s="165" t="s">
        <v>128</v>
      </c>
      <c r="E13" s="165" t="s">
        <v>227</v>
      </c>
      <c r="F13" s="165" t="s">
        <v>129</v>
      </c>
      <c r="G13" s="165" t="s">
        <v>130</v>
      </c>
      <c r="H13" s="165" t="s">
        <v>228</v>
      </c>
      <c r="I13" s="165" t="s">
        <v>131</v>
      </c>
      <c r="J13" s="165" t="s">
        <v>132</v>
      </c>
      <c r="K13" s="165" t="s">
        <v>229</v>
      </c>
      <c r="L13" s="165" t="s">
        <v>133</v>
      </c>
      <c r="M13" s="165" t="s">
        <v>134</v>
      </c>
      <c r="N13" s="165" t="s">
        <v>135</v>
      </c>
    </row>
    <row r="14" spans="1:15" s="27" customFormat="1" ht="14" x14ac:dyDescent="0.3">
      <c r="A14" s="200" t="s">
        <v>272</v>
      </c>
      <c r="B14" s="182">
        <v>1</v>
      </c>
      <c r="C14" s="183">
        <v>20</v>
      </c>
      <c r="D14" s="183">
        <v>-5</v>
      </c>
      <c r="E14" s="167"/>
      <c r="F14" s="167"/>
      <c r="G14" s="167">
        <f>'Drip Tube Data'!$C$36</f>
        <v>2.9620563035495726</v>
      </c>
      <c r="H14" s="167"/>
      <c r="I14" s="167"/>
      <c r="J14" s="167">
        <f>0.4085*G14/(LOOKUP($B$14,Table5[OD  Inches],Table5[ID  Inches]))^2</f>
        <v>1.0995991461294568</v>
      </c>
      <c r="K14" s="167"/>
      <c r="L14" s="167">
        <f>0.2083*(100/$A$36)^1.852*G14^1.852/LOOKUP(B14,Table5[OD  Inches],Table5[ID  Inches])^4.866*0.433*'Step 3 - Zone TDH'!C14/100+M14</f>
        <v>-2.1146054659859401</v>
      </c>
      <c r="M14" s="167">
        <f>D14*0.433</f>
        <v>-2.165</v>
      </c>
      <c r="N14" s="167">
        <f>C14*0.04079905*LOOKUP(B14,Table5[OD  Inches],Table5[ID  Inches])^2</f>
        <v>0.89790630838100005</v>
      </c>
    </row>
    <row r="15" spans="1:15" s="27" customFormat="1" ht="13" x14ac:dyDescent="0.3">
      <c r="A15" s="200" t="s">
        <v>254</v>
      </c>
      <c r="B15" s="184"/>
      <c r="C15" s="184"/>
      <c r="D15" s="184"/>
      <c r="E15" s="167"/>
      <c r="F15" s="167"/>
      <c r="G15" s="167">
        <f>'Drip Tube Data'!$C$36</f>
        <v>2.9620563035495726</v>
      </c>
      <c r="H15" s="167"/>
      <c r="I15" s="167"/>
      <c r="J15" s="167"/>
      <c r="K15" s="167"/>
      <c r="L15" s="167">
        <f>LOOKUP(A4,'Headworks Data'!B15:G15,'Headworks Data'!B18:G18)</f>
        <v>4.5999999999999996</v>
      </c>
      <c r="M15" s="167"/>
      <c r="N15" s="167"/>
    </row>
    <row r="16" spans="1:15" s="27" customFormat="1" ht="14" x14ac:dyDescent="0.3">
      <c r="A16" s="200" t="s">
        <v>268</v>
      </c>
      <c r="B16" s="182">
        <v>1</v>
      </c>
      <c r="C16" s="183">
        <v>140</v>
      </c>
      <c r="D16" s="183">
        <v>-5</v>
      </c>
      <c r="E16" s="168"/>
      <c r="F16" s="168"/>
      <c r="G16" s="167">
        <f>'Drip Tube Data'!$C$36</f>
        <v>2.9620563035495726</v>
      </c>
      <c r="H16" s="167"/>
      <c r="I16" s="167"/>
      <c r="J16" s="167">
        <f>0.4085*G16/(LOOKUP($B$16,Table5[OD  Inches],Table5[ID  Inches]))^2</f>
        <v>1.0995991461294568</v>
      </c>
      <c r="K16" s="167"/>
      <c r="L16" s="167">
        <f>0.2083*(100/$A$36)^1.852*G16^1.852/LOOKUP(B16,Table5[OD  Inches],Table5[ID  Inches])^4.866*0.433*'Step 3 - Zone TDH'!C16/100+M16</f>
        <v>-1.8122382619015793</v>
      </c>
      <c r="M16" s="167">
        <f>D16*0.433</f>
        <v>-2.165</v>
      </c>
      <c r="N16" s="167">
        <f>C16*0.04079905*LOOKUP(B16,Table5[OD  Inches],Table5[ID  Inches])^2</f>
        <v>6.2853441586670007</v>
      </c>
    </row>
    <row r="17" spans="1:15" s="27" customFormat="1" ht="12.65" customHeight="1" x14ac:dyDescent="0.3">
      <c r="A17" s="200" t="s">
        <v>273</v>
      </c>
      <c r="B17" s="184"/>
      <c r="C17" s="184"/>
      <c r="D17" s="184"/>
      <c r="E17" s="167">
        <f>'Drip Tube Data'!C32</f>
        <v>1.8900000000000001</v>
      </c>
      <c r="F17" s="167">
        <f>'Drip Tube Data'!C34</f>
        <v>3.3710281517747864</v>
      </c>
      <c r="G17" s="167">
        <f>F17-E17</f>
        <v>1.4810281517747863</v>
      </c>
      <c r="H17" s="167"/>
      <c r="I17" s="167">
        <f>A6</f>
        <v>2</v>
      </c>
      <c r="J17" s="167"/>
      <c r="K17" s="167">
        <f>LOOKUP('Step 3 - Zone TDH'!A9,'Drip Tube Loss Calculator'!A26:A300,'Drip Tube Loss Calculator'!K26:K300)</f>
        <v>5.2655453879906284</v>
      </c>
      <c r="L17" s="167">
        <f>LOOKUP('Step 3 - Zone TDH'!A9,'Drip Tube Loss Calculator'!A26:A300,'Drip Tube Loss Calculator'!Y26:Y300)</f>
        <v>26.386670856732852</v>
      </c>
      <c r="M17" s="167"/>
      <c r="N17" s="167">
        <f>A9*'Drip Tube Data'!G29</f>
        <v>1.5550557907500002</v>
      </c>
    </row>
    <row r="18" spans="1:15" s="27" customFormat="1" ht="14" x14ac:dyDescent="0.3">
      <c r="A18" s="200" t="s">
        <v>274</v>
      </c>
      <c r="B18" s="182">
        <v>1</v>
      </c>
      <c r="C18" s="183">
        <v>0</v>
      </c>
      <c r="D18" s="183">
        <v>0</v>
      </c>
      <c r="E18" s="167">
        <f>'Drip Tube Data'!C33</f>
        <v>3.7800000000000002</v>
      </c>
      <c r="F18" s="167">
        <f>'Drip Tube Data'!C35</f>
        <v>6.7420563035495729</v>
      </c>
      <c r="G18" s="167"/>
      <c r="H18" s="167">
        <f ca="1">0.4085*E18/(LOOKUP($B18,'Pipe Data'!B4:B12,Table5[ID  Inches]))^2</f>
        <v>1.4032429995974196</v>
      </c>
      <c r="I18" s="167">
        <f>0.4085*F18/(LOOKUP($B18,Table5[OD  Inches],Table5[ID  Inches]))^2</f>
        <v>2.5028421457268766</v>
      </c>
      <c r="J18" s="167"/>
      <c r="K18" s="167">
        <f>0.2083*(100/$A$36)^1.852*E18^1.852/LOOKUP(B18,Table5[OD  Inches],Table5[ID  Inches])^4.866*0.433*'Step 3 - Zone TDH'!C18/100+M18</f>
        <v>0</v>
      </c>
      <c r="L18" s="167">
        <f>0.2083*(100/$A$36)^1.852*F18^1.852/LOOKUP(B18,Table5[OD  Inches],Table5[ID  Inches])^4.866*0.433*'Step 3 - Zone TDH'!C18/100+M18</f>
        <v>0</v>
      </c>
      <c r="M18" s="167">
        <f>D18*0.433</f>
        <v>0</v>
      </c>
      <c r="N18" s="167">
        <f>C18*0.04079905*LOOKUP(B18,Table5[OD  Inches],Table5[ID  Inches])^2</f>
        <v>0</v>
      </c>
    </row>
    <row r="19" spans="1:15" s="27" customFormat="1" ht="13" x14ac:dyDescent="0.3">
      <c r="A19" s="200" t="s">
        <v>270</v>
      </c>
      <c r="B19" s="184"/>
      <c r="C19" s="184"/>
      <c r="D19" s="184"/>
      <c r="E19" s="167"/>
      <c r="F19" s="167"/>
      <c r="G19" s="167"/>
      <c r="H19" s="167"/>
      <c r="I19" s="167"/>
      <c r="J19" s="167"/>
      <c r="K19" s="167">
        <f>LOOKUP(A5,Table1[#Headers],'Zone Valves Data'!C8:M8)</f>
        <v>0</v>
      </c>
      <c r="L19" s="167">
        <f>LOOKUP(A5,Table1[#Headers],'Zone Valves Data'!C9:M9)</f>
        <v>0</v>
      </c>
      <c r="M19" s="167"/>
      <c r="N19" s="167"/>
    </row>
    <row r="20" spans="1:15" s="27" customFormat="1" ht="14" x14ac:dyDescent="0.3">
      <c r="A20" s="200" t="s">
        <v>281</v>
      </c>
      <c r="B20" s="182">
        <v>1</v>
      </c>
      <c r="C20" s="183">
        <v>140</v>
      </c>
      <c r="D20" s="183">
        <v>5</v>
      </c>
      <c r="E20" s="167">
        <f>'Drip Tube Data'!$C$33</f>
        <v>3.7800000000000002</v>
      </c>
      <c r="F20" s="167">
        <f>'Drip Tube Data'!$C$35</f>
        <v>6.7420563035495729</v>
      </c>
      <c r="G20" s="167"/>
      <c r="H20" s="167">
        <f>0.4085*E20/(LOOKUP($B20,Table5[OD  Inches],Table5[ID  Inches]))^2</f>
        <v>1.4032429995974196</v>
      </c>
      <c r="I20" s="167">
        <f>0.4085*F20/(LOOKUP($B20,Table5[OD  Inches],Table5[ID  Inches]))^2</f>
        <v>2.5028421457268766</v>
      </c>
      <c r="J20" s="167"/>
      <c r="K20" s="167">
        <f>0.2083*(100/$A$36)^1.852*E20^1.852/LOOKUP(B20,Table5[OD  Inches],Table5[ID  Inches])^4.866*0.433*'Step 3 - Zone TDH'!C20/100+M20</f>
        <v>2.719122108325728</v>
      </c>
      <c r="L20" s="167">
        <f>0.2083*(100/$A$36)^1.852*F20^1.852/LOOKUP(B20,Table5[OD  Inches],Table5[ID  Inches])^4.866*0.433*'Step 3 - Zone TDH'!C20/100+M20</f>
        <v>3.7831327328506563</v>
      </c>
      <c r="M20" s="167">
        <f>D20*0.433</f>
        <v>2.165</v>
      </c>
      <c r="N20" s="167">
        <f>C20*0.04079905*LOOKUP(B20,Table5[OD  Inches],Table5[ID  Inches])^2</f>
        <v>6.2853441586670007</v>
      </c>
    </row>
    <row r="21" spans="1:15" s="27" customFormat="1" ht="13" x14ac:dyDescent="0.3">
      <c r="A21" s="200" t="s">
        <v>256</v>
      </c>
      <c r="B21" s="184"/>
      <c r="C21" s="184"/>
      <c r="D21" s="184"/>
      <c r="E21" s="167">
        <f>'Drip Tube Data'!$C$33</f>
        <v>3.7800000000000002</v>
      </c>
      <c r="F21" s="167">
        <f>'Drip Tube Data'!C34</f>
        <v>3.3710281517747864</v>
      </c>
      <c r="G21" s="167"/>
      <c r="H21" s="167"/>
      <c r="I21" s="167"/>
      <c r="J21" s="167"/>
      <c r="K21" s="167">
        <f>LOOKUP(A4,'Headworks Data'!B15:G15,'Headworks Data'!B16:G16)</f>
        <v>5.6399999999999988</v>
      </c>
      <c r="L21" s="167">
        <f>LOOKUP(A4,'Headworks Data'!B15:G15,'Headworks Data'!B17:G17)</f>
        <v>6.2999999999999972</v>
      </c>
      <c r="M21" s="167"/>
      <c r="N21" s="167"/>
    </row>
    <row r="22" spans="1:15" s="27" customFormat="1" ht="14" x14ac:dyDescent="0.3">
      <c r="A22" s="200" t="s">
        <v>271</v>
      </c>
      <c r="B22" s="182">
        <v>1</v>
      </c>
      <c r="C22" s="183">
        <v>20</v>
      </c>
      <c r="D22" s="183">
        <v>5</v>
      </c>
      <c r="E22" s="167">
        <f>'Drip Tube Data'!$C$33</f>
        <v>3.7800000000000002</v>
      </c>
      <c r="F22" s="167">
        <f>'Drip Tube Data'!C35</f>
        <v>6.7420563035495729</v>
      </c>
      <c r="G22" s="167"/>
      <c r="H22" s="167">
        <f>0.4085*E22/(LOOKUP(B22,Table5[OD  Inches],Table5[ID  Inches]))^2</f>
        <v>1.4032429995974196</v>
      </c>
      <c r="I22" s="167">
        <f>0.4085*F22/(LOOKUP($B$22,Table5[OD  Inches],Table5[ID  Inches]))^2</f>
        <v>2.5028421457268766</v>
      </c>
      <c r="J22" s="167"/>
      <c r="K22" s="167">
        <f>0.2083*(100/$A$36)^1.852*E22^1.852/LOOKUP(B22,Table5[OD  Inches],Table5[ID  Inches])^4.866*0.433*'Step 3 - Zone TDH'!C22/100+M22</f>
        <v>2.2441603011893898</v>
      </c>
      <c r="L22" s="167">
        <f>0.2083*(100/$A$36)^1.852*F22^1.852/LOOKUP(B22,Table5[OD  Inches],Table5[ID  Inches])^4.866*0.433*'Step 3 - Zone TDH'!C22/100+M22</f>
        <v>2.3961618189786651</v>
      </c>
      <c r="M22" s="167">
        <f>D22*0.433</f>
        <v>2.165</v>
      </c>
      <c r="N22" s="167">
        <f>C22*0.04079905*LOOKUP(B22,Table5[OD  Inches],Table5[ID  Inches])^2</f>
        <v>0.89790630838100005</v>
      </c>
    </row>
    <row r="23" spans="1:15" s="164" customFormat="1" ht="5.5" x14ac:dyDescent="0.15">
      <c r="B23" s="172"/>
      <c r="E23" s="173"/>
      <c r="F23" s="173"/>
      <c r="G23" s="173"/>
      <c r="H23" s="174"/>
      <c r="I23" s="174"/>
      <c r="J23" s="174"/>
      <c r="K23" s="173"/>
      <c r="L23" s="173"/>
      <c r="M23" s="174"/>
      <c r="N23" s="175"/>
    </row>
    <row r="24" spans="1:15" s="27" customFormat="1" ht="13" x14ac:dyDescent="0.3">
      <c r="A24" s="27">
        <v>1</v>
      </c>
      <c r="B24" s="27" t="s">
        <v>257</v>
      </c>
      <c r="H24" s="27">
        <v>6</v>
      </c>
      <c r="I24" s="27" t="s">
        <v>278</v>
      </c>
      <c r="J24" s="150"/>
      <c r="K24" s="149"/>
      <c r="L24" s="149"/>
      <c r="M24" s="150"/>
      <c r="N24" s="149"/>
    </row>
    <row r="25" spans="1:15" s="27" customFormat="1" ht="13" x14ac:dyDescent="0.3">
      <c r="A25" s="27">
        <v>2</v>
      </c>
      <c r="B25" s="27" t="s">
        <v>117</v>
      </c>
      <c r="H25" s="27">
        <v>7</v>
      </c>
      <c r="I25" s="27" t="s">
        <v>279</v>
      </c>
      <c r="J25" s="150"/>
      <c r="K25" s="149"/>
      <c r="L25" s="149"/>
      <c r="M25" s="150"/>
      <c r="N25" s="149"/>
    </row>
    <row r="26" spans="1:15" s="27" customFormat="1" ht="13" x14ac:dyDescent="0.3">
      <c r="A26" s="27">
        <v>3</v>
      </c>
      <c r="B26" s="27" t="s">
        <v>275</v>
      </c>
      <c r="H26" s="27">
        <v>8</v>
      </c>
      <c r="I26" s="27" t="s">
        <v>117</v>
      </c>
      <c r="J26" s="150"/>
      <c r="K26" s="149"/>
      <c r="L26" s="149"/>
      <c r="M26" s="150"/>
      <c r="N26" s="149"/>
    </row>
    <row r="27" spans="1:15" s="27" customFormat="1" ht="13" x14ac:dyDescent="0.3">
      <c r="A27" s="27">
        <v>4</v>
      </c>
      <c r="B27" s="27" t="s">
        <v>276</v>
      </c>
      <c r="H27" s="27">
        <v>9</v>
      </c>
      <c r="I27" s="27" t="s">
        <v>279</v>
      </c>
      <c r="J27" s="150"/>
      <c r="K27" s="149"/>
      <c r="L27" s="149"/>
      <c r="M27" s="150"/>
      <c r="N27" s="149"/>
    </row>
    <row r="28" spans="1:15" s="27" customFormat="1" ht="13" x14ac:dyDescent="0.3">
      <c r="A28" s="27">
        <v>5</v>
      </c>
      <c r="B28" s="27" t="s">
        <v>277</v>
      </c>
      <c r="J28" s="150"/>
      <c r="K28" s="149"/>
      <c r="L28" s="149"/>
      <c r="M28" s="150"/>
      <c r="N28" s="149"/>
    </row>
    <row r="29" spans="1:15" s="164" customFormat="1" ht="5.5" x14ac:dyDescent="0.15">
      <c r="A29" s="174"/>
      <c r="B29" s="172"/>
      <c r="E29" s="174"/>
      <c r="F29" s="174"/>
      <c r="G29" s="174"/>
      <c r="H29" s="174"/>
      <c r="I29" s="174"/>
      <c r="J29" s="176"/>
      <c r="K29" s="174"/>
      <c r="L29" s="174"/>
      <c r="M29" s="176"/>
      <c r="N29" s="174"/>
    </row>
    <row r="30" spans="1:15" s="27" customFormat="1" ht="13" x14ac:dyDescent="0.3">
      <c r="A30" s="151">
        <f>MAX(E14:E22)</f>
        <v>3.7800000000000002</v>
      </c>
      <c r="B30" s="194" t="s">
        <v>259</v>
      </c>
      <c r="C30" s="152"/>
      <c r="D30" s="152"/>
      <c r="E30" s="153"/>
      <c r="F30" s="153"/>
      <c r="G30" s="153"/>
      <c r="H30" s="153"/>
      <c r="I30" s="153"/>
      <c r="J30" s="154"/>
      <c r="K30" s="153"/>
      <c r="L30" s="153"/>
      <c r="M30" s="154"/>
      <c r="N30" s="153"/>
      <c r="O30" s="161"/>
    </row>
    <row r="31" spans="1:15" s="27" customFormat="1" ht="13" x14ac:dyDescent="0.3">
      <c r="A31" s="155">
        <f>A7+((SUM(K17:K22))*A37)</f>
        <v>37.455710577256319</v>
      </c>
      <c r="B31" s="195" t="s">
        <v>260</v>
      </c>
      <c r="E31" s="149"/>
      <c r="F31" s="149"/>
      <c r="G31" s="149"/>
      <c r="H31" s="198">
        <f>A31*2.31</f>
        <v>86.5226914334621</v>
      </c>
      <c r="I31" s="195" t="s">
        <v>264</v>
      </c>
      <c r="J31" s="150"/>
      <c r="K31" s="149"/>
      <c r="L31" s="149"/>
      <c r="M31" s="150"/>
      <c r="N31" s="149"/>
      <c r="O31" s="162"/>
    </row>
    <row r="32" spans="1:15" s="27" customFormat="1" ht="13" x14ac:dyDescent="0.3">
      <c r="A32" s="155">
        <f>MAX(F14:F22)</f>
        <v>6.7420563035495729</v>
      </c>
      <c r="B32" s="195" t="s">
        <v>261</v>
      </c>
      <c r="E32" s="149"/>
      <c r="F32" s="149"/>
      <c r="G32" s="149"/>
      <c r="H32" s="149"/>
      <c r="I32" s="149"/>
      <c r="J32" s="150"/>
      <c r="K32" s="149"/>
      <c r="L32" s="149"/>
      <c r="M32" s="150"/>
      <c r="N32" s="149"/>
      <c r="O32" s="162"/>
    </row>
    <row r="33" spans="1:18" s="27" customFormat="1" ht="13" x14ac:dyDescent="0.3">
      <c r="A33" s="155">
        <f>A7+((SUM(L14:L22))*A37)</f>
        <v>63.493033848742115</v>
      </c>
      <c r="B33" s="195" t="s">
        <v>262</v>
      </c>
      <c r="E33" s="149"/>
      <c r="F33" s="149"/>
      <c r="G33" s="149"/>
      <c r="H33" s="198">
        <f>A33*2.31</f>
        <v>146.66890819059429</v>
      </c>
      <c r="I33" s="195" t="s">
        <v>265</v>
      </c>
      <c r="J33" s="150"/>
      <c r="K33" s="149"/>
      <c r="L33" s="149"/>
      <c r="M33" s="150"/>
      <c r="N33" s="149"/>
      <c r="O33" s="162"/>
    </row>
    <row r="34" spans="1:18" s="27" customFormat="1" ht="13" x14ac:dyDescent="0.3">
      <c r="A34" s="156">
        <f>SUM(N14:N22)-N17+(A11*'Drip Tube Data'!G29)</f>
        <v>17.476612515596003</v>
      </c>
      <c r="B34" s="196" t="s">
        <v>263</v>
      </c>
      <c r="C34" s="157"/>
      <c r="D34" s="157"/>
      <c r="E34" s="158"/>
      <c r="F34" s="158"/>
      <c r="G34" s="158"/>
      <c r="H34" s="158"/>
      <c r="I34" s="158"/>
      <c r="J34" s="159"/>
      <c r="K34" s="158"/>
      <c r="L34" s="158"/>
      <c r="M34" s="159"/>
      <c r="N34" s="158"/>
      <c r="O34" s="163"/>
    </row>
    <row r="35" spans="1:18" s="164" customFormat="1" ht="5.5" x14ac:dyDescent="0.15"/>
    <row r="36" spans="1:18" s="27" customFormat="1" ht="13" x14ac:dyDescent="0.3">
      <c r="A36" s="193">
        <v>150</v>
      </c>
      <c r="B36" s="152" t="s">
        <v>252</v>
      </c>
      <c r="C36" s="152"/>
      <c r="D36" s="152"/>
      <c r="E36" s="152"/>
      <c r="F36" s="152"/>
      <c r="G36" s="152"/>
      <c r="H36" s="152"/>
      <c r="I36" s="152"/>
      <c r="J36" s="152"/>
      <c r="K36" s="152"/>
      <c r="L36" s="152"/>
      <c r="M36" s="152"/>
      <c r="N36" s="152"/>
      <c r="O36" s="161"/>
    </row>
    <row r="37" spans="1:18" s="27" customFormat="1" ht="13.5" thickBot="1" x14ac:dyDescent="0.35">
      <c r="A37" s="192">
        <v>1.1000000000000001</v>
      </c>
      <c r="B37" s="27" t="s">
        <v>251</v>
      </c>
      <c r="O37" s="162"/>
    </row>
    <row r="38" spans="1:18" s="27" customFormat="1" ht="13.5" thickBot="1" x14ac:dyDescent="0.35">
      <c r="A38" s="170" t="s">
        <v>232</v>
      </c>
      <c r="B38" s="27" t="s">
        <v>233</v>
      </c>
      <c r="O38" s="162"/>
    </row>
    <row r="39" spans="1:18" s="27" customFormat="1" ht="13" x14ac:dyDescent="0.3">
      <c r="A39" s="216" t="s">
        <v>231</v>
      </c>
      <c r="B39" s="27" t="s">
        <v>230</v>
      </c>
      <c r="O39" s="162"/>
    </row>
    <row r="40" spans="1:18" s="27" customFormat="1" ht="13" x14ac:dyDescent="0.3">
      <c r="A40" s="169"/>
      <c r="B40" s="27" t="s">
        <v>234</v>
      </c>
      <c r="O40" s="162"/>
    </row>
    <row r="41" spans="1:18" s="27" customFormat="1" ht="26.15" customHeight="1" x14ac:dyDescent="0.3">
      <c r="A41" s="171"/>
      <c r="B41" s="280" t="s">
        <v>266</v>
      </c>
      <c r="C41" s="280"/>
      <c r="D41" s="280"/>
      <c r="E41" s="280"/>
      <c r="F41" s="280"/>
      <c r="G41" s="280"/>
      <c r="H41" s="280"/>
      <c r="I41" s="280"/>
      <c r="J41" s="280"/>
      <c r="K41" s="280"/>
      <c r="L41" s="280"/>
      <c r="M41" s="280"/>
      <c r="N41" s="280"/>
      <c r="O41" s="281"/>
      <c r="P41" s="160"/>
      <c r="Q41" s="160"/>
      <c r="R41" s="160"/>
    </row>
    <row r="42" spans="1:18" s="27" customFormat="1" ht="13" x14ac:dyDescent="0.3"/>
    <row r="43" spans="1:18" s="27" customFormat="1" ht="13" x14ac:dyDescent="0.3">
      <c r="B43" s="274" t="s">
        <v>307</v>
      </c>
      <c r="C43" s="275"/>
      <c r="D43" s="275"/>
      <c r="E43" s="275"/>
      <c r="F43" s="275"/>
      <c r="G43" s="275"/>
      <c r="H43" s="275"/>
      <c r="I43" s="276"/>
    </row>
    <row r="44" spans="1:18" s="27" customFormat="1" ht="13" x14ac:dyDescent="0.3">
      <c r="B44" s="226" t="str">
        <f>'Pump Data'!B8</f>
        <v>Little Giant</v>
      </c>
      <c r="C44" s="226" t="str">
        <f>'Pump Data'!C8</f>
        <v>Blaster</v>
      </c>
      <c r="D44" s="226" t="str">
        <f>'Pump Data'!D8</f>
        <v>Ashland CPM</v>
      </c>
      <c r="E44" s="271" t="str">
        <f>'Pump Data'!E8:I8</f>
        <v>Zoeller</v>
      </c>
      <c r="F44" s="272"/>
      <c r="G44" s="272"/>
      <c r="H44" s="272"/>
      <c r="I44" s="273"/>
    </row>
    <row r="45" spans="1:18" s="27" customFormat="1" ht="13" x14ac:dyDescent="0.3">
      <c r="A45" s="215" t="s">
        <v>308</v>
      </c>
      <c r="B45" s="227" t="str">
        <f>'Pump Data'!B9</f>
        <v>20XC1-05P4</v>
      </c>
      <c r="C45" s="227" t="str">
        <f>'Pump Data'!C9</f>
        <v>20EB05</v>
      </c>
      <c r="D45" s="227" t="str">
        <f>'Pump Data'!D9</f>
        <v>20+ 1/2hp</v>
      </c>
      <c r="E45" s="217" t="str">
        <f>'Pump Data'!E9</f>
        <v>5030 7S-1/2hp</v>
      </c>
      <c r="F45" s="218" t="str">
        <f>'Pump Data'!F9</f>
        <v>5031 5S-1/2hp</v>
      </c>
      <c r="G45" s="218" t="str">
        <f>'Pump Data'!G9</f>
        <v>5031 9S-1hp</v>
      </c>
      <c r="H45" s="218" t="str">
        <f>'Pump Data'!H9</f>
        <v>5032 4S-1/2hp</v>
      </c>
      <c r="I45" s="219" t="str">
        <f>'Pump Data'!I9</f>
        <v>5032 7S-1hp</v>
      </c>
    </row>
    <row r="46" spans="1:18" s="142" customFormat="1" ht="13" x14ac:dyDescent="0.3">
      <c r="A46" s="215" t="s">
        <v>309</v>
      </c>
      <c r="B46" s="228">
        <f>'Pump Data'!B13</f>
        <v>163.20000000000002</v>
      </c>
      <c r="C46" s="228">
        <f>'Pump Data'!C13</f>
        <v>154.40000000000003</v>
      </c>
      <c r="D46" s="228">
        <f>'Pump Data'!D13</f>
        <v>164</v>
      </c>
      <c r="E46" s="220">
        <f>'Pump Data'!E13</f>
        <v>235</v>
      </c>
      <c r="F46" s="221">
        <f>'Pump Data'!F13</f>
        <v>154</v>
      </c>
      <c r="G46" s="221">
        <f>'Pump Data'!G13</f>
        <v>269</v>
      </c>
      <c r="H46" s="221">
        <f>'Pump Data'!H13</f>
        <v>119.60000000000001</v>
      </c>
      <c r="I46" s="222">
        <f>'Pump Data'!I13</f>
        <v>220.79999999999998</v>
      </c>
    </row>
    <row r="47" spans="1:18" s="142" customFormat="1" ht="13" x14ac:dyDescent="0.3">
      <c r="A47" s="215" t="s">
        <v>310</v>
      </c>
      <c r="B47" s="229">
        <f>'Pump Data'!B14</f>
        <v>157.4</v>
      </c>
      <c r="C47" s="229">
        <f>'Pump Data'!C14</f>
        <v>150.6</v>
      </c>
      <c r="D47" s="229">
        <f>'Pump Data'!D14</f>
        <v>157.4</v>
      </c>
      <c r="E47" s="223">
        <f>'Pump Data'!E14</f>
        <v>220</v>
      </c>
      <c r="F47" s="224">
        <f>'Pump Data'!F14</f>
        <v>148</v>
      </c>
      <c r="G47" s="224">
        <f>'Pump Data'!G14</f>
        <v>261</v>
      </c>
      <c r="H47" s="224" t="str">
        <f>'Pump Data'!H14</f>
        <v>NO</v>
      </c>
      <c r="I47" s="225">
        <f>'Pump Data'!I14</f>
        <v>219.2</v>
      </c>
    </row>
    <row r="48" spans="1:18" s="27" customFormat="1" ht="13" x14ac:dyDescent="0.3"/>
    <row r="49" spans="2:9" s="27" customFormat="1" ht="13" x14ac:dyDescent="0.3"/>
    <row r="50" spans="2:9" s="27" customFormat="1" ht="13" x14ac:dyDescent="0.3"/>
    <row r="57" spans="2:9" x14ac:dyDescent="0.25">
      <c r="B57" s="207"/>
      <c r="C57" s="207"/>
      <c r="D57" s="207"/>
      <c r="E57" s="239"/>
      <c r="F57" s="239"/>
      <c r="G57" s="239"/>
      <c r="H57" s="239"/>
      <c r="I57" s="239"/>
    </row>
    <row r="58" spans="2:9" x14ac:dyDescent="0.25">
      <c r="B58" s="208"/>
      <c r="C58" s="208"/>
      <c r="D58" s="208"/>
      <c r="E58" s="208"/>
      <c r="F58" s="208"/>
      <c r="G58" s="208"/>
      <c r="H58" s="208"/>
      <c r="I58" s="208"/>
    </row>
    <row r="59" spans="2:9" x14ac:dyDescent="0.25">
      <c r="B59" s="213"/>
      <c r="C59" s="213"/>
      <c r="D59" s="213"/>
      <c r="E59" s="213"/>
      <c r="F59" s="213"/>
      <c r="G59" s="213"/>
      <c r="H59" s="213"/>
      <c r="I59" s="213"/>
    </row>
    <row r="60" spans="2:9" x14ac:dyDescent="0.25">
      <c r="B60" s="213"/>
      <c r="C60" s="213"/>
      <c r="D60" s="213"/>
      <c r="E60" s="213"/>
      <c r="F60" s="213"/>
      <c r="G60" s="213"/>
      <c r="H60" s="213"/>
      <c r="I60" s="213"/>
    </row>
  </sheetData>
  <sheetProtection algorithmName="SHA-512" hashValue="/utR4n5Hg1j+7U3E0hMXTZpuq2oaKB1py91s4+328nippbsf8dcdAWc58MoG7frk3oqt18HIAiK40MjKuFmDgg==" saltValue="LLlrIR09mahpdMVll5ajSA==" spinCount="100000" sheet="1" objects="1" scenarios="1"/>
  <mergeCells count="16">
    <mergeCell ref="E57:I57"/>
    <mergeCell ref="E44:I44"/>
    <mergeCell ref="B43:I43"/>
    <mergeCell ref="A1:O1"/>
    <mergeCell ref="A2:O2"/>
    <mergeCell ref="L3:M3"/>
    <mergeCell ref="B9:E9"/>
    <mergeCell ref="B10:E10"/>
    <mergeCell ref="B41:O41"/>
    <mergeCell ref="B11:E11"/>
    <mergeCell ref="B3:E3"/>
    <mergeCell ref="B4:E4"/>
    <mergeCell ref="B5:E5"/>
    <mergeCell ref="B6:E6"/>
    <mergeCell ref="B7:E7"/>
    <mergeCell ref="B8:E8"/>
  </mergeCells>
  <pageMargins left="0.5" right="0.25" top="0.25" bottom="0.25" header="0.3" footer="0.3"/>
  <pageSetup paperSize="3" orientation="landscape" horizontalDpi="1200" verticalDpi="1200" r:id="rId1"/>
  <ignoredErrors>
    <ignoredError sqref="N17" formula="1"/>
  </ignoredErrors>
  <drawing r:id="rId2"/>
  <legacyDrawing r:id="rId3"/>
  <extLst>
    <ext xmlns:x14="http://schemas.microsoft.com/office/spreadsheetml/2009/9/main" uri="{CCE6A557-97BC-4b89-ADB6-D9C93CAAB3DF}">
      <x14:dataValidations xmlns:xm="http://schemas.microsoft.com/office/excel/2006/main" disablePrompts="1" count="8">
        <x14:dataValidation type="list" allowBlank="1" showInputMessage="1" showErrorMessage="1" xr:uid="{D378E44F-324C-4063-8D35-7DD70AB70822}">
          <x14:formula1>
            <xm:f>'Drip Tube Data'!$B$4:$B$13</xm:f>
          </x14:formula1>
          <xm:sqref>A3</xm:sqref>
        </x14:dataValidation>
        <x14:dataValidation type="list" allowBlank="1" showInputMessage="1" showErrorMessage="1" xr:uid="{4DEF7070-84AB-4C71-BA12-19B60AB1E23F}">
          <x14:formula1>
            <xm:f>'Headworks Data'!$B$8:$B$13</xm:f>
          </x14:formula1>
          <xm:sqref>A4</xm:sqref>
        </x14:dataValidation>
        <x14:dataValidation type="list" allowBlank="1" showInputMessage="1" showErrorMessage="1" xr:uid="{7291CC07-9061-4EDC-B1A8-79E2D6AB4A9C}">
          <x14:formula1>
            <xm:f>'Zone Valves Data'!$C$7:$M$7</xm:f>
          </x14:formula1>
          <xm:sqref>A5</xm:sqref>
        </x14:dataValidation>
        <x14:dataValidation type="list" allowBlank="1" showInputMessage="1" showErrorMessage="1" xr:uid="{6E03E4BE-8B60-456E-AF13-71233A7BF3C5}">
          <x14:formula1>
            <xm:f>'Drip Tube Data'!$D$17:$D$22</xm:f>
          </x14:formula1>
          <xm:sqref>A6</xm:sqref>
        </x14:dataValidation>
        <x14:dataValidation type="list" allowBlank="1" showInputMessage="1" showErrorMessage="1" xr:uid="{B560B4FA-9FDB-401B-836B-356936897A82}">
          <x14:formula1>
            <xm:f>'Drip Tube Data'!$B$17:$B$22</xm:f>
          </x14:formula1>
          <xm:sqref>A7</xm:sqref>
        </x14:dataValidation>
        <x14:dataValidation type="list" allowBlank="1" showInputMessage="1" showErrorMessage="1" xr:uid="{1A6C9A96-4D93-428D-BE9B-B4BFBD4BFCE8}">
          <x14:formula1>
            <xm:f>'Drip Tube Data'!$C$17:$C$22</xm:f>
          </x14:formula1>
          <xm:sqref>A8</xm:sqref>
        </x14:dataValidation>
        <x14:dataValidation type="list" allowBlank="1" showInputMessage="1" showErrorMessage="1" xr:uid="{F90E49F7-00C4-4155-9462-2C33A859FEA5}">
          <x14:formula1>
            <xm:f>'Pipe Data'!$B$4:$B$13</xm:f>
          </x14:formula1>
          <xm:sqref>B14 B16 B18 B20 B22</xm:sqref>
        </x14:dataValidation>
        <x14:dataValidation type="custom" allowBlank="1" showInputMessage="1" showErrorMessage="1" errorTitle="Contact Geoflow Engineering" error="Contact Geoflow Engineering!_x000a_800.828.3388_x000a_2 - foot emitter spacing &lt; = 300_x000a_feet_x000a_1 - foot emitter spacing &lt; = 150_x000a_feet" xr:uid="{1A1A3C78-0A39-496D-A911-8D28A7ACBFB0}">
          <x14:formula1>
            <xm:f>IF('Drip Tube Data'!D29=1,IF(A9&lt;=150,TRUE,FALSE),IF('Drip Tube Data'!D29=2,IF(A9&lt;=300,TRUE,FALSE)))</xm:f>
          </x14:formula1>
          <xm:sqref>A9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29A68-9F20-49B2-A442-9FEA8C31DC86}">
  <dimension ref="A3:I57"/>
  <sheetViews>
    <sheetView zoomScale="118" zoomScaleNormal="118" workbookViewId="0">
      <selection activeCell="K52" sqref="K52"/>
    </sheetView>
  </sheetViews>
  <sheetFormatPr defaultColWidth="8.7265625" defaultRowHeight="12.5" x14ac:dyDescent="0.25"/>
  <cols>
    <col min="1" max="1" width="8.7265625" style="1"/>
    <col min="2" max="2" width="12.453125" style="1" bestFit="1" customWidth="1"/>
    <col min="3" max="3" width="11.1796875" style="1" bestFit="1" customWidth="1"/>
    <col min="4" max="4" width="12.7265625" style="1" bestFit="1" customWidth="1"/>
    <col min="5" max="6" width="13.7265625" style="1" bestFit="1" customWidth="1"/>
    <col min="7" max="7" width="12.1796875" style="1" bestFit="1" customWidth="1"/>
    <col min="8" max="8" width="13.7265625" style="1" bestFit="1" customWidth="1"/>
    <col min="9" max="9" width="12.1796875" style="1" bestFit="1" customWidth="1"/>
    <col min="10" max="16384" width="8.7265625" style="1"/>
  </cols>
  <sheetData>
    <row r="3" spans="1:9" ht="13" x14ac:dyDescent="0.3">
      <c r="A3" s="3">
        <v>1</v>
      </c>
      <c r="B3" s="3">
        <f>'Step 3 - Zone TDH'!A30</f>
        <v>3.7800000000000002</v>
      </c>
      <c r="C3" s="209" t="s">
        <v>259</v>
      </c>
    </row>
    <row r="4" spans="1:9" ht="13" x14ac:dyDescent="0.3">
      <c r="A4" s="3">
        <v>2</v>
      </c>
      <c r="B4" s="3">
        <f>'Step 3 - Zone TDH'!A32</f>
        <v>6.7420563035495729</v>
      </c>
      <c r="C4" s="210" t="s">
        <v>261</v>
      </c>
    </row>
    <row r="5" spans="1:9" ht="13" x14ac:dyDescent="0.3">
      <c r="A5" s="3">
        <v>3</v>
      </c>
      <c r="B5" s="3">
        <f>'Step 3 - Zone TDH'!A31*2.31</f>
        <v>86.5226914334621</v>
      </c>
      <c r="C5" s="210" t="s">
        <v>264</v>
      </c>
    </row>
    <row r="6" spans="1:9" ht="13" x14ac:dyDescent="0.3">
      <c r="A6" s="3">
        <v>4</v>
      </c>
      <c r="B6" s="3">
        <f>'Step 3 - Zone TDH'!A33*2.31</f>
        <v>146.66890819059429</v>
      </c>
      <c r="C6" s="210" t="s">
        <v>265</v>
      </c>
    </row>
    <row r="7" spans="1:9" ht="13" x14ac:dyDescent="0.3">
      <c r="A7" s="19"/>
      <c r="B7" s="210"/>
    </row>
    <row r="8" spans="1:9" x14ac:dyDescent="0.25">
      <c r="A8" s="19"/>
      <c r="B8" s="51" t="s">
        <v>296</v>
      </c>
      <c r="C8" s="51" t="s">
        <v>297</v>
      </c>
      <c r="D8" s="1" t="s">
        <v>299</v>
      </c>
      <c r="E8" s="239" t="s">
        <v>301</v>
      </c>
      <c r="F8" s="239"/>
      <c r="G8" s="239"/>
      <c r="H8" s="239"/>
      <c r="I8" s="239"/>
    </row>
    <row r="9" spans="1:9" x14ac:dyDescent="0.25">
      <c r="A9" s="19"/>
      <c r="B9" s="57" t="s">
        <v>295</v>
      </c>
      <c r="C9" s="51" t="s">
        <v>298</v>
      </c>
      <c r="D9" s="51" t="s">
        <v>300</v>
      </c>
      <c r="E9" s="1" t="s">
        <v>302</v>
      </c>
      <c r="F9" s="16" t="s">
        <v>303</v>
      </c>
      <c r="G9" s="16" t="s">
        <v>304</v>
      </c>
      <c r="H9" s="16" t="s">
        <v>305</v>
      </c>
      <c r="I9" s="16" t="s">
        <v>306</v>
      </c>
    </row>
    <row r="10" spans="1:9" ht="13" x14ac:dyDescent="0.3">
      <c r="A10" s="3">
        <v>3</v>
      </c>
      <c r="B10" s="211">
        <f t="shared" ref="B10:I10" si="0">LOOKUP($B$3,$A$23:$A$57,B23:B57)</f>
        <v>163.20000000000002</v>
      </c>
      <c r="C10" s="211">
        <f t="shared" si="0"/>
        <v>154.40000000000003</v>
      </c>
      <c r="D10" s="211">
        <f t="shared" si="0"/>
        <v>164</v>
      </c>
      <c r="E10" s="211">
        <f t="shared" si="0"/>
        <v>235</v>
      </c>
      <c r="F10" s="211">
        <f t="shared" si="0"/>
        <v>154</v>
      </c>
      <c r="G10" s="211">
        <f t="shared" si="0"/>
        <v>269</v>
      </c>
      <c r="H10" s="211">
        <f t="shared" si="0"/>
        <v>119.60000000000001</v>
      </c>
      <c r="I10" s="211">
        <f t="shared" si="0"/>
        <v>220.79999999999998</v>
      </c>
    </row>
    <row r="11" spans="1:9" ht="13" x14ac:dyDescent="0.3">
      <c r="A11" s="3">
        <v>4</v>
      </c>
      <c r="B11" s="211">
        <f t="shared" ref="B11:I11" si="1">LOOKUP($B$4,$A$23:$A$57,B23:B57)</f>
        <v>157.4</v>
      </c>
      <c r="C11" s="211">
        <f t="shared" si="1"/>
        <v>150.6</v>
      </c>
      <c r="D11" s="211">
        <f t="shared" si="1"/>
        <v>157.4</v>
      </c>
      <c r="E11" s="211">
        <f t="shared" si="1"/>
        <v>220</v>
      </c>
      <c r="F11" s="211">
        <f t="shared" si="1"/>
        <v>148</v>
      </c>
      <c r="G11" s="211">
        <f t="shared" si="1"/>
        <v>261</v>
      </c>
      <c r="H11" s="211">
        <f t="shared" si="1"/>
        <v>116.8</v>
      </c>
      <c r="I11" s="211">
        <f t="shared" si="1"/>
        <v>219.2</v>
      </c>
    </row>
    <row r="12" spans="1:9" ht="13" x14ac:dyDescent="0.3">
      <c r="A12" s="3"/>
      <c r="B12" s="212"/>
      <c r="C12" s="51"/>
      <c r="D12" s="51"/>
      <c r="E12" s="51"/>
      <c r="F12" s="51"/>
      <c r="G12" s="51"/>
      <c r="H12" s="51"/>
      <c r="I12" s="51"/>
    </row>
    <row r="13" spans="1:9" ht="13" x14ac:dyDescent="0.3">
      <c r="A13" s="3"/>
      <c r="B13" s="211">
        <f>IF(B10&gt;$B$5,B10,"NO")</f>
        <v>163.20000000000002</v>
      </c>
      <c r="C13" s="211">
        <f>IF(C10&gt;$B$5,C10,"NO")</f>
        <v>154.40000000000003</v>
      </c>
      <c r="D13" s="211">
        <f t="shared" ref="D13:I13" si="2">IF(D10&gt;$B$5,D10,"NO")</f>
        <v>164</v>
      </c>
      <c r="E13" s="211">
        <f t="shared" si="2"/>
        <v>235</v>
      </c>
      <c r="F13" s="211">
        <f t="shared" si="2"/>
        <v>154</v>
      </c>
      <c r="G13" s="211">
        <f t="shared" si="2"/>
        <v>269</v>
      </c>
      <c r="H13" s="211">
        <f t="shared" si="2"/>
        <v>119.60000000000001</v>
      </c>
      <c r="I13" s="211">
        <f t="shared" si="2"/>
        <v>220.79999999999998</v>
      </c>
    </row>
    <row r="14" spans="1:9" ht="13" x14ac:dyDescent="0.3">
      <c r="A14" s="19"/>
      <c r="B14" s="211">
        <f>IF(B11&gt;$B$6,B11,"NO")</f>
        <v>157.4</v>
      </c>
      <c r="C14" s="211">
        <f>IF(C11&gt;$B$6,C11,"NO")</f>
        <v>150.6</v>
      </c>
      <c r="D14" s="211">
        <f t="shared" ref="D14:I14" si="3">IF(D11&gt;$B$6,D11,"NO")</f>
        <v>157.4</v>
      </c>
      <c r="E14" s="211">
        <f t="shared" si="3"/>
        <v>220</v>
      </c>
      <c r="F14" s="211">
        <f t="shared" si="3"/>
        <v>148</v>
      </c>
      <c r="G14" s="211">
        <f t="shared" si="3"/>
        <v>261</v>
      </c>
      <c r="H14" s="211" t="str">
        <f t="shared" si="3"/>
        <v>NO</v>
      </c>
      <c r="I14" s="211">
        <f t="shared" si="3"/>
        <v>219.2</v>
      </c>
    </row>
    <row r="20" spans="1:9" x14ac:dyDescent="0.25">
      <c r="B20" s="51" t="s">
        <v>296</v>
      </c>
      <c r="C20" s="51" t="s">
        <v>297</v>
      </c>
      <c r="D20" s="1" t="s">
        <v>299</v>
      </c>
      <c r="E20" s="239" t="s">
        <v>301</v>
      </c>
      <c r="F20" s="239"/>
      <c r="G20" s="239"/>
      <c r="H20" s="239"/>
      <c r="I20" s="239"/>
    </row>
    <row r="21" spans="1:9" x14ac:dyDescent="0.25">
      <c r="A21" s="51" t="s">
        <v>76</v>
      </c>
      <c r="B21" s="57" t="s">
        <v>295</v>
      </c>
      <c r="C21" s="51" t="s">
        <v>298</v>
      </c>
      <c r="D21" s="51" t="s">
        <v>300</v>
      </c>
      <c r="E21" s="1" t="s">
        <v>302</v>
      </c>
      <c r="F21" s="16" t="s">
        <v>303</v>
      </c>
      <c r="G21" s="16" t="s">
        <v>304</v>
      </c>
      <c r="H21" s="16" t="s">
        <v>305</v>
      </c>
      <c r="I21" s="16" t="s">
        <v>306</v>
      </c>
    </row>
    <row r="22" spans="1:9" x14ac:dyDescent="0.25">
      <c r="A22" s="51" t="s">
        <v>5</v>
      </c>
      <c r="B22" s="287" t="s">
        <v>294</v>
      </c>
      <c r="C22" s="287"/>
      <c r="D22" s="287"/>
      <c r="E22" s="287"/>
      <c r="F22" s="287"/>
      <c r="G22" s="287"/>
      <c r="H22" s="287"/>
      <c r="I22" s="287"/>
    </row>
    <row r="23" spans="1:9" x14ac:dyDescent="0.25">
      <c r="A23" s="213">
        <v>0</v>
      </c>
      <c r="B23" s="213">
        <v>168</v>
      </c>
      <c r="C23" s="214">
        <v>158</v>
      </c>
      <c r="D23" s="213">
        <v>170</v>
      </c>
      <c r="E23" s="213">
        <v>245</v>
      </c>
      <c r="F23" s="213">
        <v>160</v>
      </c>
      <c r="G23" s="213">
        <v>275</v>
      </c>
      <c r="H23" s="213">
        <v>122</v>
      </c>
      <c r="I23" s="213">
        <v>222</v>
      </c>
    </row>
    <row r="24" spans="1:9" x14ac:dyDescent="0.25">
      <c r="A24" s="213">
        <v>1</v>
      </c>
      <c r="B24" s="213">
        <v>166.4</v>
      </c>
      <c r="C24" s="214">
        <v>156.80000000000001</v>
      </c>
      <c r="D24" s="213">
        <f>D23-2</f>
        <v>168</v>
      </c>
      <c r="E24" s="213">
        <f>E23-2.5</f>
        <v>242.5</v>
      </c>
      <c r="F24" s="213">
        <f>F23-2</f>
        <v>158</v>
      </c>
      <c r="G24" s="213">
        <f>G23-2</f>
        <v>273</v>
      </c>
      <c r="H24" s="213">
        <f>H23-0.8</f>
        <v>121.2</v>
      </c>
      <c r="I24" s="213">
        <f>I23-0.4</f>
        <v>221.6</v>
      </c>
    </row>
    <row r="25" spans="1:9" x14ac:dyDescent="0.25">
      <c r="A25" s="213">
        <v>2</v>
      </c>
      <c r="B25" s="213">
        <v>164.8</v>
      </c>
      <c r="C25" s="214">
        <v>155.60000000000002</v>
      </c>
      <c r="D25" s="213">
        <f t="shared" ref="D25:D27" si="4">D24-2</f>
        <v>166</v>
      </c>
      <c r="E25" s="213">
        <v>240</v>
      </c>
      <c r="F25" s="213">
        <f t="shared" ref="F25:F27" si="5">F24-2</f>
        <v>156</v>
      </c>
      <c r="G25" s="213">
        <f t="shared" ref="G25:G27" si="6">G24-2</f>
        <v>271</v>
      </c>
      <c r="H25" s="213">
        <f t="shared" ref="H25:H27" si="7">H24-0.8</f>
        <v>120.4</v>
      </c>
      <c r="I25" s="213">
        <f t="shared" ref="I25:I27" si="8">I24-0.4</f>
        <v>221.2</v>
      </c>
    </row>
    <row r="26" spans="1:9" x14ac:dyDescent="0.25">
      <c r="A26" s="213">
        <v>3</v>
      </c>
      <c r="B26" s="213">
        <v>163.20000000000002</v>
      </c>
      <c r="C26" s="214">
        <v>154.40000000000003</v>
      </c>
      <c r="D26" s="213">
        <f t="shared" si="4"/>
        <v>164</v>
      </c>
      <c r="E26" s="213">
        <f>E25-5</f>
        <v>235</v>
      </c>
      <c r="F26" s="213">
        <f t="shared" si="5"/>
        <v>154</v>
      </c>
      <c r="G26" s="213">
        <f t="shared" si="6"/>
        <v>269</v>
      </c>
      <c r="H26" s="213">
        <f t="shared" si="7"/>
        <v>119.60000000000001</v>
      </c>
      <c r="I26" s="213">
        <f t="shared" si="8"/>
        <v>220.79999999999998</v>
      </c>
    </row>
    <row r="27" spans="1:9" x14ac:dyDescent="0.25">
      <c r="A27" s="213">
        <v>4</v>
      </c>
      <c r="B27" s="213">
        <v>161.60000000000002</v>
      </c>
      <c r="C27" s="214">
        <v>153.20000000000005</v>
      </c>
      <c r="D27" s="213">
        <f t="shared" si="4"/>
        <v>162</v>
      </c>
      <c r="E27" s="213">
        <v>230</v>
      </c>
      <c r="F27" s="213">
        <f t="shared" si="5"/>
        <v>152</v>
      </c>
      <c r="G27" s="213">
        <f t="shared" si="6"/>
        <v>267</v>
      </c>
      <c r="H27" s="213">
        <f t="shared" si="7"/>
        <v>118.80000000000001</v>
      </c>
      <c r="I27" s="213">
        <f t="shared" si="8"/>
        <v>220.39999999999998</v>
      </c>
    </row>
    <row r="28" spans="1:9" x14ac:dyDescent="0.25">
      <c r="A28" s="213">
        <v>5</v>
      </c>
      <c r="B28" s="213">
        <v>160</v>
      </c>
      <c r="C28" s="214">
        <v>152</v>
      </c>
      <c r="D28" s="213">
        <v>160</v>
      </c>
      <c r="E28" s="213">
        <f>E27-5</f>
        <v>225</v>
      </c>
      <c r="F28" s="213">
        <v>150</v>
      </c>
      <c r="G28" s="213">
        <v>265</v>
      </c>
      <c r="H28" s="213">
        <v>118</v>
      </c>
      <c r="I28" s="213">
        <v>220</v>
      </c>
    </row>
    <row r="29" spans="1:9" x14ac:dyDescent="0.25">
      <c r="A29" s="213">
        <v>6</v>
      </c>
      <c r="B29" s="213">
        <v>157.4</v>
      </c>
      <c r="C29" s="213">
        <v>150.6</v>
      </c>
      <c r="D29" s="213">
        <f>D28-2.6</f>
        <v>157.4</v>
      </c>
      <c r="E29" s="213">
        <v>220</v>
      </c>
      <c r="F29" s="213">
        <f>F28-2</f>
        <v>148</v>
      </c>
      <c r="G29" s="213">
        <f>G28-4</f>
        <v>261</v>
      </c>
      <c r="H29" s="213">
        <f>H28-1.2</f>
        <v>116.8</v>
      </c>
      <c r="I29" s="213">
        <f>I28-0.8</f>
        <v>219.2</v>
      </c>
    </row>
    <row r="30" spans="1:9" x14ac:dyDescent="0.25">
      <c r="A30" s="213">
        <v>7</v>
      </c>
      <c r="B30" s="213">
        <v>154.80000000000001</v>
      </c>
      <c r="C30" s="213">
        <v>149.19999999999999</v>
      </c>
      <c r="D30" s="213">
        <f t="shared" ref="D30:D32" si="9">D29-2.6</f>
        <v>154.80000000000001</v>
      </c>
      <c r="E30" s="213">
        <f>E29-17.5</f>
        <v>202.5</v>
      </c>
      <c r="F30" s="213">
        <f t="shared" ref="F30:F32" si="10">F29-2</f>
        <v>146</v>
      </c>
      <c r="G30" s="213">
        <f t="shared" ref="G30:G32" si="11">G29-4</f>
        <v>257</v>
      </c>
      <c r="H30" s="213">
        <f t="shared" ref="H30:H32" si="12">H29-1.2</f>
        <v>115.6</v>
      </c>
      <c r="I30" s="213">
        <f t="shared" ref="I30:I32" si="13">I29-0.8</f>
        <v>218.39999999999998</v>
      </c>
    </row>
    <row r="31" spans="1:9" x14ac:dyDescent="0.25">
      <c r="A31" s="213">
        <v>8</v>
      </c>
      <c r="B31" s="213">
        <v>152.20000000000002</v>
      </c>
      <c r="C31" s="213">
        <v>147.79999999999998</v>
      </c>
      <c r="D31" s="213">
        <f t="shared" si="9"/>
        <v>152.20000000000002</v>
      </c>
      <c r="E31" s="213">
        <v>185</v>
      </c>
      <c r="F31" s="213">
        <f t="shared" si="10"/>
        <v>144</v>
      </c>
      <c r="G31" s="213">
        <f t="shared" si="11"/>
        <v>253</v>
      </c>
      <c r="H31" s="213">
        <f t="shared" si="12"/>
        <v>114.39999999999999</v>
      </c>
      <c r="I31" s="213">
        <f t="shared" si="13"/>
        <v>217.59999999999997</v>
      </c>
    </row>
    <row r="32" spans="1:9" x14ac:dyDescent="0.25">
      <c r="A32" s="213">
        <v>9</v>
      </c>
      <c r="B32" s="213">
        <v>149.60000000000002</v>
      </c>
      <c r="C32" s="213">
        <v>146.39999999999998</v>
      </c>
      <c r="D32" s="213">
        <f t="shared" si="9"/>
        <v>149.60000000000002</v>
      </c>
      <c r="E32" s="213">
        <f>E31-17.5</f>
        <v>167.5</v>
      </c>
      <c r="F32" s="213">
        <f t="shared" si="10"/>
        <v>142</v>
      </c>
      <c r="G32" s="213">
        <f t="shared" si="11"/>
        <v>249</v>
      </c>
      <c r="H32" s="213">
        <f t="shared" si="12"/>
        <v>113.19999999999999</v>
      </c>
      <c r="I32" s="213">
        <f t="shared" si="13"/>
        <v>216.79999999999995</v>
      </c>
    </row>
    <row r="33" spans="1:9" x14ac:dyDescent="0.25">
      <c r="A33" s="213">
        <v>10</v>
      </c>
      <c r="B33" s="213">
        <v>147</v>
      </c>
      <c r="C33" s="213">
        <v>145</v>
      </c>
      <c r="D33" s="213">
        <v>147</v>
      </c>
      <c r="E33" s="213">
        <v>150</v>
      </c>
      <c r="F33" s="213">
        <v>140</v>
      </c>
      <c r="G33" s="213">
        <v>245</v>
      </c>
      <c r="H33" s="213">
        <v>112</v>
      </c>
      <c r="I33" s="213">
        <v>218</v>
      </c>
    </row>
    <row r="34" spans="1:9" x14ac:dyDescent="0.25">
      <c r="A34" s="213">
        <v>11</v>
      </c>
      <c r="B34" s="213">
        <v>143</v>
      </c>
      <c r="C34" s="213">
        <v>143</v>
      </c>
      <c r="D34" s="213">
        <f>D33-4</f>
        <v>143</v>
      </c>
      <c r="E34" s="213">
        <f>E33-30</f>
        <v>120</v>
      </c>
      <c r="F34" s="213">
        <f>F33-4</f>
        <v>136</v>
      </c>
      <c r="G34" s="213">
        <f>G33-6</f>
        <v>239</v>
      </c>
      <c r="H34" s="213">
        <f>H33-2</f>
        <v>110</v>
      </c>
      <c r="I34" s="213">
        <f>I33-1.6</f>
        <v>216.4</v>
      </c>
    </row>
    <row r="35" spans="1:9" x14ac:dyDescent="0.25">
      <c r="A35" s="213">
        <v>12</v>
      </c>
      <c r="B35" s="213">
        <v>139</v>
      </c>
      <c r="C35" s="213">
        <v>141</v>
      </c>
      <c r="D35" s="213">
        <f t="shared" ref="D35:D37" si="14">D34-4</f>
        <v>139</v>
      </c>
      <c r="E35" s="213">
        <v>90</v>
      </c>
      <c r="F35" s="213">
        <f t="shared" ref="F35:F37" si="15">F34-4</f>
        <v>132</v>
      </c>
      <c r="G35" s="213">
        <f t="shared" ref="G35:G37" si="16">G34-6</f>
        <v>233</v>
      </c>
      <c r="H35" s="213">
        <f t="shared" ref="H35:H37" si="17">H34-2</f>
        <v>108</v>
      </c>
      <c r="I35" s="213">
        <f t="shared" ref="I35:I37" si="18">I34-1.6</f>
        <v>214.8</v>
      </c>
    </row>
    <row r="36" spans="1:9" x14ac:dyDescent="0.25">
      <c r="A36" s="213">
        <v>13</v>
      </c>
      <c r="B36" s="213">
        <v>135</v>
      </c>
      <c r="C36" s="213">
        <v>139</v>
      </c>
      <c r="D36" s="213">
        <f t="shared" si="14"/>
        <v>135</v>
      </c>
      <c r="E36" s="213">
        <f>E35-20</f>
        <v>70</v>
      </c>
      <c r="F36" s="213">
        <f t="shared" si="15"/>
        <v>128</v>
      </c>
      <c r="G36" s="213">
        <f t="shared" si="16"/>
        <v>227</v>
      </c>
      <c r="H36" s="213">
        <f t="shared" si="17"/>
        <v>106</v>
      </c>
      <c r="I36" s="213">
        <f t="shared" si="18"/>
        <v>213.20000000000002</v>
      </c>
    </row>
    <row r="37" spans="1:9" x14ac:dyDescent="0.25">
      <c r="A37" s="213">
        <v>14</v>
      </c>
      <c r="B37" s="213">
        <v>131</v>
      </c>
      <c r="C37" s="213">
        <v>137</v>
      </c>
      <c r="D37" s="213">
        <f t="shared" si="14"/>
        <v>131</v>
      </c>
      <c r="E37" s="213">
        <v>50</v>
      </c>
      <c r="F37" s="213">
        <f t="shared" si="15"/>
        <v>124</v>
      </c>
      <c r="G37" s="213">
        <f t="shared" si="16"/>
        <v>221</v>
      </c>
      <c r="H37" s="213">
        <f t="shared" si="17"/>
        <v>104</v>
      </c>
      <c r="I37" s="213">
        <f t="shared" si="18"/>
        <v>211.60000000000002</v>
      </c>
    </row>
    <row r="38" spans="1:9" x14ac:dyDescent="0.25">
      <c r="A38" s="213">
        <v>15</v>
      </c>
      <c r="B38" s="213">
        <v>127</v>
      </c>
      <c r="C38" s="213">
        <v>135</v>
      </c>
      <c r="D38" s="213">
        <v>127</v>
      </c>
      <c r="E38" s="213">
        <v>30</v>
      </c>
      <c r="F38" s="213">
        <v>120</v>
      </c>
      <c r="G38" s="213">
        <v>215</v>
      </c>
      <c r="H38" s="213">
        <v>102</v>
      </c>
      <c r="I38" s="213">
        <v>210</v>
      </c>
    </row>
    <row r="39" spans="1:9" x14ac:dyDescent="0.25">
      <c r="A39" s="213">
        <v>16</v>
      </c>
      <c r="B39" s="213">
        <v>121.6</v>
      </c>
      <c r="C39" s="213">
        <v>129</v>
      </c>
      <c r="D39" s="213">
        <f>D38-5.4</f>
        <v>121.6</v>
      </c>
      <c r="E39" s="51">
        <v>0</v>
      </c>
      <c r="F39" s="213">
        <f>F38-7</f>
        <v>113</v>
      </c>
      <c r="G39" s="213">
        <f>G38-11</f>
        <v>204</v>
      </c>
      <c r="H39" s="213">
        <f>H38-2.8</f>
        <v>99.2</v>
      </c>
      <c r="I39" s="213">
        <f>I38-5.6</f>
        <v>204.4</v>
      </c>
    </row>
    <row r="40" spans="1:9" x14ac:dyDescent="0.25">
      <c r="A40" s="213">
        <v>17</v>
      </c>
      <c r="B40" s="213">
        <v>116.19999999999999</v>
      </c>
      <c r="C40" s="213">
        <v>123</v>
      </c>
      <c r="D40" s="213">
        <f t="shared" ref="D40:D42" si="19">D39-5.4</f>
        <v>116.19999999999999</v>
      </c>
      <c r="E40" s="51">
        <v>0</v>
      </c>
      <c r="F40" s="213">
        <f t="shared" ref="F40:F42" si="20">F39-7</f>
        <v>106</v>
      </c>
      <c r="G40" s="213">
        <f t="shared" ref="G40:G42" si="21">G39-11</f>
        <v>193</v>
      </c>
      <c r="H40" s="213">
        <f t="shared" ref="H40:H42" si="22">H39-2.8</f>
        <v>96.4</v>
      </c>
      <c r="I40" s="213">
        <f t="shared" ref="I40:I42" si="23">I39-5.6</f>
        <v>198.8</v>
      </c>
    </row>
    <row r="41" spans="1:9" x14ac:dyDescent="0.25">
      <c r="A41" s="213">
        <v>18</v>
      </c>
      <c r="B41" s="213">
        <v>110.79999999999998</v>
      </c>
      <c r="C41" s="213">
        <v>117</v>
      </c>
      <c r="D41" s="213">
        <f t="shared" si="19"/>
        <v>110.79999999999998</v>
      </c>
      <c r="E41" s="51">
        <v>0</v>
      </c>
      <c r="F41" s="213">
        <f t="shared" si="20"/>
        <v>99</v>
      </c>
      <c r="G41" s="213">
        <f t="shared" si="21"/>
        <v>182</v>
      </c>
      <c r="H41" s="213">
        <f t="shared" si="22"/>
        <v>93.600000000000009</v>
      </c>
      <c r="I41" s="213">
        <f t="shared" si="23"/>
        <v>193.20000000000002</v>
      </c>
    </row>
    <row r="42" spans="1:9" x14ac:dyDescent="0.25">
      <c r="A42" s="213">
        <v>19</v>
      </c>
      <c r="B42" s="213">
        <v>105.39999999999998</v>
      </c>
      <c r="C42" s="213">
        <v>111</v>
      </c>
      <c r="D42" s="213">
        <f t="shared" si="19"/>
        <v>105.39999999999998</v>
      </c>
      <c r="E42" s="51">
        <v>0</v>
      </c>
      <c r="F42" s="213">
        <f t="shared" si="20"/>
        <v>92</v>
      </c>
      <c r="G42" s="213">
        <f t="shared" si="21"/>
        <v>171</v>
      </c>
      <c r="H42" s="213">
        <f t="shared" si="22"/>
        <v>90.800000000000011</v>
      </c>
      <c r="I42" s="213">
        <f t="shared" si="23"/>
        <v>187.60000000000002</v>
      </c>
    </row>
    <row r="43" spans="1:9" x14ac:dyDescent="0.25">
      <c r="A43" s="213">
        <v>20</v>
      </c>
      <c r="B43" s="213">
        <v>100</v>
      </c>
      <c r="C43" s="213">
        <v>105</v>
      </c>
      <c r="D43" s="213">
        <v>100</v>
      </c>
      <c r="E43" s="51">
        <v>0</v>
      </c>
      <c r="F43" s="213">
        <v>85</v>
      </c>
      <c r="G43" s="213">
        <v>160</v>
      </c>
      <c r="H43" s="213">
        <v>88</v>
      </c>
      <c r="I43" s="213">
        <v>182</v>
      </c>
    </row>
    <row r="44" spans="1:9" x14ac:dyDescent="0.25">
      <c r="A44" s="213">
        <v>21</v>
      </c>
      <c r="B44" s="213">
        <v>93.4</v>
      </c>
      <c r="C44" s="213">
        <v>99.6</v>
      </c>
      <c r="D44" s="213">
        <f>D43-6</f>
        <v>94</v>
      </c>
      <c r="E44" s="51">
        <v>0</v>
      </c>
      <c r="F44" s="213">
        <f>F43-10</f>
        <v>75</v>
      </c>
      <c r="G44" s="213">
        <f>G43-20</f>
        <v>140</v>
      </c>
      <c r="H44" s="213">
        <f>H43-4.6</f>
        <v>83.4</v>
      </c>
      <c r="I44" s="213">
        <f>I43-6.8</f>
        <v>175.2</v>
      </c>
    </row>
    <row r="45" spans="1:9" x14ac:dyDescent="0.25">
      <c r="A45" s="213">
        <v>22</v>
      </c>
      <c r="B45" s="213">
        <v>86.800000000000011</v>
      </c>
      <c r="C45" s="213">
        <v>94.199999999999989</v>
      </c>
      <c r="D45" s="213">
        <f t="shared" ref="D45:D47" si="24">D44-6</f>
        <v>88</v>
      </c>
      <c r="E45" s="51">
        <v>0</v>
      </c>
      <c r="F45" s="213">
        <f t="shared" ref="F45:F47" si="25">F44-10</f>
        <v>65</v>
      </c>
      <c r="G45" s="213">
        <f t="shared" ref="G45:G47" si="26">G44-20</f>
        <v>120</v>
      </c>
      <c r="H45" s="213">
        <f t="shared" ref="H45:H47" si="27">H44-4.6</f>
        <v>78.800000000000011</v>
      </c>
      <c r="I45" s="213">
        <f t="shared" ref="I45:I47" si="28">I44-6.8</f>
        <v>168.39999999999998</v>
      </c>
    </row>
    <row r="46" spans="1:9" x14ac:dyDescent="0.25">
      <c r="A46" s="213">
        <v>23</v>
      </c>
      <c r="B46" s="213">
        <v>80.200000000000017</v>
      </c>
      <c r="C46" s="213">
        <v>88.799999999999983</v>
      </c>
      <c r="D46" s="213">
        <f t="shared" si="24"/>
        <v>82</v>
      </c>
      <c r="E46" s="51">
        <v>0</v>
      </c>
      <c r="F46" s="213">
        <f t="shared" si="25"/>
        <v>55</v>
      </c>
      <c r="G46" s="213">
        <f t="shared" si="26"/>
        <v>100</v>
      </c>
      <c r="H46" s="213">
        <f t="shared" si="27"/>
        <v>74.200000000000017</v>
      </c>
      <c r="I46" s="213">
        <f t="shared" si="28"/>
        <v>161.59999999999997</v>
      </c>
    </row>
    <row r="47" spans="1:9" x14ac:dyDescent="0.25">
      <c r="A47" s="213">
        <v>24</v>
      </c>
      <c r="B47" s="213">
        <v>73.600000000000023</v>
      </c>
      <c r="C47" s="213">
        <v>83.399999999999977</v>
      </c>
      <c r="D47" s="213">
        <f t="shared" si="24"/>
        <v>76</v>
      </c>
      <c r="E47" s="51">
        <v>0</v>
      </c>
      <c r="F47" s="213">
        <f t="shared" si="25"/>
        <v>45</v>
      </c>
      <c r="G47" s="213">
        <f t="shared" si="26"/>
        <v>80</v>
      </c>
      <c r="H47" s="213">
        <f t="shared" si="27"/>
        <v>69.600000000000023</v>
      </c>
      <c r="I47" s="213">
        <f t="shared" si="28"/>
        <v>154.79999999999995</v>
      </c>
    </row>
    <row r="48" spans="1:9" x14ac:dyDescent="0.25">
      <c r="A48" s="213">
        <v>25</v>
      </c>
      <c r="B48" s="213">
        <v>67</v>
      </c>
      <c r="C48" s="213">
        <v>78</v>
      </c>
      <c r="D48" s="213">
        <v>70</v>
      </c>
      <c r="E48" s="51">
        <v>0</v>
      </c>
      <c r="F48" s="213">
        <v>35</v>
      </c>
      <c r="G48" s="213">
        <v>60</v>
      </c>
      <c r="H48" s="213">
        <v>65</v>
      </c>
      <c r="I48" s="213">
        <v>148</v>
      </c>
    </row>
    <row r="49" spans="1:9" x14ac:dyDescent="0.25">
      <c r="A49" s="213">
        <v>26</v>
      </c>
      <c r="B49" s="213">
        <v>58.4</v>
      </c>
      <c r="C49" s="213">
        <v>76.400000000000006</v>
      </c>
      <c r="D49" s="213">
        <f>D48-8</f>
        <v>62</v>
      </c>
      <c r="E49" s="51">
        <v>0</v>
      </c>
      <c r="F49" s="213">
        <f>F48-5</f>
        <v>30</v>
      </c>
      <c r="G49" s="213">
        <f>G48-7.5</f>
        <v>52.5</v>
      </c>
      <c r="H49" s="213">
        <f>H48-5</f>
        <v>60</v>
      </c>
      <c r="I49" s="213">
        <f>I48-8.6</f>
        <v>139.4</v>
      </c>
    </row>
    <row r="50" spans="1:9" x14ac:dyDescent="0.25">
      <c r="A50" s="213">
        <v>27</v>
      </c>
      <c r="B50" s="213">
        <v>49.8</v>
      </c>
      <c r="C50" s="213">
        <v>74.800000000000011</v>
      </c>
      <c r="D50" s="213">
        <f t="shared" ref="D50:D52" si="29">D49-8</f>
        <v>54</v>
      </c>
      <c r="E50" s="51">
        <v>0</v>
      </c>
      <c r="F50" s="213">
        <v>25</v>
      </c>
      <c r="G50" s="213">
        <v>45</v>
      </c>
      <c r="H50" s="213">
        <f t="shared" ref="H50:H52" si="30">H49-5</f>
        <v>55</v>
      </c>
      <c r="I50" s="213">
        <f t="shared" ref="I50:I52" si="31">I49-8.6</f>
        <v>130.80000000000001</v>
      </c>
    </row>
    <row r="51" spans="1:9" x14ac:dyDescent="0.25">
      <c r="A51" s="213">
        <v>28</v>
      </c>
      <c r="B51" s="213">
        <v>41.199999999999996</v>
      </c>
      <c r="C51" s="213">
        <v>73.200000000000017</v>
      </c>
      <c r="D51" s="213">
        <f t="shared" si="29"/>
        <v>46</v>
      </c>
      <c r="E51" s="51">
        <v>0</v>
      </c>
      <c r="F51" s="51">
        <v>0</v>
      </c>
      <c r="G51" s="51">
        <v>0</v>
      </c>
      <c r="H51" s="213">
        <f t="shared" si="30"/>
        <v>50</v>
      </c>
      <c r="I51" s="213">
        <f t="shared" si="31"/>
        <v>122.20000000000002</v>
      </c>
    </row>
    <row r="52" spans="1:9" x14ac:dyDescent="0.25">
      <c r="A52" s="213">
        <v>29</v>
      </c>
      <c r="B52" s="213">
        <v>32.599999999999994</v>
      </c>
      <c r="C52" s="214">
        <v>71.600000000000023</v>
      </c>
      <c r="D52" s="213">
        <f t="shared" si="29"/>
        <v>38</v>
      </c>
      <c r="E52" s="51">
        <v>0</v>
      </c>
      <c r="F52" s="51">
        <v>0</v>
      </c>
      <c r="G52" s="51">
        <v>0</v>
      </c>
      <c r="H52" s="213">
        <f t="shared" si="30"/>
        <v>45</v>
      </c>
      <c r="I52" s="213">
        <f t="shared" si="31"/>
        <v>113.60000000000002</v>
      </c>
    </row>
    <row r="53" spans="1:9" x14ac:dyDescent="0.25">
      <c r="A53" s="213">
        <v>30</v>
      </c>
      <c r="B53" s="213">
        <v>24</v>
      </c>
      <c r="C53" s="214">
        <v>70</v>
      </c>
      <c r="D53" s="213">
        <v>30</v>
      </c>
      <c r="E53" s="51">
        <v>0</v>
      </c>
      <c r="F53" s="51">
        <v>0</v>
      </c>
      <c r="G53" s="51">
        <v>0</v>
      </c>
      <c r="H53" s="213">
        <v>40</v>
      </c>
      <c r="I53" s="213">
        <v>105</v>
      </c>
    </row>
    <row r="54" spans="1:9" x14ac:dyDescent="0.25">
      <c r="A54" s="213">
        <v>31</v>
      </c>
      <c r="B54" s="213">
        <v>16</v>
      </c>
      <c r="C54" s="214">
        <v>46.7</v>
      </c>
      <c r="D54" s="213">
        <f>D53-10</f>
        <v>20</v>
      </c>
      <c r="E54" s="51">
        <v>0</v>
      </c>
      <c r="F54" s="51">
        <v>0</v>
      </c>
      <c r="G54" s="51">
        <v>0</v>
      </c>
      <c r="H54" s="213">
        <f>H53-7</f>
        <v>33</v>
      </c>
      <c r="I54" s="213">
        <f>I53-10.75</f>
        <v>94.25</v>
      </c>
    </row>
    <row r="55" spans="1:9" x14ac:dyDescent="0.25">
      <c r="A55" s="213">
        <v>32</v>
      </c>
      <c r="B55" s="213">
        <v>8</v>
      </c>
      <c r="C55" s="214">
        <v>23.400000000000002</v>
      </c>
      <c r="D55" s="213">
        <f>D54-10</f>
        <v>10</v>
      </c>
      <c r="E55" s="51">
        <v>0</v>
      </c>
      <c r="F55" s="51">
        <v>0</v>
      </c>
      <c r="G55" s="51">
        <v>0</v>
      </c>
      <c r="H55" s="213">
        <f t="shared" ref="H55:H56" si="32">H54-7</f>
        <v>26</v>
      </c>
      <c r="I55" s="213">
        <f t="shared" ref="I55:I56" si="33">I54-10.75</f>
        <v>83.5</v>
      </c>
    </row>
    <row r="56" spans="1:9" x14ac:dyDescent="0.25">
      <c r="A56" s="213">
        <v>33</v>
      </c>
      <c r="B56" s="213">
        <v>0</v>
      </c>
      <c r="C56" s="214">
        <v>0</v>
      </c>
      <c r="D56" s="213">
        <v>0</v>
      </c>
      <c r="E56" s="51">
        <v>0</v>
      </c>
      <c r="F56" s="51">
        <v>0</v>
      </c>
      <c r="G56" s="51">
        <v>0</v>
      </c>
      <c r="H56" s="213">
        <f t="shared" si="32"/>
        <v>19</v>
      </c>
      <c r="I56" s="213">
        <f t="shared" si="33"/>
        <v>72.75</v>
      </c>
    </row>
    <row r="57" spans="1:9" x14ac:dyDescent="0.25">
      <c r="A57" s="213">
        <v>34</v>
      </c>
      <c r="B57" s="213">
        <v>0</v>
      </c>
      <c r="C57" s="214">
        <v>0</v>
      </c>
      <c r="D57" s="213">
        <v>0</v>
      </c>
      <c r="E57" s="51">
        <v>0</v>
      </c>
      <c r="F57" s="51">
        <v>0</v>
      </c>
      <c r="G57" s="51">
        <v>0</v>
      </c>
      <c r="H57" s="213">
        <v>12</v>
      </c>
      <c r="I57" s="213">
        <v>62</v>
      </c>
    </row>
  </sheetData>
  <sheetProtection algorithmName="SHA-512" hashValue="cKYgrIGuQJatuV8hpirmTQzIuyLmVK0CVaPGGG+EUpnczeYwNkBuOsstcreR/QdbsPHC7fB/nB8aXnoW9XYRzw==" saltValue="bLYZ8LW1FsPrqWbDnpyEWw==" spinCount="100000" sheet="1" objects="1" scenarios="1"/>
  <mergeCells count="3">
    <mergeCell ref="E20:I20"/>
    <mergeCell ref="B22:I22"/>
    <mergeCell ref="E8:I8"/>
  </mergeCells>
  <pageMargins left="0.7" right="0.7" top="0.75" bottom="0.75" header="0.3" footer="0.3"/>
  <pageSetup orientation="portrait" r:id="rId1"/>
  <ignoredErrors>
    <ignoredError sqref="E24 E26 E34 E36 G49" formula="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U50"/>
  <sheetViews>
    <sheetView topLeftCell="A22" zoomScale="108" zoomScaleNormal="108" workbookViewId="0">
      <selection activeCell="E5" sqref="E5"/>
    </sheetView>
  </sheetViews>
  <sheetFormatPr defaultColWidth="9.1796875" defaultRowHeight="12.5" x14ac:dyDescent="0.25"/>
  <cols>
    <col min="1" max="1" width="12.26953125" style="1" customWidth="1"/>
    <col min="2" max="3" width="9.1796875" style="1"/>
    <col min="4" max="4" width="10.81640625" style="1" customWidth="1"/>
    <col min="5" max="6" width="9.1796875" style="1"/>
    <col min="7" max="7" width="10.1796875" style="1" customWidth="1"/>
    <col min="8" max="16384" width="9.1796875" style="1"/>
  </cols>
  <sheetData>
    <row r="1" spans="1:21" x14ac:dyDescent="0.25">
      <c r="A1" s="292" t="s">
        <v>92</v>
      </c>
      <c r="B1" s="293"/>
      <c r="C1" s="293"/>
      <c r="D1" s="293"/>
      <c r="E1" s="293"/>
      <c r="F1" s="293"/>
      <c r="G1" s="293"/>
    </row>
    <row r="4" spans="1:21" x14ac:dyDescent="0.25">
      <c r="A4" s="239" t="s">
        <v>6</v>
      </c>
      <c r="B4" s="239"/>
      <c r="C4" s="239"/>
      <c r="D4" s="239"/>
    </row>
    <row r="5" spans="1:21" ht="14.5" x14ac:dyDescent="0.35">
      <c r="A5" s="197">
        <v>150</v>
      </c>
      <c r="B5" s="294" t="s">
        <v>7</v>
      </c>
      <c r="C5" s="294"/>
      <c r="D5" s="294"/>
      <c r="E5" s="6" t="e">
        <f>#REF!</f>
        <v>#REF!</v>
      </c>
      <c r="F5" s="7" t="s">
        <v>52</v>
      </c>
      <c r="G5" s="8"/>
      <c r="H5" s="8"/>
      <c r="I5" s="9"/>
      <c r="J5" s="8"/>
      <c r="K5" s="8"/>
      <c r="L5" s="8"/>
      <c r="M5" s="9"/>
      <c r="N5" s="8"/>
      <c r="O5" s="8"/>
      <c r="P5" s="8"/>
      <c r="Q5" s="9"/>
      <c r="R5" s="8"/>
      <c r="S5" s="8"/>
      <c r="T5" s="8"/>
    </row>
    <row r="6" spans="1:21" ht="14.5" x14ac:dyDescent="0.35">
      <c r="A6" s="197">
        <v>100</v>
      </c>
      <c r="B6" s="294" t="s">
        <v>8</v>
      </c>
      <c r="C6" s="294"/>
      <c r="D6" s="294"/>
      <c r="E6" s="6" t="e">
        <f>#REF!</f>
        <v>#REF!</v>
      </c>
      <c r="F6" s="7" t="s">
        <v>53</v>
      </c>
      <c r="G6" s="8"/>
      <c r="H6" s="3"/>
      <c r="I6" s="9"/>
      <c r="J6" s="8"/>
      <c r="K6" s="8"/>
      <c r="L6" s="8"/>
      <c r="M6" s="9"/>
      <c r="N6" s="8"/>
      <c r="O6" s="8"/>
      <c r="P6" s="8"/>
      <c r="Q6" s="9"/>
      <c r="R6" s="8"/>
      <c r="S6" s="8"/>
      <c r="T6" s="8"/>
    </row>
    <row r="7" spans="1:21" ht="14.5" x14ac:dyDescent="0.35">
      <c r="A7" s="197">
        <v>100</v>
      </c>
      <c r="B7" s="294" t="s">
        <v>9</v>
      </c>
      <c r="C7" s="294"/>
      <c r="D7" s="294"/>
      <c r="E7" s="6" t="e">
        <f>E6-E5</f>
        <v>#REF!</v>
      </c>
      <c r="F7" s="7" t="s">
        <v>54</v>
      </c>
      <c r="G7" s="8"/>
      <c r="H7" s="8"/>
      <c r="I7" s="9"/>
      <c r="J7" s="8"/>
      <c r="K7" s="8"/>
      <c r="L7" s="8"/>
      <c r="M7" s="9"/>
      <c r="N7" s="8"/>
      <c r="O7" s="8"/>
      <c r="P7" s="8"/>
      <c r="Q7" s="9"/>
      <c r="R7" s="8"/>
      <c r="S7" s="8"/>
      <c r="T7" s="8"/>
    </row>
    <row r="8" spans="1:21" x14ac:dyDescent="0.25">
      <c r="B8" s="8"/>
    </row>
    <row r="10" spans="1:21" ht="13" x14ac:dyDescent="0.3">
      <c r="A10" s="10" t="s">
        <v>4</v>
      </c>
      <c r="B10" s="291" t="s">
        <v>10</v>
      </c>
      <c r="C10" s="291"/>
      <c r="D10" s="290" t="s">
        <v>11</v>
      </c>
      <c r="E10" s="290"/>
      <c r="F10" s="290" t="s">
        <v>12</v>
      </c>
      <c r="G10" s="290"/>
      <c r="H10" s="290" t="s">
        <v>13</v>
      </c>
      <c r="I10" s="290"/>
      <c r="J10" s="290" t="s">
        <v>14</v>
      </c>
      <c r="K10" s="290"/>
      <c r="L10" s="290" t="s">
        <v>15</v>
      </c>
      <c r="M10" s="290"/>
      <c r="N10" s="290" t="s">
        <v>16</v>
      </c>
      <c r="O10" s="290"/>
      <c r="P10" s="290" t="s">
        <v>17</v>
      </c>
      <c r="Q10" s="290"/>
      <c r="R10" s="290" t="s">
        <v>18</v>
      </c>
      <c r="S10" s="290"/>
      <c r="T10" s="290" t="s">
        <v>28</v>
      </c>
      <c r="U10" s="290"/>
    </row>
    <row r="11" spans="1:21" x14ac:dyDescent="0.25">
      <c r="A11" s="4" t="s">
        <v>20</v>
      </c>
      <c r="B11" s="289">
        <v>0.84</v>
      </c>
      <c r="C11" s="289"/>
      <c r="D11" s="289">
        <v>1.05</v>
      </c>
      <c r="E11" s="289"/>
      <c r="F11" s="289">
        <v>1.3149999999999999</v>
      </c>
      <c r="G11" s="289"/>
      <c r="H11" s="289">
        <v>1.66</v>
      </c>
      <c r="I11" s="289"/>
      <c r="J11" s="289">
        <v>1.9</v>
      </c>
      <c r="K11" s="289"/>
      <c r="L11" s="289">
        <v>2.375</v>
      </c>
      <c r="M11" s="289"/>
      <c r="N11" s="289">
        <v>2.875</v>
      </c>
      <c r="O11" s="289"/>
      <c r="P11" s="289">
        <v>3.5</v>
      </c>
      <c r="Q11" s="289"/>
      <c r="R11" s="289">
        <v>4.5</v>
      </c>
      <c r="S11" s="289"/>
      <c r="T11" s="289">
        <v>5.5629999999999997</v>
      </c>
      <c r="U11" s="289"/>
    </row>
    <row r="12" spans="1:21" x14ac:dyDescent="0.25">
      <c r="A12" s="4" t="s">
        <v>21</v>
      </c>
      <c r="B12" s="289">
        <v>0.622</v>
      </c>
      <c r="C12" s="289"/>
      <c r="D12" s="289">
        <v>0.82399999999999995</v>
      </c>
      <c r="E12" s="289"/>
      <c r="F12" s="289">
        <v>1.0489999999999999</v>
      </c>
      <c r="G12" s="289"/>
      <c r="H12" s="289">
        <v>1.38</v>
      </c>
      <c r="I12" s="289"/>
      <c r="J12" s="289">
        <v>1.61</v>
      </c>
      <c r="K12" s="289"/>
      <c r="L12" s="289">
        <v>2.0670000000000002</v>
      </c>
      <c r="M12" s="289"/>
      <c r="N12" s="289">
        <v>2.4689999999999999</v>
      </c>
      <c r="O12" s="289"/>
      <c r="P12" s="289">
        <v>3.0680000000000001</v>
      </c>
      <c r="Q12" s="289"/>
      <c r="R12" s="289">
        <v>4.0259999999999998</v>
      </c>
      <c r="S12" s="289"/>
      <c r="T12" s="289">
        <v>5.407</v>
      </c>
      <c r="U12" s="289"/>
    </row>
    <row r="13" spans="1:21" x14ac:dyDescent="0.25">
      <c r="A13" s="4" t="s">
        <v>22</v>
      </c>
      <c r="B13" s="289">
        <v>0.109</v>
      </c>
      <c r="C13" s="289"/>
      <c r="D13" s="289">
        <v>0.113</v>
      </c>
      <c r="E13" s="289"/>
      <c r="F13" s="289">
        <v>0.13300000000000001</v>
      </c>
      <c r="G13" s="289"/>
      <c r="H13" s="289">
        <v>0.14000000000000001</v>
      </c>
      <c r="I13" s="289"/>
      <c r="J13" s="289">
        <v>0.14499999999999999</v>
      </c>
      <c r="K13" s="289"/>
      <c r="L13" s="289">
        <v>0.154</v>
      </c>
      <c r="M13" s="289"/>
      <c r="N13" s="289">
        <v>0.20300000000000001</v>
      </c>
      <c r="O13" s="289"/>
      <c r="P13" s="289">
        <v>0.216</v>
      </c>
      <c r="Q13" s="289"/>
      <c r="R13" s="289">
        <v>0.23699999999999999</v>
      </c>
      <c r="S13" s="289"/>
      <c r="T13" s="289">
        <f>T11-T12</f>
        <v>0.15599999999999969</v>
      </c>
      <c r="U13" s="289"/>
    </row>
    <row r="14" spans="1:21" ht="25" x14ac:dyDescent="0.25">
      <c r="A14" s="4"/>
      <c r="B14" s="11" t="s">
        <v>23</v>
      </c>
      <c r="C14" s="11" t="s">
        <v>24</v>
      </c>
      <c r="D14" s="11" t="s">
        <v>23</v>
      </c>
      <c r="E14" s="11" t="s">
        <v>24</v>
      </c>
      <c r="F14" s="11" t="s">
        <v>23</v>
      </c>
      <c r="G14" s="11" t="s">
        <v>24</v>
      </c>
      <c r="H14" s="11" t="s">
        <v>23</v>
      </c>
      <c r="I14" s="11" t="s">
        <v>24</v>
      </c>
      <c r="J14" s="11" t="s">
        <v>23</v>
      </c>
      <c r="K14" s="11" t="s">
        <v>24</v>
      </c>
      <c r="L14" s="11" t="s">
        <v>23</v>
      </c>
      <c r="M14" s="11" t="s">
        <v>24</v>
      </c>
      <c r="N14" s="11" t="s">
        <v>23</v>
      </c>
      <c r="O14" s="11" t="s">
        <v>24</v>
      </c>
      <c r="P14" s="11" t="s">
        <v>23</v>
      </c>
      <c r="Q14" s="11" t="s">
        <v>24</v>
      </c>
      <c r="R14" s="11" t="s">
        <v>23</v>
      </c>
      <c r="S14" s="11" t="s">
        <v>24</v>
      </c>
      <c r="T14" s="11" t="s">
        <v>23</v>
      </c>
      <c r="U14" s="11" t="s">
        <v>24</v>
      </c>
    </row>
    <row r="15" spans="1:21" x14ac:dyDescent="0.25">
      <c r="A15" s="1" t="s">
        <v>25</v>
      </c>
      <c r="B15" s="2">
        <f>0.4085*A6/B12^2</f>
        <v>105.58720443337019</v>
      </c>
      <c r="C15" s="2">
        <f>0.2083*(100/A5)^1.852*A6^1.852/B12^4.866*0.433*A7/100</f>
        <v>2170.0620026953866</v>
      </c>
      <c r="D15" s="2">
        <f>0.4085*A6/D12^2</f>
        <v>60.164129512677917</v>
      </c>
      <c r="E15" s="2">
        <f>0.2083*(100/A5)^1.852*A6^1.852/D12^4.866*0.433*A7/100</f>
        <v>552.27367503759251</v>
      </c>
      <c r="F15" s="2">
        <f>0.4085*A6/F12^2</f>
        <v>37.122830677180403</v>
      </c>
      <c r="G15" s="2">
        <f>0.2083*(100/A5)^1.852*A6^1.852/F12^4.866*0.433*A7/100</f>
        <v>170.59355870095607</v>
      </c>
      <c r="H15" s="2">
        <f>0.4085*A6/H12^2</f>
        <v>21.450325561856754</v>
      </c>
      <c r="I15" s="2">
        <f>0.2083*(100/A5)^1.852*A6^1.852/H12^4.866*0.433*A7/100</f>
        <v>44.916356493938196</v>
      </c>
      <c r="J15" s="2">
        <f>0.4085*A6/J12^2</f>
        <v>15.759422861772304</v>
      </c>
      <c r="K15" s="2">
        <f>0.2083*(100/A5)^1.852*A6^1.852/J12^4.866*0.433*A7/100</f>
        <v>21.214922117504738</v>
      </c>
      <c r="L15" s="2">
        <f>0.4085*A6/L12^2</f>
        <v>9.5611714857545529</v>
      </c>
      <c r="M15" s="2">
        <f>0.2083*(100/A5)^1.852*A6^1.852/L12^4.866*0.433*A7/100</f>
        <v>6.2894025912272662</v>
      </c>
      <c r="N15" s="2">
        <f>0.4085*A6/N12^2</f>
        <v>6.701158357148282</v>
      </c>
      <c r="O15" s="2">
        <f>0.2083*(100/A5)^1.852*A6^1.852/N12^4.866*0.433*A7/100</f>
        <v>2.6487961159649114</v>
      </c>
      <c r="P15" s="2">
        <f>0.4085*A6/P12^2</f>
        <v>4.3399162656449457</v>
      </c>
      <c r="Q15" s="2">
        <f>0.2083*(100/A5)^1.852*A6^1.852/P12^4.866*0.433*A7/100</f>
        <v>0.92048771298326504</v>
      </c>
      <c r="R15" s="2">
        <f>0.4085*A6/R12^2</f>
        <v>2.5202552015969721</v>
      </c>
      <c r="S15" s="2">
        <f>0.2083*(100/A5)^1.852*A6^1.852/R12^4.866*0.433*A7/100</f>
        <v>0.24532419758923774</v>
      </c>
      <c r="T15" s="2">
        <f>0.4085*A6/T12^2</f>
        <v>1.3972667410256565</v>
      </c>
      <c r="U15" s="2">
        <f>0.2083*(100/A5)^1.852*A6^1.852/T12^4.866*0.433*A7/100</f>
        <v>5.8410437636399255E-2</v>
      </c>
    </row>
    <row r="16" spans="1:21" x14ac:dyDescent="0.25">
      <c r="A16" s="1" t="s">
        <v>26</v>
      </c>
      <c r="B16" s="2"/>
      <c r="C16" s="2">
        <f>C15/A7/0.433*100</f>
        <v>5011.690537402741</v>
      </c>
      <c r="D16" s="2"/>
      <c r="E16" s="2">
        <f>E15/A7/0.433*100</f>
        <v>1275.4588338050635</v>
      </c>
      <c r="F16" s="2"/>
      <c r="G16" s="2">
        <f>G15/A7/0.433*100</f>
        <v>393.98050508303942</v>
      </c>
      <c r="H16" s="2"/>
      <c r="I16" s="2">
        <f>I15/A7/0.433*100</f>
        <v>103.73292492826374</v>
      </c>
      <c r="J16" s="2"/>
      <c r="K16" s="2">
        <f>K15/A7/0.433*100</f>
        <v>48.995201195161059</v>
      </c>
      <c r="L16" s="2"/>
      <c r="M16" s="2">
        <f>M15/A7/0.433*100</f>
        <v>14.525179194520247</v>
      </c>
      <c r="N16" s="2"/>
      <c r="O16" s="2">
        <f>O15/A7/0.433*100</f>
        <v>6.1173120461083403</v>
      </c>
      <c r="P16" s="2"/>
      <c r="Q16" s="2">
        <f>Q15/A7/0.433*100</f>
        <v>2.125837674326247</v>
      </c>
      <c r="R16" s="2"/>
      <c r="S16" s="2">
        <f>S15/A7/0.433*100</f>
        <v>0.5665685856564382</v>
      </c>
      <c r="T16" s="2"/>
      <c r="U16" s="2">
        <f>U15/A7/0.433*100</f>
        <v>0.13489708461062183</v>
      </c>
    </row>
    <row r="18" spans="1:21" ht="25" x14ac:dyDescent="0.25">
      <c r="A18" s="5" t="s">
        <v>27</v>
      </c>
      <c r="B18" s="288">
        <f>$A$7*B12^2*0.04079905</f>
        <v>1.5784499660200002</v>
      </c>
      <c r="C18" s="288"/>
      <c r="D18" s="288">
        <f>$A$7*D12^2*0.04079905</f>
        <v>2.77015757728</v>
      </c>
      <c r="E18" s="288"/>
      <c r="F18" s="288">
        <f>$A$7*F12^2*0.04079905</f>
        <v>4.4895315419050004</v>
      </c>
      <c r="G18" s="288"/>
      <c r="H18" s="288">
        <f>$A$7*H12^2*0.04079905</f>
        <v>7.7697710819999992</v>
      </c>
      <c r="I18" s="288"/>
      <c r="J18" s="288">
        <f>$A$7*J12^2*0.04079905</f>
        <v>10.575521750500002</v>
      </c>
      <c r="K18" s="288"/>
      <c r="L18" s="288">
        <f>$A$7*L12^2*0.04079905</f>
        <v>17.431349233545006</v>
      </c>
      <c r="M18" s="288"/>
      <c r="N18" s="288">
        <f>$A$7*N12^2*0.04079905</f>
        <v>24.870941763704998</v>
      </c>
      <c r="O18" s="288"/>
      <c r="P18" s="288">
        <f>$A$7*P12^2*0.04079905</f>
        <v>38.402611720720003</v>
      </c>
      <c r="Q18" s="288"/>
      <c r="R18" s="288">
        <f>$A$7*R12^2*0.04079905</f>
        <v>66.129858255779993</v>
      </c>
      <c r="S18" s="288"/>
      <c r="T18" s="288">
        <f>$A$7*T12^2*0.04079905</f>
        <v>119.27867053334501</v>
      </c>
      <c r="U18" s="288"/>
    </row>
    <row r="21" spans="1:21" ht="13" x14ac:dyDescent="0.3">
      <c r="A21" s="10" t="s">
        <v>4</v>
      </c>
      <c r="B21" s="290" t="s">
        <v>19</v>
      </c>
      <c r="C21" s="290"/>
      <c r="D21" s="291" t="s">
        <v>29</v>
      </c>
      <c r="E21" s="291"/>
      <c r="F21" s="290" t="s">
        <v>30</v>
      </c>
      <c r="G21" s="290"/>
      <c r="H21" s="290" t="s">
        <v>31</v>
      </c>
      <c r="I21" s="290"/>
      <c r="J21" s="290" t="s">
        <v>46</v>
      </c>
      <c r="K21" s="290"/>
      <c r="L21" s="290" t="s">
        <v>47</v>
      </c>
      <c r="M21" s="290"/>
      <c r="N21" s="290" t="s">
        <v>48</v>
      </c>
      <c r="O21" s="290"/>
      <c r="P21" s="290" t="s">
        <v>49</v>
      </c>
      <c r="Q21" s="290"/>
      <c r="R21" s="290" t="s">
        <v>50</v>
      </c>
      <c r="S21" s="290"/>
      <c r="T21" s="290" t="s">
        <v>51</v>
      </c>
      <c r="U21" s="290"/>
    </row>
    <row r="22" spans="1:21" x14ac:dyDescent="0.25">
      <c r="A22" s="4" t="s">
        <v>20</v>
      </c>
      <c r="B22" s="289">
        <v>6.625</v>
      </c>
      <c r="C22" s="289"/>
      <c r="D22" s="289">
        <v>8.625</v>
      </c>
      <c r="E22" s="289"/>
      <c r="F22" s="289">
        <v>10.75</v>
      </c>
      <c r="G22" s="289"/>
      <c r="H22" s="289">
        <v>12.75</v>
      </c>
      <c r="I22" s="289"/>
      <c r="J22" s="289">
        <v>14</v>
      </c>
      <c r="K22" s="289"/>
      <c r="L22" s="289">
        <v>15.3</v>
      </c>
      <c r="M22" s="289"/>
      <c r="N22" s="289">
        <v>16</v>
      </c>
      <c r="O22" s="289"/>
      <c r="P22" s="289">
        <v>18</v>
      </c>
      <c r="Q22" s="289"/>
      <c r="R22" s="289">
        <v>20</v>
      </c>
      <c r="S22" s="289"/>
      <c r="T22" s="289">
        <v>24</v>
      </c>
      <c r="U22" s="289"/>
    </row>
    <row r="23" spans="1:21" x14ac:dyDescent="0.25">
      <c r="A23" s="4" t="s">
        <v>21</v>
      </c>
      <c r="B23" s="289">
        <v>6.0650000000000004</v>
      </c>
      <c r="C23" s="289"/>
      <c r="D23" s="289">
        <v>7.9809999999999999</v>
      </c>
      <c r="E23" s="289"/>
      <c r="F23" s="289">
        <v>10.02</v>
      </c>
      <c r="G23" s="289"/>
      <c r="H23" s="289">
        <v>11.938000000000001</v>
      </c>
      <c r="I23" s="289"/>
      <c r="J23" s="289">
        <v>13.124000000000001</v>
      </c>
      <c r="K23" s="289"/>
      <c r="L23" s="289">
        <v>14.82</v>
      </c>
      <c r="M23" s="289"/>
      <c r="N23" s="289">
        <v>15</v>
      </c>
      <c r="O23" s="289"/>
      <c r="P23" s="289">
        <v>16.876000000000001</v>
      </c>
      <c r="Q23" s="289"/>
      <c r="R23" s="289">
        <v>18.814</v>
      </c>
      <c r="S23" s="289"/>
      <c r="T23" s="289">
        <v>22.225999999999999</v>
      </c>
      <c r="U23" s="289"/>
    </row>
    <row r="24" spans="1:21" x14ac:dyDescent="0.25">
      <c r="A24" s="4" t="s">
        <v>22</v>
      </c>
      <c r="B24" s="289">
        <f>B22-B23</f>
        <v>0.55999999999999961</v>
      </c>
      <c r="C24" s="289"/>
      <c r="D24" s="289">
        <f>D22-D23</f>
        <v>0.64400000000000013</v>
      </c>
      <c r="E24" s="289"/>
      <c r="F24" s="289">
        <f>F22-F23</f>
        <v>0.73000000000000043</v>
      </c>
      <c r="G24" s="289"/>
      <c r="H24" s="289">
        <f>H22-H23</f>
        <v>0.81199999999999939</v>
      </c>
      <c r="I24" s="289"/>
      <c r="J24" s="289">
        <f>J22-J23</f>
        <v>0.87599999999999945</v>
      </c>
      <c r="K24" s="289"/>
      <c r="L24" s="289">
        <f t="shared" ref="L24" si="0">L22-L23</f>
        <v>0.48000000000000043</v>
      </c>
      <c r="M24" s="289"/>
      <c r="N24" s="289">
        <f t="shared" ref="N24" si="1">N22-N23</f>
        <v>1</v>
      </c>
      <c r="O24" s="289"/>
      <c r="P24" s="289">
        <f t="shared" ref="P24" si="2">P22-P23</f>
        <v>1.1239999999999988</v>
      </c>
      <c r="Q24" s="289"/>
      <c r="R24" s="289">
        <f t="shared" ref="R24" si="3">R22-R23</f>
        <v>1.1859999999999999</v>
      </c>
      <c r="S24" s="289"/>
      <c r="T24" s="289">
        <f t="shared" ref="T24" si="4">T22-T23</f>
        <v>1.7740000000000009</v>
      </c>
      <c r="U24" s="289"/>
    </row>
    <row r="25" spans="1:21" ht="25" x14ac:dyDescent="0.25">
      <c r="A25" s="4"/>
      <c r="B25" s="11" t="s">
        <v>23</v>
      </c>
      <c r="C25" s="11" t="s">
        <v>24</v>
      </c>
      <c r="D25" s="11" t="s">
        <v>23</v>
      </c>
      <c r="E25" s="11" t="s">
        <v>24</v>
      </c>
      <c r="F25" s="11" t="s">
        <v>23</v>
      </c>
      <c r="G25" s="11" t="s">
        <v>24</v>
      </c>
      <c r="H25" s="11" t="s">
        <v>23</v>
      </c>
      <c r="I25" s="11" t="s">
        <v>24</v>
      </c>
      <c r="J25" s="11" t="s">
        <v>23</v>
      </c>
      <c r="K25" s="11" t="s">
        <v>24</v>
      </c>
      <c r="L25" s="11" t="s">
        <v>23</v>
      </c>
      <c r="M25" s="11" t="s">
        <v>24</v>
      </c>
      <c r="N25" s="11" t="s">
        <v>23</v>
      </c>
      <c r="O25" s="11" t="s">
        <v>24</v>
      </c>
      <c r="P25" s="11" t="s">
        <v>23</v>
      </c>
      <c r="Q25" s="11" t="s">
        <v>24</v>
      </c>
      <c r="R25" s="11" t="s">
        <v>23</v>
      </c>
      <c r="S25" s="11" t="s">
        <v>24</v>
      </c>
      <c r="T25" s="11" t="s">
        <v>23</v>
      </c>
      <c r="U25" s="11" t="s">
        <v>24</v>
      </c>
    </row>
    <row r="26" spans="1:21" x14ac:dyDescent="0.25">
      <c r="A26" s="1" t="s">
        <v>25</v>
      </c>
      <c r="B26" s="2">
        <f>0.4085*A6/B23^2</f>
        <v>1.1105303972015175</v>
      </c>
      <c r="C26" s="2">
        <f>0.2083*(100/A5)^1.852*A6^1.852/B23^4.866*0.433*A7/100</f>
        <v>3.3404229316939621E-2</v>
      </c>
      <c r="D26" s="2">
        <f>0.4085*A6/D23^2</f>
        <v>0.64132392115775649</v>
      </c>
      <c r="E26" s="2">
        <f>0.2083*(100/A5)^1.852*A6^1.852/D23^4.866*0.433*A7/100</f>
        <v>8.7830484838777867E-3</v>
      </c>
      <c r="F26" s="2">
        <f>0.4085*A6/F23^2</f>
        <v>0.40687088896060175</v>
      </c>
      <c r="G26" s="2">
        <f>0.2083*(100/A5)^1.852*A6^1.852/F23^4.866*0.433*A7/100</f>
        <v>2.902911671800006E-3</v>
      </c>
      <c r="H26" s="2">
        <f>0.4085*A6/H23^2</f>
        <v>0.28663479690019583</v>
      </c>
      <c r="I26" s="2">
        <f>0.2083*(100/A5)^1.852*A6^1.852/H23^4.866*0.433*A7/100</f>
        <v>1.2379614264426174E-3</v>
      </c>
      <c r="J26" s="2">
        <f>0.4085*A6/J23^2</f>
        <v>0.2371699256504505</v>
      </c>
      <c r="K26" s="2">
        <f>0.2083*(100/A5)^1.852*A6^1.852/J23^4.866*0.433*A7/100</f>
        <v>7.8081099400150811E-4</v>
      </c>
      <c r="L26" s="2">
        <f>0.4085*A6/L23^2</f>
        <v>0.18599259489947745</v>
      </c>
      <c r="M26" s="2">
        <f>0.2083*(100/A5)^1.852*A6^1.852/L23^4.866*0.433*A7/100</f>
        <v>4.3222391781144194E-4</v>
      </c>
      <c r="N26" s="2">
        <f>0.4085*A6/N23^2</f>
        <v>0.18155555555555553</v>
      </c>
      <c r="O26" s="2">
        <f>0.2083*(100/A5)^1.852*A6^1.852/N23^4.866*0.433*A7/100</f>
        <v>4.075642552883578E-4</v>
      </c>
      <c r="P26" s="2">
        <f>0.4085*A6/P23^2</f>
        <v>0.14343430303021446</v>
      </c>
      <c r="Q26" s="2">
        <f>0.2083*(100/A5)^1.852*A6^1.852/P23^4.866*0.433*A7/100</f>
        <v>2.2970089439121213E-4</v>
      </c>
      <c r="R26" s="2">
        <f>0.4085*A6/R23^2</f>
        <v>0.11540637015364014</v>
      </c>
      <c r="S26" s="2">
        <f>0.2083*(100/A5)^1.852*A6^1.852/R23^4.866*0.433*A7/100</f>
        <v>1.3534148233379116E-4</v>
      </c>
      <c r="T26" s="2">
        <f>0.4085*A6/T23^2</f>
        <v>8.2693131945307072E-2</v>
      </c>
      <c r="U26" s="2">
        <f>0.2083*(100/A5)^1.852*A6^1.852/T23^4.866*0.433*A7/100</f>
        <v>6.0149084288385919E-5</v>
      </c>
    </row>
    <row r="27" spans="1:21" x14ac:dyDescent="0.25">
      <c r="A27" s="1" t="s">
        <v>26</v>
      </c>
      <c r="B27" s="2"/>
      <c r="C27" s="2">
        <f>C26/A7/0.433*100</f>
        <v>7.714602613611922E-2</v>
      </c>
      <c r="D27" s="2"/>
      <c r="E27" s="2">
        <f>E26/A7/0.433*100</f>
        <v>2.0284176637131147E-2</v>
      </c>
      <c r="F27" s="2"/>
      <c r="G27" s="2">
        <f>G26/A7/0.433*100</f>
        <v>6.7041839995381205E-3</v>
      </c>
      <c r="H27" s="2"/>
      <c r="I27" s="2">
        <f>I26/A7/0.433*100</f>
        <v>2.8590333174194397E-3</v>
      </c>
      <c r="J27" s="2"/>
      <c r="K27" s="2">
        <f>K26/A7/0.433*100</f>
        <v>1.8032586466547533E-3</v>
      </c>
      <c r="L27" s="2"/>
      <c r="M27" s="2">
        <f>M26/A7/0.433*100</f>
        <v>9.9820766238208286E-4</v>
      </c>
      <c r="N27" s="2"/>
      <c r="O27" s="2">
        <f>O26/A7/0.433*100</f>
        <v>9.4125694061976406E-4</v>
      </c>
      <c r="P27" s="2"/>
      <c r="Q27" s="2">
        <f>Q26/A7/0.433*100</f>
        <v>5.3048705402127514E-4</v>
      </c>
      <c r="R27" s="2"/>
      <c r="S27" s="2">
        <f>S26/A7/0.433*100</f>
        <v>3.1256693379628445E-4</v>
      </c>
      <c r="T27" s="2"/>
      <c r="U27" s="2">
        <f>U26/A7/0.433*100</f>
        <v>1.3891243484615685E-4</v>
      </c>
    </row>
    <row r="29" spans="1:21" ht="25" x14ac:dyDescent="0.25">
      <c r="A29" s="5" t="s">
        <v>27</v>
      </c>
      <c r="B29" s="288">
        <f>$A$7*B23^2*0.04079905</f>
        <v>150.07614349862504</v>
      </c>
      <c r="C29" s="288"/>
      <c r="D29" s="288">
        <f>$A$7*D23^2*0.04079905</f>
        <v>259.87510172570501</v>
      </c>
      <c r="E29" s="288"/>
      <c r="F29" s="288">
        <f>$A$7*F23^2*0.04079905</f>
        <v>409.62409396200002</v>
      </c>
      <c r="G29" s="288"/>
      <c r="H29" s="288">
        <f>$A$7*H23^2*0.04079905</f>
        <v>581.45110451482014</v>
      </c>
      <c r="I29" s="288"/>
      <c r="J29" s="288">
        <f>$A$7*J23^2*0.04079905</f>
        <v>702.72029133928015</v>
      </c>
      <c r="K29" s="288"/>
      <c r="L29" s="288">
        <f>$A$7*L23^2*0.04079905</f>
        <v>896.07932692200018</v>
      </c>
      <c r="M29" s="288"/>
      <c r="N29" s="288">
        <f>$A$7*N23^2*0.04079905</f>
        <v>917.97862500000008</v>
      </c>
      <c r="O29" s="288"/>
      <c r="P29" s="288">
        <f>$A$7*P23^2*0.04079905</f>
        <v>1161.9543981392803</v>
      </c>
      <c r="Q29" s="288"/>
      <c r="R29" s="288">
        <f>$A$7*R23^2*0.04079905</f>
        <v>1444.1500848533801</v>
      </c>
      <c r="S29" s="288"/>
      <c r="T29" s="288">
        <f>$A$7*T23^2*0.04079905</f>
        <v>2015.45298054778</v>
      </c>
      <c r="U29" s="288"/>
    </row>
    <row r="32" spans="1:21" ht="14" x14ac:dyDescent="0.3">
      <c r="A32" s="121" t="s">
        <v>207</v>
      </c>
      <c r="B32" s="12" t="s">
        <v>208</v>
      </c>
      <c r="C32"/>
      <c r="D32"/>
    </row>
    <row r="33" spans="1:5" ht="14" x14ac:dyDescent="0.3">
      <c r="A33" s="121" t="s">
        <v>209</v>
      </c>
      <c r="B33" s="12" t="s">
        <v>210</v>
      </c>
      <c r="C33"/>
      <c r="D33"/>
    </row>
    <row r="34" spans="1:5" ht="14" x14ac:dyDescent="0.3">
      <c r="A34" s="121" t="s">
        <v>211</v>
      </c>
      <c r="B34" s="12" t="s">
        <v>212</v>
      </c>
      <c r="C34"/>
      <c r="D34"/>
    </row>
    <row r="35" spans="1:5" ht="14" x14ac:dyDescent="0.3">
      <c r="A35" s="121"/>
      <c r="B35" s="12"/>
      <c r="C35"/>
      <c r="D35"/>
      <c r="E35" s="13"/>
    </row>
    <row r="36" spans="1:5" ht="14" x14ac:dyDescent="0.3">
      <c r="A36" s="121"/>
      <c r="B36" s="12"/>
      <c r="C36"/>
      <c r="D36"/>
      <c r="E36" s="15"/>
    </row>
    <row r="37" spans="1:5" ht="14" x14ac:dyDescent="0.3">
      <c r="A37" s="121"/>
      <c r="B37" s="12"/>
      <c r="C37"/>
      <c r="D37"/>
      <c r="E37" s="15"/>
    </row>
    <row r="38" spans="1:5" ht="14" x14ac:dyDescent="0.3">
      <c r="A38" s="121"/>
      <c r="B38" s="12"/>
      <c r="C38"/>
      <c r="D38"/>
      <c r="E38" s="15"/>
    </row>
    <row r="39" spans="1:5" ht="14" x14ac:dyDescent="0.3">
      <c r="A39" s="121"/>
      <c r="B39" s="12"/>
      <c r="C39"/>
      <c r="D39"/>
      <c r="E39" s="15"/>
    </row>
    <row r="40" spans="1:5" ht="14" x14ac:dyDescent="0.3">
      <c r="A40" s="121"/>
      <c r="B40" s="12"/>
      <c r="C40"/>
      <c r="D40"/>
      <c r="E40" s="15"/>
    </row>
    <row r="41" spans="1:5" ht="14" x14ac:dyDescent="0.3">
      <c r="A41" s="12"/>
      <c r="B41" s="12"/>
      <c r="C41"/>
      <c r="D41"/>
      <c r="E41" s="15"/>
    </row>
    <row r="42" spans="1:5" ht="14" x14ac:dyDescent="0.3">
      <c r="A42" s="121" t="s">
        <v>32</v>
      </c>
      <c r="B42" s="12" t="s">
        <v>33</v>
      </c>
      <c r="C42"/>
      <c r="D42"/>
      <c r="E42" s="15"/>
    </row>
    <row r="43" spans="1:5" ht="14" x14ac:dyDescent="0.3">
      <c r="A43" s="121" t="s">
        <v>34</v>
      </c>
      <c r="B43" s="12" t="s">
        <v>35</v>
      </c>
      <c r="C43"/>
      <c r="D43"/>
      <c r="E43" s="15"/>
    </row>
    <row r="44" spans="1:5" ht="14" x14ac:dyDescent="0.3">
      <c r="A44" s="121" t="s">
        <v>45</v>
      </c>
      <c r="B44" s="12" t="s">
        <v>36</v>
      </c>
      <c r="C44"/>
      <c r="D44"/>
      <c r="E44" s="15"/>
    </row>
    <row r="45" spans="1:5" ht="14" x14ac:dyDescent="0.3">
      <c r="A45" s="121" t="s">
        <v>37</v>
      </c>
      <c r="B45" s="12" t="s">
        <v>38</v>
      </c>
      <c r="C45"/>
      <c r="D45"/>
      <c r="E45" s="15"/>
    </row>
    <row r="46" spans="1:5" ht="14" x14ac:dyDescent="0.3">
      <c r="A46" s="121" t="s">
        <v>39</v>
      </c>
      <c r="B46" s="12" t="s">
        <v>40</v>
      </c>
      <c r="C46"/>
      <c r="D46"/>
      <c r="E46" s="15"/>
    </row>
    <row r="47" spans="1:5" ht="14" x14ac:dyDescent="0.3">
      <c r="A47" s="121" t="s">
        <v>41</v>
      </c>
      <c r="B47" s="12" t="s">
        <v>42</v>
      </c>
      <c r="C47"/>
      <c r="D47"/>
      <c r="E47" s="15"/>
    </row>
    <row r="48" spans="1:5" ht="14" x14ac:dyDescent="0.3">
      <c r="A48" s="121" t="s">
        <v>43</v>
      </c>
      <c r="B48" s="12" t="s">
        <v>42</v>
      </c>
      <c r="C48"/>
      <c r="D48"/>
      <c r="E48" s="15"/>
    </row>
    <row r="49" spans="1:5" ht="14" x14ac:dyDescent="0.3">
      <c r="A49" s="121" t="s">
        <v>44</v>
      </c>
      <c r="B49" s="12" t="s">
        <v>42</v>
      </c>
      <c r="C49"/>
      <c r="D49"/>
      <c r="E49" s="15"/>
    </row>
    <row r="50" spans="1:5" ht="14" x14ac:dyDescent="0.3">
      <c r="A50" s="14"/>
      <c r="B50" s="15"/>
      <c r="D50" s="14"/>
      <c r="E50" s="15"/>
    </row>
  </sheetData>
  <sheetProtection algorithmName="SHA-512" hashValue="AZPIsIN9KFEyplvqje2iJIzwiMnsuavUjzvPRFb++4I/l+0BVNy1tw/ItjEhwbPRTeQumuhjtFMMGUZ1aYnSnw==" saltValue="ENyjyUZenCp7BOYNOmTGcw==" spinCount="100000" sheet="1" objects="1" scenarios="1"/>
  <mergeCells count="105">
    <mergeCell ref="T18:U18"/>
    <mergeCell ref="T13:U13"/>
    <mergeCell ref="L18:M18"/>
    <mergeCell ref="N18:O18"/>
    <mergeCell ref="P18:Q18"/>
    <mergeCell ref="R18:S18"/>
    <mergeCell ref="B18:C18"/>
    <mergeCell ref="D18:E18"/>
    <mergeCell ref="F18:G18"/>
    <mergeCell ref="H18:I18"/>
    <mergeCell ref="J18:K18"/>
    <mergeCell ref="B13:C13"/>
    <mergeCell ref="D13:E13"/>
    <mergeCell ref="F13:G13"/>
    <mergeCell ref="H13:I13"/>
    <mergeCell ref="J13:K13"/>
    <mergeCell ref="L13:M13"/>
    <mergeCell ref="N13:O13"/>
    <mergeCell ref="P13:Q13"/>
    <mergeCell ref="R13:S13"/>
    <mergeCell ref="T11:U11"/>
    <mergeCell ref="B12:C12"/>
    <mergeCell ref="D12:E12"/>
    <mergeCell ref="F12:G12"/>
    <mergeCell ref="H12:I12"/>
    <mergeCell ref="J12:K12"/>
    <mergeCell ref="L12:M12"/>
    <mergeCell ref="N12:O12"/>
    <mergeCell ref="P12:Q12"/>
    <mergeCell ref="R12:S12"/>
    <mergeCell ref="T12:U12"/>
    <mergeCell ref="B11:C11"/>
    <mergeCell ref="D11:E11"/>
    <mergeCell ref="F11:G11"/>
    <mergeCell ref="H11:I11"/>
    <mergeCell ref="J11:K11"/>
    <mergeCell ref="L11:M11"/>
    <mergeCell ref="N11:O11"/>
    <mergeCell ref="P11:Q11"/>
    <mergeCell ref="R11:S11"/>
    <mergeCell ref="B10:C10"/>
    <mergeCell ref="D10:E10"/>
    <mergeCell ref="F10:G10"/>
    <mergeCell ref="A1:G1"/>
    <mergeCell ref="A4:D4"/>
    <mergeCell ref="B5:D5"/>
    <mergeCell ref="B6:D6"/>
    <mergeCell ref="B7:D7"/>
    <mergeCell ref="T10:U10"/>
    <mergeCell ref="H10:I10"/>
    <mergeCell ref="J10:K10"/>
    <mergeCell ref="L10:M10"/>
    <mergeCell ref="N10:O10"/>
    <mergeCell ref="P10:Q10"/>
    <mergeCell ref="R10:S10"/>
    <mergeCell ref="L21:M21"/>
    <mergeCell ref="N21:O21"/>
    <mergeCell ref="P21:Q21"/>
    <mergeCell ref="R21:S21"/>
    <mergeCell ref="T21:U21"/>
    <mergeCell ref="B21:C21"/>
    <mergeCell ref="D21:E21"/>
    <mergeCell ref="F21:G21"/>
    <mergeCell ref="H21:I21"/>
    <mergeCell ref="J21:K21"/>
    <mergeCell ref="L22:M22"/>
    <mergeCell ref="N22:O22"/>
    <mergeCell ref="P22:Q22"/>
    <mergeCell ref="R22:S22"/>
    <mergeCell ref="T22:U22"/>
    <mergeCell ref="B22:C22"/>
    <mergeCell ref="D22:E22"/>
    <mergeCell ref="F22:G22"/>
    <mergeCell ref="H22:I22"/>
    <mergeCell ref="J22:K22"/>
    <mergeCell ref="L23:M23"/>
    <mergeCell ref="N23:O23"/>
    <mergeCell ref="P23:Q23"/>
    <mergeCell ref="R23:S23"/>
    <mergeCell ref="T23:U23"/>
    <mergeCell ref="B23:C23"/>
    <mergeCell ref="D23:E23"/>
    <mergeCell ref="F23:G23"/>
    <mergeCell ref="H23:I23"/>
    <mergeCell ref="J23:K23"/>
    <mergeCell ref="L24:M24"/>
    <mergeCell ref="N24:O24"/>
    <mergeCell ref="P24:Q24"/>
    <mergeCell ref="R24:S24"/>
    <mergeCell ref="T24:U24"/>
    <mergeCell ref="B24:C24"/>
    <mergeCell ref="D24:E24"/>
    <mergeCell ref="F24:G24"/>
    <mergeCell ref="H24:I24"/>
    <mergeCell ref="J24:K24"/>
    <mergeCell ref="L29:M29"/>
    <mergeCell ref="N29:O29"/>
    <mergeCell ref="P29:Q29"/>
    <mergeCell ref="R29:S29"/>
    <mergeCell ref="T29:U29"/>
    <mergeCell ref="B29:C29"/>
    <mergeCell ref="D29:E29"/>
    <mergeCell ref="F29:G29"/>
    <mergeCell ref="H29:I29"/>
    <mergeCell ref="J29:K29"/>
  </mergeCells>
  <phoneticPr fontId="4" type="noConversion"/>
  <dataValidations count="1">
    <dataValidation type="whole" allowBlank="1" showInputMessage="1" showErrorMessage="1" promptTitle="C Factor" prompt="150 is used for PVC pipe." sqref="A5" xr:uid="{714A5F27-B85A-4E9A-ABA8-4D8365DA8208}">
      <formula1>140</formula1>
      <formula2>150</formula2>
    </dataValidation>
  </dataValidations>
  <pageMargins left="0.25" right="0.25" top="0.25" bottom="0.25" header="0.3" footer="0.3"/>
  <pageSetup paperSize="3" orientation="landscape" verticalDpi="1200" r:id="rId1"/>
  <headerFooter alignWithMargins="0"/>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86FB9-074D-4411-A17A-87C9AEF6F1B2}">
  <dimension ref="A3:J36"/>
  <sheetViews>
    <sheetView topLeftCell="A3" zoomScale="124" zoomScaleNormal="124" workbookViewId="0">
      <selection activeCell="G32" sqref="G32"/>
    </sheetView>
  </sheetViews>
  <sheetFormatPr defaultColWidth="9.1796875" defaultRowHeight="12.5" x14ac:dyDescent="0.25"/>
  <cols>
    <col min="1" max="1" width="9.1796875" style="1"/>
    <col min="2" max="2" width="22.81640625" style="1" bestFit="1" customWidth="1"/>
    <col min="3" max="3" width="14.54296875" style="1" bestFit="1" customWidth="1"/>
    <col min="4" max="4" width="18" style="1" bestFit="1" customWidth="1"/>
    <col min="5" max="5" width="21.26953125" style="1" bestFit="1" customWidth="1"/>
    <col min="6" max="7" width="18.7265625" style="1" customWidth="1"/>
    <col min="8" max="8" width="17.453125" style="1" customWidth="1"/>
    <col min="9" max="9" width="16.7265625" style="1" customWidth="1"/>
    <col min="10" max="10" width="13.54296875" style="1" customWidth="1"/>
    <col min="11" max="16384" width="9.1796875" style="1"/>
  </cols>
  <sheetData>
    <row r="3" spans="1:10" ht="25" x14ac:dyDescent="0.25">
      <c r="A3" s="52"/>
      <c r="B3" s="53" t="s">
        <v>136</v>
      </c>
      <c r="C3" s="54" t="s">
        <v>55</v>
      </c>
      <c r="D3" s="52" t="s">
        <v>56</v>
      </c>
      <c r="E3" s="52" t="s">
        <v>137</v>
      </c>
      <c r="F3" s="53" t="s">
        <v>57</v>
      </c>
      <c r="G3" s="53" t="s">
        <v>90</v>
      </c>
      <c r="H3" s="54" t="s">
        <v>138</v>
      </c>
      <c r="I3" s="53" t="s">
        <v>139</v>
      </c>
      <c r="J3" s="53" t="s">
        <v>140</v>
      </c>
    </row>
    <row r="4" spans="1:10" x14ac:dyDescent="0.25">
      <c r="B4" s="16" t="s">
        <v>215</v>
      </c>
      <c r="C4" s="1">
        <v>0.55000000000000004</v>
      </c>
      <c r="D4" s="1">
        <v>2.0699999999999998</v>
      </c>
      <c r="E4" s="1">
        <v>0.05</v>
      </c>
      <c r="F4" s="1">
        <v>12</v>
      </c>
      <c r="G4" s="1">
        <v>1</v>
      </c>
      <c r="H4" s="1">
        <v>0.6</v>
      </c>
      <c r="I4" s="1">
        <v>0.6</v>
      </c>
      <c r="J4" s="1">
        <f>Table24[[#This Row],[Actual Flow @ 30 psi]]/60</f>
        <v>0.01</v>
      </c>
    </row>
    <row r="5" spans="1:10" x14ac:dyDescent="0.25">
      <c r="B5" s="16" t="s">
        <v>216</v>
      </c>
      <c r="C5" s="1">
        <v>0.55000000000000004</v>
      </c>
      <c r="D5" s="1">
        <v>2.0699999999999998</v>
      </c>
      <c r="E5" s="1">
        <v>0.05</v>
      </c>
      <c r="F5" s="1">
        <v>24</v>
      </c>
      <c r="G5" s="1">
        <v>2</v>
      </c>
      <c r="H5" s="1">
        <v>0.6</v>
      </c>
      <c r="I5" s="1">
        <v>0.6</v>
      </c>
      <c r="J5" s="1">
        <f>Table24[[#This Row],[Actual Flow @ 30 psi]]/60</f>
        <v>0.01</v>
      </c>
    </row>
    <row r="6" spans="1:10" x14ac:dyDescent="0.25">
      <c r="B6" s="16" t="s">
        <v>217</v>
      </c>
      <c r="C6" s="1">
        <v>0.55000000000000004</v>
      </c>
      <c r="D6" s="1">
        <v>2.0699999999999998</v>
      </c>
      <c r="E6" s="1">
        <v>0.02</v>
      </c>
      <c r="F6" s="1">
        <v>12</v>
      </c>
      <c r="G6" s="1">
        <v>1</v>
      </c>
      <c r="H6" s="1">
        <v>0.9</v>
      </c>
      <c r="I6" s="1">
        <v>0.9</v>
      </c>
      <c r="J6" s="1">
        <f>Table24[[#This Row],[Actual Flow @ 30 psi]]/60</f>
        <v>1.5000000000000001E-2</v>
      </c>
    </row>
    <row r="7" spans="1:10" x14ac:dyDescent="0.25">
      <c r="B7" s="16" t="s">
        <v>218</v>
      </c>
      <c r="C7" s="1">
        <v>0.55000000000000004</v>
      </c>
      <c r="D7" s="1">
        <v>2.0699999999999998</v>
      </c>
      <c r="E7" s="1">
        <v>0.02</v>
      </c>
      <c r="F7" s="1">
        <v>24</v>
      </c>
      <c r="G7" s="1">
        <v>2</v>
      </c>
      <c r="H7" s="1">
        <v>0.9</v>
      </c>
      <c r="I7" s="1">
        <v>0.9</v>
      </c>
      <c r="J7" s="1">
        <f>Table24[[#This Row],[Actual Flow @ 30 psi]]/60</f>
        <v>1.5000000000000001E-2</v>
      </c>
    </row>
    <row r="8" spans="1:10" x14ac:dyDescent="0.25">
      <c r="B8" s="16" t="s">
        <v>141</v>
      </c>
      <c r="C8" s="1">
        <v>0.56000000000000005</v>
      </c>
      <c r="D8" s="1">
        <v>0.92</v>
      </c>
      <c r="E8" s="1">
        <v>0</v>
      </c>
      <c r="F8" s="1">
        <v>12</v>
      </c>
      <c r="G8" s="1">
        <v>1</v>
      </c>
      <c r="H8" s="1">
        <v>0.42</v>
      </c>
      <c r="I8" s="1">
        <v>0.42</v>
      </c>
      <c r="J8" s="1">
        <f>Table24[[#This Row],[Actual Flow @ 30 psi]]/60</f>
        <v>7.0000000000000001E-3</v>
      </c>
    </row>
    <row r="9" spans="1:10" x14ac:dyDescent="0.25">
      <c r="B9" s="16" t="s">
        <v>142</v>
      </c>
      <c r="C9" s="1">
        <v>0.56000000000000005</v>
      </c>
      <c r="D9" s="1">
        <v>0.92</v>
      </c>
      <c r="E9" s="1">
        <v>0</v>
      </c>
      <c r="F9" s="1">
        <v>24</v>
      </c>
      <c r="G9" s="1">
        <v>2</v>
      </c>
      <c r="H9" s="1">
        <v>0.42</v>
      </c>
      <c r="I9" s="1">
        <v>0.42</v>
      </c>
      <c r="J9" s="1">
        <f>Table24[[#This Row],[Actual Flow @ 30 psi]]/60</f>
        <v>7.0000000000000001E-3</v>
      </c>
    </row>
    <row r="10" spans="1:10" x14ac:dyDescent="0.25">
      <c r="B10" s="16" t="s">
        <v>143</v>
      </c>
      <c r="C10" s="1">
        <v>0.56000000000000005</v>
      </c>
      <c r="D10" s="1">
        <v>0.92</v>
      </c>
      <c r="E10" s="1">
        <v>0</v>
      </c>
      <c r="F10" s="1">
        <v>12</v>
      </c>
      <c r="G10" s="1">
        <v>1</v>
      </c>
      <c r="H10" s="1">
        <v>0.55000000000000004</v>
      </c>
      <c r="I10" s="1">
        <v>0.6</v>
      </c>
      <c r="J10" s="55">
        <f>Table24[[#This Row],[Actual Flow @ 30 psi]]/60</f>
        <v>0.01</v>
      </c>
    </row>
    <row r="11" spans="1:10" x14ac:dyDescent="0.25">
      <c r="B11" s="16" t="s">
        <v>144</v>
      </c>
      <c r="C11" s="1">
        <v>0.56000000000000005</v>
      </c>
      <c r="D11" s="1">
        <v>0.92</v>
      </c>
      <c r="E11" s="1">
        <v>0</v>
      </c>
      <c r="F11" s="1">
        <v>24</v>
      </c>
      <c r="G11" s="1">
        <v>2</v>
      </c>
      <c r="H11" s="1">
        <v>0.55000000000000004</v>
      </c>
      <c r="I11" s="1">
        <v>0.6</v>
      </c>
      <c r="J11" s="55">
        <f>Table24[[#This Row],[Actual Flow @ 30 psi]]/60</f>
        <v>0.01</v>
      </c>
    </row>
    <row r="12" spans="1:10" x14ac:dyDescent="0.25">
      <c r="B12" s="16" t="s">
        <v>145</v>
      </c>
      <c r="C12" s="1">
        <v>0.56000000000000005</v>
      </c>
      <c r="D12" s="1">
        <v>0.92</v>
      </c>
      <c r="E12" s="1">
        <v>0</v>
      </c>
      <c r="F12" s="1">
        <v>12</v>
      </c>
      <c r="G12" s="1">
        <v>1</v>
      </c>
      <c r="H12" s="1">
        <v>1</v>
      </c>
      <c r="I12" s="1">
        <v>1</v>
      </c>
      <c r="J12" s="55">
        <f>Table24[[#This Row],[Actual Flow @ 30 psi]]/60</f>
        <v>1.6666666666666666E-2</v>
      </c>
    </row>
    <row r="13" spans="1:10" x14ac:dyDescent="0.25">
      <c r="B13" s="16" t="s">
        <v>146</v>
      </c>
      <c r="C13" s="1">
        <v>0.56000000000000005</v>
      </c>
      <c r="D13" s="1">
        <v>0.92</v>
      </c>
      <c r="E13" s="1">
        <v>0</v>
      </c>
      <c r="F13" s="1">
        <v>24</v>
      </c>
      <c r="G13" s="1">
        <v>2</v>
      </c>
      <c r="H13" s="1">
        <v>1</v>
      </c>
      <c r="I13" s="1">
        <v>1</v>
      </c>
      <c r="J13" s="55">
        <f>Table24[[#This Row],[Actual Flow @ 30 psi]]/60</f>
        <v>1.6666666666666666E-2</v>
      </c>
    </row>
    <row r="16" spans="1:10" ht="25" x14ac:dyDescent="0.25">
      <c r="B16" s="56" t="s">
        <v>147</v>
      </c>
      <c r="C16" s="56" t="s">
        <v>148</v>
      </c>
      <c r="D16" s="56" t="s">
        <v>149</v>
      </c>
      <c r="E16" s="56" t="s">
        <v>213</v>
      </c>
      <c r="F16" s="56"/>
      <c r="G16" s="56"/>
      <c r="H16" s="124"/>
    </row>
    <row r="17" spans="2:7" x14ac:dyDescent="0.25">
      <c r="B17" s="51">
        <v>60</v>
      </c>
      <c r="C17" s="57">
        <v>50</v>
      </c>
      <c r="D17" s="51">
        <v>3</v>
      </c>
      <c r="E17" s="51">
        <v>1</v>
      </c>
    </row>
    <row r="18" spans="2:7" x14ac:dyDescent="0.25">
      <c r="B18" s="51">
        <v>50</v>
      </c>
      <c r="C18" s="57">
        <v>40</v>
      </c>
      <c r="D18" s="51">
        <v>2.5</v>
      </c>
      <c r="E18" s="51">
        <v>1.5</v>
      </c>
    </row>
    <row r="19" spans="2:7" x14ac:dyDescent="0.25">
      <c r="B19" s="51">
        <v>40</v>
      </c>
      <c r="C19" s="51">
        <v>30</v>
      </c>
      <c r="D19" s="51">
        <v>2</v>
      </c>
      <c r="E19" s="51">
        <v>2</v>
      </c>
    </row>
    <row r="20" spans="2:7" x14ac:dyDescent="0.25">
      <c r="B20" s="51">
        <v>30</v>
      </c>
      <c r="C20" s="51">
        <v>20</v>
      </c>
      <c r="D20" s="51">
        <v>1.5</v>
      </c>
      <c r="E20" s="51">
        <v>2.5</v>
      </c>
    </row>
    <row r="21" spans="2:7" x14ac:dyDescent="0.25">
      <c r="B21" s="51">
        <v>20</v>
      </c>
      <c r="C21" s="51">
        <v>10</v>
      </c>
      <c r="D21" s="51">
        <v>1</v>
      </c>
      <c r="E21" s="51">
        <v>3</v>
      </c>
    </row>
    <row r="22" spans="2:7" x14ac:dyDescent="0.25">
      <c r="B22" s="51">
        <v>10</v>
      </c>
      <c r="C22" s="51">
        <v>7</v>
      </c>
      <c r="D22" s="51">
        <v>0.5</v>
      </c>
      <c r="E22" s="51">
        <v>3.5</v>
      </c>
    </row>
    <row r="23" spans="2:7" x14ac:dyDescent="0.25">
      <c r="B23" s="51"/>
      <c r="C23" s="51"/>
      <c r="D23" s="51"/>
      <c r="E23" s="51">
        <v>4</v>
      </c>
    </row>
    <row r="28" spans="2:7" x14ac:dyDescent="0.25">
      <c r="C28" s="16" t="s">
        <v>150</v>
      </c>
      <c r="D28" s="16" t="s">
        <v>151</v>
      </c>
      <c r="E28" s="16" t="s">
        <v>152</v>
      </c>
      <c r="F28" s="16" t="s">
        <v>153</v>
      </c>
      <c r="G28" s="16" t="s">
        <v>214</v>
      </c>
    </row>
    <row r="29" spans="2:7" x14ac:dyDescent="0.25">
      <c r="B29" s="1" t="str">
        <f>'Step 3 - Zone TDH'!A3</f>
        <v>G-WFPC-16-4-12-PRO</v>
      </c>
      <c r="C29" s="1">
        <f>LOOKUP(B29,Table24[Drip Tube
 Model '#],Table24[Nominal Flow
GPM])</f>
        <v>1.5000000000000001E-2</v>
      </c>
      <c r="D29" s="1">
        <f>LOOKUP(B29,Table24[Drip Tube
 Model '#],Table24[Emitter Spacing
Feet])</f>
        <v>1</v>
      </c>
      <c r="E29" s="1">
        <f>'Step 3 - Zone TDH'!A6</f>
        <v>2</v>
      </c>
      <c r="F29" s="2">
        <f>E29/(0.4085/(LOOKUP(B29,Table24[Drip Tube
 Model '#],Table24[Tube ID
Inches]))^2)</f>
        <v>1.4810281517747863</v>
      </c>
      <c r="G29" s="21">
        <f>LOOKUP(B29,Table24[Drip Tube
 Model '#],Table24[Tube ID
Inches])^2*0.04079905</f>
        <v>1.2341712625000003E-2</v>
      </c>
    </row>
    <row r="30" spans="2:7" x14ac:dyDescent="0.25">
      <c r="B30" s="16" t="s">
        <v>154</v>
      </c>
      <c r="C30" s="1">
        <f>'Step 3 - Zone TDH'!A11</f>
        <v>252</v>
      </c>
      <c r="G30" s="21">
        <f>C30*G29</f>
        <v>3.1101115815000004</v>
      </c>
    </row>
    <row r="31" spans="2:7" x14ac:dyDescent="0.25">
      <c r="B31" s="16" t="s">
        <v>155</v>
      </c>
      <c r="C31" s="1">
        <f>'Step 3 - Zone TDH'!A10</f>
        <v>2</v>
      </c>
    </row>
    <row r="32" spans="2:7" x14ac:dyDescent="0.25">
      <c r="B32" s="16" t="s">
        <v>156</v>
      </c>
      <c r="C32" s="1">
        <f>C30*C29/D29/C31</f>
        <v>1.8900000000000001</v>
      </c>
    </row>
    <row r="33" spans="2:3" x14ac:dyDescent="0.25">
      <c r="B33" s="16" t="s">
        <v>157</v>
      </c>
      <c r="C33" s="1">
        <f>C30*C29/D29</f>
        <v>3.7800000000000002</v>
      </c>
    </row>
    <row r="34" spans="2:3" x14ac:dyDescent="0.25">
      <c r="B34" s="16" t="s">
        <v>158</v>
      </c>
      <c r="C34" s="19">
        <f>C32+F29</f>
        <v>3.3710281517747864</v>
      </c>
    </row>
    <row r="35" spans="2:3" x14ac:dyDescent="0.25">
      <c r="B35" s="16" t="s">
        <v>159</v>
      </c>
      <c r="C35" s="19">
        <f>C33+(C31*F29)</f>
        <v>6.7420563035495729</v>
      </c>
    </row>
    <row r="36" spans="2:3" x14ac:dyDescent="0.25">
      <c r="B36" s="16" t="s">
        <v>160</v>
      </c>
      <c r="C36" s="19">
        <f>C35-C33</f>
        <v>2.9620563035495726</v>
      </c>
    </row>
  </sheetData>
  <pageMargins left="0.25" right="0.25" top="0.25" bottom="0.25" header="0.3" footer="0.3"/>
  <pageSetup orientation="landscape"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2B59E-FECF-4C48-95D5-0C2BAF02355D}">
  <dimension ref="A1:CS785"/>
  <sheetViews>
    <sheetView zoomScale="124" zoomScaleNormal="124" workbookViewId="0">
      <pane ySplit="25" topLeftCell="A131" activePane="bottomLeft" state="frozen"/>
      <selection activeCell="Q5" sqref="Q5"/>
      <selection pane="bottomLeft" activeCell="E132" sqref="E132"/>
    </sheetView>
  </sheetViews>
  <sheetFormatPr defaultColWidth="9.1796875" defaultRowHeight="12.5" x14ac:dyDescent="0.25"/>
  <cols>
    <col min="1" max="1" width="10.453125" style="1" customWidth="1"/>
    <col min="2" max="2" width="29.453125" style="1" bestFit="1" customWidth="1"/>
    <col min="3" max="3" width="20" style="1" bestFit="1" customWidth="1"/>
    <col min="4" max="4" width="11.81640625" style="1" hidden="1" customWidth="1"/>
    <col min="5" max="5" width="21.7265625" style="1" customWidth="1"/>
    <col min="6" max="6" width="11.1796875" style="1" hidden="1" customWidth="1"/>
    <col min="7" max="7" width="13.1796875" style="1" hidden="1" customWidth="1"/>
    <col min="8" max="8" width="15.1796875" style="1" hidden="1" customWidth="1"/>
    <col min="9" max="9" width="16.7265625" style="1" hidden="1" customWidth="1"/>
    <col min="10" max="10" width="11.81640625" style="1" hidden="1" customWidth="1"/>
    <col min="11" max="11" width="13.1796875" style="1" customWidth="1"/>
    <col min="12" max="12" width="12.453125" style="1" hidden="1" customWidth="1"/>
    <col min="13" max="13" width="13" style="1" hidden="1" customWidth="1"/>
    <col min="14" max="14" width="14.54296875" style="1" hidden="1" customWidth="1"/>
    <col min="15" max="15" width="18" style="1" bestFit="1" customWidth="1"/>
    <col min="16" max="16" width="12.26953125" style="1" bestFit="1" customWidth="1"/>
    <col min="17" max="17" width="12.453125" style="1" bestFit="1" customWidth="1"/>
    <col min="18" max="18" width="12.7265625" style="1" hidden="1" customWidth="1"/>
    <col min="19" max="19" width="12.453125" style="1" bestFit="1" customWidth="1"/>
    <col min="20" max="20" width="14.453125" style="1" hidden="1" customWidth="1"/>
    <col min="21" max="21" width="14.26953125" style="1" hidden="1" customWidth="1"/>
    <col min="22" max="23" width="11.54296875" style="1" hidden="1" customWidth="1"/>
    <col min="24" max="24" width="13.1796875" style="1" hidden="1" customWidth="1"/>
    <col min="25" max="25" width="13.26953125" style="1" customWidth="1"/>
    <col min="26" max="26" width="12.81640625" style="1" hidden="1" customWidth="1"/>
    <col min="27" max="27" width="18" style="1" hidden="1" customWidth="1"/>
    <col min="28" max="28" width="12.26953125" style="1" hidden="1" customWidth="1"/>
    <col min="29" max="29" width="12.453125" style="1" bestFit="1" customWidth="1"/>
    <col min="30" max="30" width="10.54296875" style="1" bestFit="1" customWidth="1"/>
    <col min="31" max="31" width="12.453125" style="1" bestFit="1" customWidth="1"/>
    <col min="32" max="32" width="14.453125" style="1" bestFit="1" customWidth="1"/>
    <col min="33" max="34" width="9.54296875" style="1" bestFit="1" customWidth="1"/>
    <col min="35" max="35" width="8.453125" style="1" customWidth="1"/>
    <col min="36" max="36" width="13.1796875" style="1" bestFit="1" customWidth="1"/>
    <col min="37" max="37" width="13.54296875" style="1" customWidth="1"/>
    <col min="38" max="38" width="9.1796875" style="1"/>
    <col min="39" max="39" width="18" style="1" bestFit="1" customWidth="1"/>
    <col min="40" max="40" width="12.26953125" style="1" bestFit="1" customWidth="1"/>
    <col min="41" max="41" width="12.453125" style="1" bestFit="1" customWidth="1"/>
    <col min="42" max="42" width="10.54296875" style="1" bestFit="1" customWidth="1"/>
    <col min="43" max="43" width="12.453125" style="1" bestFit="1" customWidth="1"/>
    <col min="44" max="44" width="14.453125" style="1" bestFit="1" customWidth="1"/>
    <col min="45" max="46" width="9.54296875" style="1" bestFit="1" customWidth="1"/>
    <col min="47" max="47" width="10.26953125" style="1" customWidth="1"/>
    <col min="48" max="48" width="13.1796875" style="1" bestFit="1" customWidth="1"/>
    <col min="49" max="49" width="9.1796875" style="1"/>
    <col min="50" max="50" width="7.81640625" style="1" bestFit="1" customWidth="1"/>
    <col min="51" max="51" width="18" style="1" bestFit="1" customWidth="1"/>
    <col min="52" max="52" width="12.26953125" style="1" bestFit="1" customWidth="1"/>
    <col min="53" max="53" width="12.453125" style="1" bestFit="1" customWidth="1"/>
    <col min="54" max="54" width="10.54296875" style="1" bestFit="1" customWidth="1"/>
    <col min="55" max="55" width="12.453125" style="1" bestFit="1" customWidth="1"/>
    <col min="56" max="56" width="14.453125" style="1" bestFit="1" customWidth="1"/>
    <col min="57" max="58" width="9.54296875" style="1" bestFit="1" customWidth="1"/>
    <col min="59" max="59" width="11.7265625" style="1" customWidth="1"/>
    <col min="60" max="60" width="13.1796875" style="1" bestFit="1" customWidth="1"/>
    <col min="61" max="61" width="9.1796875" style="1"/>
    <col min="62" max="62" width="8" style="1" bestFit="1" customWidth="1"/>
    <col min="63" max="63" width="18" style="1" bestFit="1" customWidth="1"/>
    <col min="64" max="64" width="12.26953125" style="1" bestFit="1" customWidth="1"/>
    <col min="65" max="65" width="12.453125" style="1" bestFit="1" customWidth="1"/>
    <col min="66" max="66" width="10.54296875" style="1" bestFit="1" customWidth="1"/>
    <col min="67" max="67" width="12.453125" style="1" bestFit="1" customWidth="1"/>
    <col min="68" max="68" width="14.453125" style="1" bestFit="1" customWidth="1"/>
    <col min="69" max="70" width="9.54296875" style="1" bestFit="1" customWidth="1"/>
    <col min="71" max="71" width="9.54296875" style="1" customWidth="1"/>
    <col min="72" max="72" width="13.1796875" style="1" bestFit="1" customWidth="1"/>
    <col min="73" max="73" width="11.453125" style="1" customWidth="1"/>
    <col min="74" max="74" width="9.1796875" style="1"/>
    <col min="75" max="75" width="18.1796875" style="1" customWidth="1"/>
    <col min="76" max="76" width="9.1796875" style="1"/>
    <col min="77" max="77" width="13.26953125" style="1" customWidth="1"/>
    <col min="78" max="78" width="12.54296875" style="1" customWidth="1"/>
    <col min="79" max="79" width="12.81640625" style="1" customWidth="1"/>
    <col min="80" max="83" width="9.1796875" style="1"/>
    <col min="84" max="84" width="13.453125" style="1" customWidth="1"/>
    <col min="85" max="85" width="11.453125" style="1" customWidth="1"/>
    <col min="86" max="86" width="9.1796875" style="1"/>
    <col min="87" max="87" width="17.81640625" style="1" customWidth="1"/>
    <col min="88" max="88" width="12.7265625" style="1" customWidth="1"/>
    <col min="89" max="89" width="13.453125" style="1" customWidth="1"/>
    <col min="90" max="90" width="12.453125" style="1" customWidth="1"/>
    <col min="91" max="91" width="13.26953125" style="1" customWidth="1"/>
    <col min="92" max="92" width="14.7265625" style="1" customWidth="1"/>
    <col min="93" max="93" width="12" style="1" customWidth="1"/>
    <col min="94" max="94" width="9.1796875" style="1"/>
    <col min="95" max="95" width="11.1796875" style="1" customWidth="1"/>
    <col min="96" max="96" width="12.26953125" style="1" customWidth="1"/>
    <col min="97" max="97" width="12.1796875" style="1" customWidth="1"/>
    <col min="98" max="16384" width="9.1796875" style="1"/>
  </cols>
  <sheetData>
    <row r="1" spans="1:89" ht="23" x14ac:dyDescent="0.5">
      <c r="A1" s="58" t="s">
        <v>58</v>
      </c>
      <c r="P1" s="59"/>
      <c r="Q1" s="60"/>
      <c r="R1" s="60"/>
      <c r="S1" s="61"/>
      <c r="T1" s="62"/>
      <c r="U1" s="63"/>
      <c r="Z1" s="64"/>
      <c r="AL1" s="64"/>
      <c r="AX1" s="64"/>
      <c r="BJ1" s="64"/>
      <c r="BV1" s="64"/>
      <c r="CH1" s="64"/>
    </row>
    <row r="2" spans="1:89" ht="13" x14ac:dyDescent="0.3">
      <c r="A2" s="65" t="s">
        <v>194</v>
      </c>
      <c r="B2" s="66"/>
      <c r="P2" s="60"/>
      <c r="Q2" s="60"/>
      <c r="R2" s="60"/>
      <c r="S2" s="60"/>
      <c r="T2" s="60"/>
      <c r="U2" s="17"/>
      <c r="AA2" s="67"/>
      <c r="AM2" s="67"/>
      <c r="AY2" s="67"/>
      <c r="BK2" s="67"/>
      <c r="BW2" s="67"/>
      <c r="CI2" s="67"/>
    </row>
    <row r="3" spans="1:89" ht="15.5" x14ac:dyDescent="0.35">
      <c r="B3" s="63" t="s">
        <v>59</v>
      </c>
      <c r="N3" s="68"/>
      <c r="O3" s="68"/>
      <c r="P3" s="69"/>
      <c r="Q3" s="70"/>
      <c r="R3" s="70"/>
      <c r="S3" s="70"/>
      <c r="T3" s="70"/>
      <c r="U3" s="17"/>
      <c r="AA3" s="63"/>
      <c r="AM3" s="63"/>
      <c r="AY3" s="63"/>
      <c r="BK3" s="63"/>
      <c r="BW3" s="63"/>
      <c r="CI3" s="63"/>
    </row>
    <row r="4" spans="1:89" ht="18.649999999999999" customHeight="1" x14ac:dyDescent="0.3">
      <c r="B4" s="17" t="s">
        <v>71</v>
      </c>
      <c r="C4" s="1" t="str">
        <f>'Step 3 - Zone TDH'!A3</f>
        <v>G-WFPC-16-4-12-PRO</v>
      </c>
      <c r="D4" s="71"/>
      <c r="E4" s="60"/>
      <c r="F4" s="60"/>
      <c r="H4" s="57"/>
      <c r="I4" s="16"/>
      <c r="J4" s="16"/>
      <c r="K4" s="57"/>
      <c r="L4" s="16"/>
      <c r="M4" s="16"/>
      <c r="N4" s="72"/>
      <c r="O4" s="72"/>
      <c r="P4" s="73"/>
      <c r="Q4" s="74"/>
      <c r="R4" s="70"/>
      <c r="S4" s="70"/>
      <c r="T4" s="70"/>
      <c r="U4" s="17"/>
      <c r="AA4" s="17"/>
      <c r="AB4" s="75"/>
      <c r="AC4" s="17"/>
      <c r="AM4" s="17"/>
      <c r="AN4" s="75"/>
      <c r="AO4" s="17"/>
      <c r="AY4" s="17"/>
      <c r="AZ4" s="75"/>
      <c r="BA4" s="17"/>
      <c r="BK4" s="17"/>
      <c r="BL4" s="75"/>
      <c r="BM4" s="17"/>
      <c r="BW4" s="17"/>
      <c r="BX4" s="75"/>
      <c r="BY4" s="17"/>
      <c r="CI4" s="17"/>
      <c r="CJ4" s="75"/>
      <c r="CK4" s="17"/>
    </row>
    <row r="5" spans="1:89" ht="14.15" hidden="1" customHeight="1" x14ac:dyDescent="0.3">
      <c r="B5" s="16" t="s">
        <v>195</v>
      </c>
      <c r="C5" s="76">
        <f>LOOKUP(C4,Table24[Drip Tube
 Model '#],Table24[Tube ID
Inches])</f>
        <v>0.55000000000000004</v>
      </c>
      <c r="D5" s="77"/>
      <c r="E5" s="60"/>
      <c r="F5" s="60"/>
      <c r="H5" s="57"/>
      <c r="I5" s="16"/>
      <c r="J5" s="16"/>
      <c r="K5" s="57"/>
      <c r="L5" s="16"/>
      <c r="M5" s="16"/>
      <c r="N5" s="78"/>
      <c r="O5" s="78"/>
      <c r="P5" s="79"/>
      <c r="Q5" s="80"/>
      <c r="R5" s="81"/>
      <c r="S5" s="81"/>
      <c r="T5" s="81"/>
      <c r="U5" s="17"/>
      <c r="AA5" s="17"/>
      <c r="AB5" s="82"/>
      <c r="AC5" s="83"/>
      <c r="AM5" s="17"/>
      <c r="AN5" s="82"/>
      <c r="AO5" s="83"/>
      <c r="AY5" s="17"/>
      <c r="AZ5" s="82"/>
      <c r="BA5" s="83"/>
      <c r="BK5" s="17"/>
      <c r="BL5" s="82"/>
      <c r="BM5" s="83"/>
      <c r="BW5" s="17"/>
      <c r="BX5" s="82"/>
      <c r="BY5" s="83"/>
      <c r="CI5" s="17"/>
      <c r="CJ5" s="82"/>
      <c r="CK5" s="83"/>
    </row>
    <row r="6" spans="1:89" ht="17.149999999999999" hidden="1" customHeight="1" x14ac:dyDescent="0.3">
      <c r="B6" s="16" t="s">
        <v>60</v>
      </c>
      <c r="C6" s="84">
        <v>140</v>
      </c>
      <c r="D6" s="71"/>
      <c r="F6" s="85"/>
      <c r="H6" s="16"/>
      <c r="I6" s="16"/>
      <c r="J6" s="16"/>
      <c r="K6" s="16"/>
      <c r="L6" s="16"/>
      <c r="M6" s="16"/>
      <c r="N6" s="72"/>
      <c r="O6" s="72"/>
      <c r="P6" s="73"/>
      <c r="Q6" s="74"/>
      <c r="R6" s="60"/>
      <c r="S6" s="60"/>
      <c r="T6" s="61"/>
      <c r="U6" s="62"/>
      <c r="AA6" s="17"/>
      <c r="AB6" s="17"/>
      <c r="AC6" s="17"/>
      <c r="AM6" s="17"/>
      <c r="AN6" s="17"/>
      <c r="AO6" s="17"/>
      <c r="AY6" s="17"/>
      <c r="AZ6" s="17"/>
      <c r="BA6" s="17"/>
      <c r="BK6" s="17"/>
      <c r="BL6" s="17"/>
      <c r="BM6" s="17"/>
      <c r="BW6" s="17"/>
      <c r="BX6" s="17"/>
      <c r="BY6" s="17"/>
      <c r="CI6" s="17"/>
      <c r="CJ6" s="17"/>
      <c r="CK6" s="17"/>
    </row>
    <row r="7" spans="1:89" ht="16.5" hidden="1" customHeight="1" x14ac:dyDescent="0.3">
      <c r="B7" s="16" t="s">
        <v>72</v>
      </c>
      <c r="C7" s="86">
        <f>10.472/($C$6^1.852)</f>
        <v>1.1101981810979706E-3</v>
      </c>
      <c r="D7" s="71"/>
      <c r="F7" s="85"/>
      <c r="H7" s="16"/>
      <c r="I7" s="16"/>
      <c r="J7" s="16"/>
      <c r="K7" s="16"/>
      <c r="L7" s="57"/>
      <c r="M7" s="87"/>
      <c r="N7" s="88"/>
      <c r="O7" s="72"/>
      <c r="P7" s="73"/>
      <c r="Q7" s="74"/>
      <c r="R7" s="60"/>
      <c r="S7" s="60"/>
      <c r="T7" s="60"/>
      <c r="U7" s="60"/>
      <c r="AA7" s="17"/>
      <c r="AB7" s="89"/>
      <c r="AC7" s="17"/>
      <c r="AM7" s="17"/>
      <c r="AN7" s="89"/>
      <c r="AO7" s="17"/>
      <c r="AY7" s="17"/>
      <c r="AZ7" s="89"/>
      <c r="BA7" s="17"/>
      <c r="BK7" s="17"/>
      <c r="BL7" s="89"/>
      <c r="BM7" s="17"/>
      <c r="BW7" s="17"/>
      <c r="BX7" s="89"/>
      <c r="BY7" s="17"/>
      <c r="CI7" s="17"/>
      <c r="CJ7" s="89"/>
      <c r="CK7" s="17"/>
    </row>
    <row r="8" spans="1:89" ht="17.149999999999999" hidden="1" customHeight="1" x14ac:dyDescent="0.3">
      <c r="B8" s="16"/>
      <c r="C8" s="90"/>
      <c r="D8" s="91"/>
      <c r="F8" s="85"/>
      <c r="H8" s="16"/>
      <c r="I8" s="16"/>
      <c r="J8" s="16"/>
      <c r="K8" s="16"/>
      <c r="L8" s="57"/>
      <c r="M8" s="57"/>
      <c r="N8" s="79"/>
      <c r="O8" s="78"/>
      <c r="P8" s="79"/>
      <c r="Q8" s="80"/>
      <c r="R8" s="51"/>
      <c r="S8" s="51"/>
      <c r="T8" s="51"/>
      <c r="U8" s="51"/>
      <c r="AA8" s="17"/>
      <c r="AB8" s="92"/>
      <c r="AC8" s="93"/>
      <c r="AM8" s="17"/>
      <c r="AN8" s="92"/>
      <c r="AO8" s="93"/>
      <c r="AY8" s="17"/>
      <c r="AZ8" s="92"/>
      <c r="BA8" s="93"/>
      <c r="BK8" s="17"/>
      <c r="BL8" s="92"/>
      <c r="BM8" s="93"/>
      <c r="BW8" s="17"/>
      <c r="BX8" s="92"/>
      <c r="BY8" s="93"/>
      <c r="CI8" s="17"/>
      <c r="CJ8" s="92"/>
      <c r="CK8" s="93"/>
    </row>
    <row r="9" spans="1:89" ht="17.149999999999999" hidden="1" customHeight="1" x14ac:dyDescent="0.3">
      <c r="B9" s="16" t="s">
        <v>196</v>
      </c>
      <c r="C9" s="94">
        <v>0</v>
      </c>
      <c r="D9" s="95"/>
      <c r="F9" s="85"/>
      <c r="H9" s="16"/>
      <c r="I9" s="16"/>
      <c r="J9" s="16"/>
      <c r="K9" s="16"/>
      <c r="L9" s="57"/>
      <c r="M9" s="57"/>
      <c r="N9" s="51"/>
      <c r="O9" s="96"/>
      <c r="P9" s="96"/>
      <c r="Q9" s="51"/>
      <c r="R9" s="51"/>
      <c r="S9" s="51"/>
      <c r="T9" s="51"/>
      <c r="U9" s="51"/>
      <c r="AA9" s="17"/>
      <c r="AB9" s="97"/>
      <c r="AC9" s="98"/>
      <c r="AM9" s="17"/>
      <c r="AN9" s="97"/>
      <c r="AO9" s="98"/>
      <c r="AY9" s="17"/>
      <c r="AZ9" s="97"/>
      <c r="BA9" s="98"/>
      <c r="BK9" s="17"/>
      <c r="BL9" s="97"/>
      <c r="BM9" s="98"/>
      <c r="BW9" s="17"/>
      <c r="BX9" s="97"/>
      <c r="BY9" s="98"/>
      <c r="CI9" s="17"/>
      <c r="CJ9" s="97"/>
      <c r="CK9" s="98"/>
    </row>
    <row r="10" spans="1:89" ht="17.5" hidden="1" customHeight="1" x14ac:dyDescent="0.3">
      <c r="B10" s="16" t="s">
        <v>61</v>
      </c>
      <c r="C10" s="99">
        <v>20</v>
      </c>
      <c r="D10" s="22"/>
      <c r="F10" s="85"/>
      <c r="H10" s="16"/>
      <c r="I10" s="16"/>
      <c r="J10" s="16"/>
      <c r="K10" s="16"/>
      <c r="L10" s="57"/>
      <c r="M10" s="57"/>
      <c r="N10" s="51"/>
      <c r="O10" s="51"/>
      <c r="P10" s="81"/>
      <c r="Q10" s="81"/>
      <c r="R10" s="81"/>
      <c r="S10" s="81"/>
      <c r="T10" s="81"/>
      <c r="U10" s="81"/>
      <c r="AA10" s="17"/>
      <c r="AB10" s="17"/>
      <c r="AC10" s="60"/>
      <c r="AM10" s="17"/>
      <c r="AN10" s="17"/>
      <c r="AO10" s="60"/>
      <c r="AY10" s="17"/>
      <c r="AZ10" s="17"/>
      <c r="BA10" s="60"/>
      <c r="BK10" s="17"/>
      <c r="BL10" s="17"/>
      <c r="BM10" s="60"/>
      <c r="BW10" s="17"/>
      <c r="BX10" s="17"/>
      <c r="BY10" s="60"/>
      <c r="CI10" s="17"/>
      <c r="CJ10" s="17"/>
      <c r="CK10" s="60"/>
    </row>
    <row r="11" spans="1:89" ht="13" hidden="1" x14ac:dyDescent="0.3">
      <c r="B11" s="16" t="s">
        <v>62</v>
      </c>
      <c r="C11" s="16">
        <f>LOOKUP(C4,Table24[Drip Tube
 Model '#],Table24[Emitter Kd])</f>
        <v>2.0699999999999998</v>
      </c>
      <c r="D11" s="71"/>
      <c r="E11" s="60"/>
      <c r="F11" s="60"/>
      <c r="H11" s="57"/>
      <c r="I11" s="16"/>
      <c r="J11" s="16"/>
      <c r="K11" s="57"/>
      <c r="L11" s="100"/>
      <c r="M11" s="100"/>
      <c r="N11" s="81"/>
      <c r="O11" s="81"/>
      <c r="P11" s="17"/>
      <c r="Q11" s="60"/>
      <c r="AA11" s="17"/>
      <c r="AB11" s="17"/>
      <c r="AC11" s="60"/>
      <c r="AM11" s="17"/>
      <c r="AN11" s="17"/>
      <c r="AO11" s="60"/>
      <c r="AY11" s="17"/>
      <c r="AZ11" s="17"/>
      <c r="BA11" s="60"/>
      <c r="BK11" s="17"/>
      <c r="BL11" s="17"/>
      <c r="BM11" s="60"/>
      <c r="BW11" s="17"/>
      <c r="BX11" s="17"/>
      <c r="BY11" s="60"/>
      <c r="CI11" s="17"/>
      <c r="CJ11" s="17"/>
      <c r="CK11" s="60"/>
    </row>
    <row r="12" spans="1:89" ht="13" x14ac:dyDescent="0.3">
      <c r="B12" s="17" t="s">
        <v>63</v>
      </c>
      <c r="C12" s="1">
        <f>'Step 3 - Zone TDH'!A6</f>
        <v>2</v>
      </c>
      <c r="D12" s="71"/>
      <c r="E12" s="17"/>
      <c r="F12" s="60"/>
      <c r="G12" s="60"/>
      <c r="H12" s="57"/>
      <c r="I12" s="16"/>
      <c r="J12" s="100"/>
      <c r="K12" s="100"/>
      <c r="L12" s="100"/>
      <c r="M12" s="100"/>
      <c r="N12" s="81"/>
      <c r="O12" s="81"/>
      <c r="P12" s="17"/>
      <c r="Q12" s="60"/>
      <c r="AA12" s="17"/>
      <c r="AB12" s="17"/>
      <c r="AC12" s="60"/>
      <c r="AM12" s="17"/>
      <c r="AN12" s="17"/>
      <c r="AO12" s="60"/>
      <c r="AY12" s="17"/>
      <c r="AZ12" s="17"/>
      <c r="BA12" s="60"/>
      <c r="BK12" s="17"/>
      <c r="BL12" s="17"/>
      <c r="BM12" s="60"/>
      <c r="BW12" s="17"/>
      <c r="BX12" s="17"/>
      <c r="BY12" s="60"/>
      <c r="CI12" s="17"/>
      <c r="CJ12" s="17"/>
      <c r="CK12" s="60"/>
    </row>
    <row r="13" spans="1:89" ht="13" x14ac:dyDescent="0.3">
      <c r="B13" s="17" t="s">
        <v>64</v>
      </c>
      <c r="C13" s="1">
        <f>'Step 3 - Zone TDH'!A8</f>
        <v>20</v>
      </c>
      <c r="D13" s="50"/>
      <c r="H13" s="16"/>
      <c r="I13" s="16"/>
      <c r="J13" s="16"/>
      <c r="K13" s="16"/>
      <c r="L13" s="16"/>
      <c r="M13" s="16"/>
    </row>
    <row r="14" spans="1:89" ht="11.25" hidden="1" customHeight="1" x14ac:dyDescent="0.3">
      <c r="B14" s="16" t="s">
        <v>65</v>
      </c>
      <c r="C14" s="101">
        <f>LOOKUP(C4,Table24[Drip Tube
 Model '#],Table24[Actual Flow @ 30 psi])</f>
        <v>0.9</v>
      </c>
      <c r="D14" s="71"/>
      <c r="H14" s="16"/>
      <c r="I14" s="16"/>
      <c r="J14" s="16"/>
      <c r="K14" s="16"/>
      <c r="L14" s="16"/>
      <c r="M14" s="16"/>
      <c r="O14" s="17"/>
      <c r="AA14" s="17"/>
      <c r="AB14" s="75"/>
      <c r="AC14" s="60"/>
      <c r="AM14" s="17"/>
      <c r="AN14" s="75"/>
      <c r="AO14" s="60"/>
      <c r="AY14" s="17"/>
      <c r="AZ14" s="75"/>
      <c r="BA14" s="60"/>
      <c r="BK14" s="17"/>
      <c r="BL14" s="75"/>
      <c r="BM14" s="60"/>
      <c r="BW14" s="17"/>
      <c r="BX14" s="75"/>
      <c r="BY14" s="60"/>
      <c r="CI14" s="17"/>
      <c r="CJ14" s="75"/>
      <c r="CK14" s="60"/>
    </row>
    <row r="15" spans="1:89" ht="15" customHeight="1" x14ac:dyDescent="0.3">
      <c r="B15" s="17" t="s">
        <v>66</v>
      </c>
      <c r="C15" s="1">
        <f>'Step 3 - Zone TDH'!A7</f>
        <v>20</v>
      </c>
      <c r="D15" s="71"/>
      <c r="H15" s="16"/>
      <c r="I15" s="16"/>
      <c r="J15" s="16"/>
      <c r="K15" s="16"/>
      <c r="L15" s="16"/>
      <c r="M15" s="16"/>
      <c r="O15" s="17"/>
      <c r="AA15" s="17"/>
      <c r="AB15" s="17"/>
      <c r="AC15" s="60"/>
      <c r="AM15" s="17"/>
      <c r="AN15" s="17"/>
      <c r="AO15" s="60"/>
      <c r="AY15" s="17"/>
      <c r="AZ15" s="17"/>
      <c r="BA15" s="60"/>
      <c r="BK15" s="17"/>
      <c r="BL15" s="17"/>
      <c r="BM15" s="60"/>
      <c r="BW15" s="17"/>
      <c r="BX15" s="17"/>
      <c r="BY15" s="60"/>
      <c r="CI15" s="17"/>
      <c r="CJ15" s="17"/>
      <c r="CK15" s="60"/>
    </row>
    <row r="16" spans="1:89" ht="14.25" hidden="1" customHeight="1" x14ac:dyDescent="0.3">
      <c r="B16" s="16" t="s">
        <v>67</v>
      </c>
      <c r="C16" s="1">
        <f>LOOKUP(C4,Table24[Drip Tube
 Model '#],Table24[Emitter Spacing
Inches])</f>
        <v>12</v>
      </c>
      <c r="D16" s="71"/>
      <c r="E16" s="102"/>
      <c r="F16" s="102"/>
      <c r="G16" s="102"/>
      <c r="H16" s="56"/>
      <c r="I16" s="16"/>
      <c r="J16" s="16"/>
      <c r="K16" s="56"/>
      <c r="L16" s="16"/>
      <c r="M16" s="16"/>
      <c r="N16" s="17"/>
      <c r="O16" s="17"/>
      <c r="AA16" s="17"/>
      <c r="AB16" s="17"/>
      <c r="AC16" s="60"/>
      <c r="AM16" s="17"/>
      <c r="AN16" s="17"/>
      <c r="AO16" s="60"/>
      <c r="AY16" s="17"/>
      <c r="AZ16" s="17"/>
      <c r="BA16" s="60"/>
      <c r="BK16" s="17"/>
      <c r="BL16" s="17"/>
      <c r="BM16" s="60"/>
      <c r="BW16" s="17"/>
      <c r="BX16" s="17"/>
      <c r="BY16" s="60"/>
      <c r="CI16" s="17"/>
      <c r="CJ16" s="17"/>
      <c r="CK16" s="60"/>
    </row>
    <row r="17" spans="1:97" ht="14.25" hidden="1" customHeight="1" x14ac:dyDescent="0.3">
      <c r="B17" s="16" t="s">
        <v>68</v>
      </c>
      <c r="C17" s="23">
        <f>C14/C15^C18</f>
        <v>0.84766042879472503</v>
      </c>
      <c r="D17" s="71"/>
      <c r="E17" s="60"/>
      <c r="F17" s="60"/>
      <c r="G17" s="74"/>
      <c r="H17" s="57"/>
      <c r="I17" s="57"/>
      <c r="J17" s="25"/>
      <c r="K17" s="57"/>
      <c r="L17" s="57"/>
      <c r="M17" s="25"/>
      <c r="N17" s="74"/>
      <c r="O17" s="17"/>
      <c r="AA17" s="17"/>
      <c r="AB17" s="103"/>
      <c r="AC17" s="60"/>
      <c r="AM17" s="17"/>
      <c r="AN17" s="103"/>
      <c r="AO17" s="60"/>
      <c r="AY17" s="17"/>
      <c r="AZ17" s="103"/>
      <c r="BA17" s="60"/>
      <c r="BK17" s="17"/>
      <c r="BL17" s="103"/>
      <c r="BM17" s="60"/>
      <c r="BW17" s="17"/>
      <c r="BX17" s="103"/>
      <c r="BY17" s="60"/>
      <c r="CI17" s="17"/>
      <c r="CJ17" s="103"/>
      <c r="CK17" s="60"/>
    </row>
    <row r="18" spans="1:97" ht="15.75" hidden="1" customHeight="1" x14ac:dyDescent="0.3">
      <c r="B18" s="16" t="s">
        <v>69</v>
      </c>
      <c r="C18" s="2">
        <f>LOOKUP(C4,Table24[Drip Tube
 Model '#],Table24[Emitter Exponent])</f>
        <v>0.02</v>
      </c>
      <c r="D18" s="71"/>
      <c r="E18" s="104"/>
      <c r="F18" s="104"/>
      <c r="G18" s="80"/>
      <c r="H18" s="57"/>
      <c r="I18" s="57"/>
      <c r="J18" s="25"/>
      <c r="K18" s="57"/>
      <c r="L18" s="57"/>
      <c r="M18" s="25"/>
      <c r="N18" s="74"/>
      <c r="O18" s="17"/>
      <c r="P18" s="17"/>
      <c r="Q18" s="60"/>
      <c r="AA18" s="17"/>
      <c r="AB18" s="17"/>
      <c r="AC18" s="60"/>
      <c r="AM18" s="17"/>
      <c r="AN18" s="17"/>
      <c r="AO18" s="60"/>
      <c r="AY18" s="17"/>
      <c r="AZ18" s="17"/>
      <c r="BA18" s="60"/>
      <c r="BK18" s="17"/>
      <c r="BL18" s="17"/>
      <c r="BM18" s="60"/>
      <c r="BW18" s="17"/>
      <c r="BX18" s="17"/>
      <c r="BY18" s="60"/>
      <c r="CI18" s="17"/>
      <c r="CJ18" s="17"/>
      <c r="CK18" s="60"/>
    </row>
    <row r="19" spans="1:97" ht="12.75" hidden="1" customHeight="1" x14ac:dyDescent="0.3">
      <c r="B19" s="16" t="s">
        <v>70</v>
      </c>
      <c r="C19" s="24">
        <f>$C$17*$C$10^$C$18</f>
        <v>0.90000000000000013</v>
      </c>
      <c r="D19" s="71"/>
      <c r="E19" s="60"/>
      <c r="F19" s="60"/>
      <c r="G19" s="74"/>
      <c r="H19" s="57"/>
      <c r="I19" s="57"/>
      <c r="J19" s="25"/>
      <c r="K19" s="57"/>
      <c r="L19" s="25"/>
      <c r="M19" s="25"/>
      <c r="N19" s="74"/>
      <c r="O19" s="17"/>
      <c r="P19" s="82"/>
      <c r="Q19" s="60"/>
      <c r="AA19" s="17"/>
      <c r="AB19" s="82"/>
      <c r="AC19" s="60"/>
      <c r="AM19" s="17"/>
      <c r="AN19" s="82"/>
      <c r="AO19" s="60"/>
      <c r="AY19" s="17"/>
      <c r="AZ19" s="82"/>
      <c r="BA19" s="60"/>
      <c r="BK19" s="17"/>
      <c r="BL19" s="82"/>
      <c r="BM19" s="60"/>
      <c r="BW19" s="17"/>
      <c r="BX19" s="82"/>
      <c r="BY19" s="60"/>
      <c r="CI19" s="17"/>
      <c r="CJ19" s="82"/>
      <c r="CK19" s="60"/>
    </row>
    <row r="20" spans="1:97" ht="13" x14ac:dyDescent="0.3">
      <c r="B20" s="17"/>
      <c r="C20" s="105"/>
      <c r="D20" s="60"/>
      <c r="E20" s="74"/>
      <c r="F20" s="60"/>
      <c r="G20" s="74"/>
      <c r="H20" s="57"/>
      <c r="I20" s="57"/>
      <c r="J20" s="25"/>
      <c r="K20" s="57"/>
      <c r="L20" s="25"/>
      <c r="M20" s="25"/>
      <c r="N20" s="74"/>
      <c r="O20" s="55"/>
      <c r="P20" s="82"/>
      <c r="Q20" s="60"/>
      <c r="R20" s="2"/>
      <c r="AA20" s="17"/>
      <c r="AB20" s="82"/>
      <c r="AC20" s="60"/>
      <c r="AM20" s="17"/>
      <c r="AN20" s="82"/>
      <c r="AO20" s="60"/>
      <c r="AY20" s="17"/>
      <c r="AZ20" s="82"/>
      <c r="BA20" s="60"/>
      <c r="BK20" s="17"/>
      <c r="BL20" s="82"/>
      <c r="BM20" s="60"/>
      <c r="BW20" s="17"/>
      <c r="BX20" s="82"/>
      <c r="BY20" s="60"/>
      <c r="CI20" s="17"/>
      <c r="CJ20" s="82"/>
      <c r="CK20" s="60"/>
    </row>
    <row r="21" spans="1:97" ht="13" x14ac:dyDescent="0.3">
      <c r="B21" s="17"/>
      <c r="C21" s="105"/>
      <c r="E21" s="80"/>
      <c r="F21" s="104"/>
      <c r="G21" s="80"/>
      <c r="H21" s="25"/>
      <c r="I21" s="57"/>
      <c r="J21" s="57"/>
      <c r="K21" s="57"/>
      <c r="L21" s="57"/>
      <c r="M21" s="57"/>
      <c r="N21" s="60"/>
    </row>
    <row r="22" spans="1:97" ht="13" x14ac:dyDescent="0.3">
      <c r="B22" s="106" t="s">
        <v>3</v>
      </c>
      <c r="C22" s="106"/>
      <c r="D22" s="71"/>
      <c r="E22" s="106"/>
      <c r="F22" s="71"/>
      <c r="G22" s="71"/>
      <c r="H22" s="71"/>
      <c r="I22" s="71"/>
      <c r="J22" s="71"/>
      <c r="K22" s="106"/>
      <c r="O22" s="107" t="s">
        <v>2</v>
      </c>
      <c r="P22" s="107"/>
      <c r="Q22" s="107"/>
      <c r="S22" s="107"/>
      <c r="T22" s="107"/>
      <c r="U22" s="107"/>
      <c r="V22" s="107"/>
      <c r="W22" s="107"/>
      <c r="Y22" s="107"/>
      <c r="AB22" s="2"/>
      <c r="AC22" s="51"/>
      <c r="AN22" s="2"/>
      <c r="AO22" s="51"/>
      <c r="AZ22" s="2"/>
      <c r="BA22" s="51"/>
      <c r="BL22" s="2"/>
      <c r="BM22" s="51"/>
      <c r="BX22" s="2"/>
      <c r="BY22" s="51"/>
      <c r="CJ22" s="2"/>
      <c r="CK22" s="51"/>
    </row>
    <row r="23" spans="1:97" ht="13" x14ac:dyDescent="0.3">
      <c r="A23" s="60" t="s">
        <v>79</v>
      </c>
      <c r="B23" s="108" t="s">
        <v>73</v>
      </c>
      <c r="C23" s="108" t="s">
        <v>73</v>
      </c>
      <c r="D23" s="60" t="s">
        <v>73</v>
      </c>
      <c r="E23" s="108" t="s">
        <v>77</v>
      </c>
      <c r="F23" s="60" t="s">
        <v>77</v>
      </c>
      <c r="G23" s="60" t="s">
        <v>77</v>
      </c>
      <c r="H23" s="60" t="s">
        <v>77</v>
      </c>
      <c r="I23" s="60" t="s">
        <v>77</v>
      </c>
      <c r="J23" s="60" t="s">
        <v>197</v>
      </c>
      <c r="K23" s="109" t="s">
        <v>91</v>
      </c>
      <c r="L23" s="17" t="s">
        <v>87</v>
      </c>
      <c r="M23" s="60" t="s">
        <v>198</v>
      </c>
      <c r="N23" s="60" t="s">
        <v>89</v>
      </c>
      <c r="O23" s="110" t="s">
        <v>79</v>
      </c>
      <c r="P23" s="110" t="s">
        <v>73</v>
      </c>
      <c r="Q23" s="110" t="s">
        <v>73</v>
      </c>
      <c r="R23" s="60" t="s">
        <v>73</v>
      </c>
      <c r="S23" s="110" t="s">
        <v>77</v>
      </c>
      <c r="T23" s="111" t="s">
        <v>77</v>
      </c>
      <c r="U23" s="111" t="s">
        <v>77</v>
      </c>
      <c r="V23" s="111" t="s">
        <v>77</v>
      </c>
      <c r="W23" s="111" t="s">
        <v>77</v>
      </c>
      <c r="Y23" s="110" t="s">
        <v>91</v>
      </c>
      <c r="Z23" s="17" t="s">
        <v>87</v>
      </c>
      <c r="AA23" s="60" t="s">
        <v>88</v>
      </c>
      <c r="AB23" s="60" t="s">
        <v>89</v>
      </c>
      <c r="AC23" s="60"/>
      <c r="AD23" s="60"/>
      <c r="AE23" s="60"/>
      <c r="AF23" s="60"/>
      <c r="AG23" s="60"/>
      <c r="AH23" s="60"/>
      <c r="AI23" s="60"/>
      <c r="AJ23" s="60"/>
      <c r="AL23" s="60"/>
      <c r="AM23" s="60"/>
      <c r="AN23" s="60"/>
      <c r="AO23" s="60"/>
      <c r="AP23" s="60"/>
      <c r="AQ23" s="60"/>
      <c r="AR23" s="60"/>
      <c r="AS23" s="60"/>
      <c r="AT23" s="60"/>
      <c r="AU23" s="60"/>
      <c r="AV23" s="60"/>
      <c r="AX23" s="60"/>
      <c r="AY23" s="60"/>
      <c r="AZ23" s="60"/>
      <c r="BA23" s="60"/>
      <c r="BB23" s="60"/>
      <c r="BC23" s="60"/>
      <c r="BD23" s="60"/>
      <c r="BE23" s="60"/>
      <c r="BF23" s="60"/>
      <c r="BG23" s="60"/>
      <c r="BH23" s="60"/>
      <c r="BJ23" s="60"/>
      <c r="BK23" s="60"/>
      <c r="BL23" s="60"/>
      <c r="BM23" s="60"/>
      <c r="BN23" s="60"/>
      <c r="BO23" s="60"/>
      <c r="BP23" s="60"/>
      <c r="BQ23" s="60"/>
      <c r="BR23" s="60"/>
      <c r="BS23" s="60"/>
      <c r="BT23" s="60"/>
      <c r="BV23" s="60"/>
      <c r="BW23" s="60"/>
      <c r="BX23" s="60"/>
      <c r="BY23" s="60"/>
      <c r="BZ23" s="60"/>
      <c r="CA23" s="60"/>
      <c r="CB23" s="60"/>
      <c r="CC23" s="60"/>
      <c r="CD23" s="60"/>
      <c r="CE23" s="60"/>
      <c r="CF23" s="60"/>
      <c r="CH23" s="60"/>
      <c r="CI23" s="60"/>
      <c r="CJ23" s="60"/>
      <c r="CK23" s="60"/>
      <c r="CL23" s="60"/>
      <c r="CM23" s="60"/>
      <c r="CN23" s="60"/>
      <c r="CO23" s="60"/>
      <c r="CP23" s="60"/>
      <c r="CQ23" s="60"/>
      <c r="CR23" s="60"/>
    </row>
    <row r="24" spans="1:97" ht="13" x14ac:dyDescent="0.3">
      <c r="A24" s="60" t="s">
        <v>80</v>
      </c>
      <c r="B24" s="112" t="s">
        <v>86</v>
      </c>
      <c r="C24" s="112" t="s">
        <v>76</v>
      </c>
      <c r="D24" s="60" t="s">
        <v>82</v>
      </c>
      <c r="E24" s="112" t="s">
        <v>76</v>
      </c>
      <c r="F24" s="60" t="s">
        <v>84</v>
      </c>
      <c r="G24" s="60" t="s">
        <v>85</v>
      </c>
      <c r="H24" s="60" t="s">
        <v>74</v>
      </c>
      <c r="I24" s="60" t="s">
        <v>74</v>
      </c>
      <c r="J24" s="60"/>
      <c r="K24" s="113" t="s">
        <v>78</v>
      </c>
      <c r="M24" s="60"/>
      <c r="N24" s="60" t="s">
        <v>199</v>
      </c>
      <c r="O24" s="114" t="s">
        <v>80</v>
      </c>
      <c r="P24" s="114" t="s">
        <v>86</v>
      </c>
      <c r="Q24" s="114" t="s">
        <v>76</v>
      </c>
      <c r="R24" s="60" t="s">
        <v>82</v>
      </c>
      <c r="S24" s="114" t="s">
        <v>76</v>
      </c>
      <c r="T24" s="111" t="s">
        <v>84</v>
      </c>
      <c r="U24" s="111" t="s">
        <v>85</v>
      </c>
      <c r="V24" s="111" t="s">
        <v>74</v>
      </c>
      <c r="W24" s="111" t="s">
        <v>74</v>
      </c>
      <c r="Y24" s="114" t="s">
        <v>78</v>
      </c>
      <c r="AA24" s="60"/>
      <c r="AB24" s="60"/>
      <c r="AC24" s="60"/>
      <c r="AD24" s="60"/>
      <c r="AE24" s="60"/>
      <c r="AF24" s="60"/>
      <c r="AG24" s="60"/>
      <c r="AH24" s="60"/>
      <c r="AJ24" s="60"/>
      <c r="AL24" s="60"/>
      <c r="AM24" s="60"/>
      <c r="AN24" s="60"/>
      <c r="AO24" s="60"/>
      <c r="AP24" s="60"/>
      <c r="AQ24" s="60"/>
      <c r="AR24" s="60"/>
      <c r="AS24" s="60"/>
      <c r="AT24" s="60"/>
      <c r="AV24" s="60"/>
      <c r="AX24" s="60"/>
      <c r="AY24" s="60"/>
      <c r="AZ24" s="60"/>
      <c r="BA24" s="60"/>
      <c r="BB24" s="60"/>
      <c r="BC24" s="60"/>
      <c r="BD24" s="60"/>
      <c r="BE24" s="60"/>
      <c r="BF24" s="60"/>
      <c r="BH24" s="60"/>
      <c r="BJ24" s="60"/>
      <c r="BK24" s="60"/>
      <c r="BL24" s="60"/>
      <c r="BM24" s="60"/>
      <c r="BN24" s="60"/>
      <c r="BO24" s="60"/>
      <c r="BP24" s="60"/>
      <c r="BQ24" s="60"/>
      <c r="BR24" s="60"/>
      <c r="BT24" s="60"/>
      <c r="BV24" s="60"/>
      <c r="BW24" s="60"/>
      <c r="BX24" s="60"/>
      <c r="BY24" s="60"/>
      <c r="BZ24" s="60"/>
      <c r="CA24" s="60"/>
      <c r="CB24" s="60"/>
      <c r="CC24" s="60"/>
      <c r="CD24" s="60"/>
      <c r="CF24" s="60"/>
      <c r="CH24" s="60"/>
      <c r="CI24" s="60"/>
      <c r="CJ24" s="60"/>
      <c r="CK24" s="60"/>
      <c r="CL24" s="60"/>
      <c r="CM24" s="60"/>
      <c r="CN24" s="60"/>
      <c r="CO24" s="60"/>
      <c r="CP24" s="60"/>
      <c r="CR24" s="60"/>
    </row>
    <row r="25" spans="1:97" ht="13" x14ac:dyDescent="0.3">
      <c r="A25" s="60" t="s">
        <v>81</v>
      </c>
      <c r="B25" s="115" t="s">
        <v>75</v>
      </c>
      <c r="C25" s="115" t="s">
        <v>5</v>
      </c>
      <c r="D25" s="60" t="s">
        <v>83</v>
      </c>
      <c r="E25" s="115" t="s">
        <v>5</v>
      </c>
      <c r="F25" s="60" t="s">
        <v>81</v>
      </c>
      <c r="G25" s="60" t="s">
        <v>81</v>
      </c>
      <c r="H25" s="60" t="s">
        <v>81</v>
      </c>
      <c r="I25" s="60" t="s">
        <v>75</v>
      </c>
      <c r="J25" s="60"/>
      <c r="K25" s="116" t="s">
        <v>75</v>
      </c>
      <c r="L25" s="17"/>
      <c r="M25" s="60"/>
      <c r="N25" s="60"/>
      <c r="O25" s="117" t="s">
        <v>81</v>
      </c>
      <c r="P25" s="117" t="s">
        <v>75</v>
      </c>
      <c r="Q25" s="117" t="s">
        <v>5</v>
      </c>
      <c r="R25" s="60" t="s">
        <v>83</v>
      </c>
      <c r="S25" s="117" t="s">
        <v>5</v>
      </c>
      <c r="T25" s="111" t="s">
        <v>81</v>
      </c>
      <c r="U25" s="111" t="s">
        <v>81</v>
      </c>
      <c r="V25" s="111" t="s">
        <v>81</v>
      </c>
      <c r="W25" s="111" t="s">
        <v>75</v>
      </c>
      <c r="Y25" s="117" t="s">
        <v>75</v>
      </c>
      <c r="Z25" s="17"/>
      <c r="AA25" s="60"/>
      <c r="AB25" s="60"/>
      <c r="AC25" s="60"/>
      <c r="AD25" s="60"/>
      <c r="AE25" s="60"/>
      <c r="AF25" s="60"/>
      <c r="AG25" s="60"/>
      <c r="AH25" s="60"/>
      <c r="AJ25" s="60"/>
      <c r="AL25" s="60"/>
      <c r="AM25" s="60"/>
      <c r="AN25" s="60"/>
      <c r="AO25" s="60"/>
      <c r="AP25" s="60"/>
      <c r="AQ25" s="60"/>
      <c r="AR25" s="60"/>
      <c r="AS25" s="60"/>
      <c r="AT25" s="60"/>
      <c r="AV25" s="60"/>
      <c r="AX25" s="60"/>
      <c r="AY25" s="60"/>
      <c r="AZ25" s="60"/>
      <c r="BA25" s="60"/>
      <c r="BB25" s="60"/>
      <c r="BC25" s="60"/>
      <c r="BD25" s="60"/>
      <c r="BE25" s="60"/>
      <c r="BF25" s="60"/>
      <c r="BH25" s="60"/>
      <c r="BJ25" s="60"/>
      <c r="BK25" s="60"/>
      <c r="BL25" s="60"/>
      <c r="BM25" s="60"/>
      <c r="BN25" s="60"/>
      <c r="BO25" s="60"/>
      <c r="BP25" s="60"/>
      <c r="BQ25" s="60"/>
      <c r="BR25" s="60"/>
      <c r="BT25" s="60"/>
      <c r="BV25" s="60"/>
      <c r="BW25" s="60"/>
      <c r="BX25" s="60"/>
      <c r="BY25" s="60"/>
      <c r="BZ25" s="60"/>
      <c r="CA25" s="60"/>
      <c r="CB25" s="60"/>
      <c r="CC25" s="60"/>
      <c r="CD25" s="60"/>
      <c r="CF25" s="60"/>
      <c r="CH25" s="60"/>
      <c r="CI25" s="60"/>
      <c r="CJ25" s="60"/>
      <c r="CK25" s="60"/>
      <c r="CL25" s="60"/>
      <c r="CM25" s="60"/>
      <c r="CN25" s="60"/>
      <c r="CO25" s="60"/>
      <c r="CP25" s="60"/>
      <c r="CR25" s="60"/>
    </row>
    <row r="26" spans="1:97" x14ac:dyDescent="0.25">
      <c r="A26" s="1">
        <v>0</v>
      </c>
      <c r="B26" s="1">
        <f>C10</f>
        <v>20</v>
      </c>
      <c r="C26" s="1">
        <v>0</v>
      </c>
      <c r="D26" s="2">
        <f>$C$17*B26^$C$18</f>
        <v>0.90000000000000013</v>
      </c>
      <c r="E26" s="18">
        <f>C26+D26/60</f>
        <v>1.5000000000000003E-2</v>
      </c>
      <c r="F26" s="21">
        <f>(($C$7*($C$16/12)*(E26)^1.852)/($C$5^4.871)+L26)-G26</f>
        <v>2.174354904153855E-5</v>
      </c>
      <c r="G26" s="1">
        <f>$C$9*($C$16/12)/100</f>
        <v>0</v>
      </c>
      <c r="H26" s="2">
        <f t="shared" ref="H26:H89" si="0">(B26*2.31)+F26-G26</f>
        <v>46.200021743549044</v>
      </c>
      <c r="I26" s="19">
        <f>H26/2.31</f>
        <v>20.000009412791794</v>
      </c>
      <c r="J26" s="20">
        <f>(1-1.27*0.05)*($D$26/((E26*60)/((A26/($C$16/12)+1))))</f>
        <v>0.9365</v>
      </c>
      <c r="K26" s="21">
        <f>F26*0.433</f>
        <v>9.4149567349861924E-6</v>
      </c>
      <c r="L26" s="21">
        <f t="shared" ref="L26:L89" si="1">($C$11*((0.4085*E26/$C$5^2))^2)/64.4</f>
        <v>1.3188650511772224E-5</v>
      </c>
      <c r="M26" s="2">
        <f>L26/2.31</f>
        <v>5.7093725159187117E-6</v>
      </c>
      <c r="N26" s="2">
        <v>0</v>
      </c>
      <c r="O26" s="1">
        <v>0</v>
      </c>
      <c r="P26" s="1">
        <f>C13</f>
        <v>20</v>
      </c>
      <c r="Q26" s="18">
        <f>(($C$5^2*$C$12)/0.4085)</f>
        <v>1.4810281517747861</v>
      </c>
      <c r="R26" s="2">
        <f>$C$17*P26^$C$18</f>
        <v>0.90000000000000013</v>
      </c>
      <c r="S26" s="18">
        <f>Q26+R26/60</f>
        <v>1.496028151774786</v>
      </c>
      <c r="T26" s="18">
        <f>(($C$7*($C$16/12)*(S26)^1.852)/($C$5^4.871)+Z26)-U26</f>
        <v>0.17424980576361873</v>
      </c>
      <c r="U26" s="1">
        <f>$C$9*($C$16/12)/100</f>
        <v>0</v>
      </c>
      <c r="V26" s="2">
        <f>(P26*2.31)+T26-U26</f>
        <v>46.374249805763618</v>
      </c>
      <c r="W26" s="19">
        <f>V26/2.31</f>
        <v>20.075432816347885</v>
      </c>
      <c r="X26" s="20"/>
      <c r="Y26" s="2">
        <f>T26*0.433</f>
        <v>7.5450165895646903E-2</v>
      </c>
      <c r="Z26" s="21">
        <f>($C$11*((0.4085*S26/$C$5^2))^2)/64.4</f>
        <v>0.13118898558085415</v>
      </c>
      <c r="AA26" s="2">
        <f>Z26/2.31</f>
        <v>5.6791768649720409E-2</v>
      </c>
      <c r="AB26" s="1">
        <v>0</v>
      </c>
      <c r="AC26" s="2"/>
      <c r="AD26" s="18"/>
      <c r="AE26" s="118"/>
      <c r="AG26" s="2"/>
      <c r="AH26" s="19"/>
      <c r="AI26" s="20"/>
      <c r="AJ26" s="21"/>
      <c r="AK26" s="21"/>
      <c r="AO26" s="2"/>
      <c r="AP26" s="18"/>
      <c r="AQ26" s="118"/>
      <c r="AS26" s="2"/>
      <c r="AT26" s="19"/>
      <c r="AU26" s="20"/>
      <c r="AV26" s="21"/>
      <c r="AW26" s="21"/>
      <c r="BA26" s="2"/>
      <c r="BB26" s="18"/>
      <c r="BC26" s="118"/>
      <c r="BE26" s="2"/>
      <c r="BF26" s="19"/>
      <c r="BG26" s="20"/>
      <c r="BH26" s="21"/>
      <c r="BI26" s="21"/>
      <c r="BM26" s="2"/>
      <c r="BN26" s="18"/>
      <c r="BO26" s="118"/>
      <c r="BQ26" s="2"/>
      <c r="BR26" s="19"/>
      <c r="BS26" s="20"/>
      <c r="BT26" s="21"/>
      <c r="BU26" s="21"/>
      <c r="BY26" s="2"/>
      <c r="BZ26" s="18"/>
      <c r="CA26" s="118"/>
      <c r="CC26" s="2"/>
      <c r="CD26" s="19"/>
      <c r="CE26" s="20"/>
      <c r="CF26" s="21"/>
      <c r="CG26" s="21"/>
      <c r="CK26" s="2"/>
      <c r="CL26" s="18"/>
      <c r="CM26" s="118"/>
      <c r="CO26" s="2"/>
      <c r="CP26" s="19"/>
      <c r="CQ26" s="20"/>
      <c r="CR26" s="21"/>
      <c r="CS26" s="21"/>
    </row>
    <row r="27" spans="1:97" x14ac:dyDescent="0.25">
      <c r="A27" s="1">
        <f>A26+$C$16/12</f>
        <v>1</v>
      </c>
      <c r="B27" s="19">
        <f>I26</f>
        <v>20.000009412791794</v>
      </c>
      <c r="C27" s="18">
        <f>E26</f>
        <v>1.5000000000000003E-2</v>
      </c>
      <c r="D27" s="2">
        <f t="shared" ref="D27:D90" si="2">$C$17*I26^$C$18</f>
        <v>0.90000000847151074</v>
      </c>
      <c r="E27" s="18">
        <f>C27+D27/60</f>
        <v>3.0000000141191849E-2</v>
      </c>
      <c r="F27" s="21">
        <f t="shared" ref="F27:F90" si="3">(($C$7*($C$16/12)*(E27)^1.852)/($C$5^4.871)+L27)-G27</f>
        <v>8.3637811398767984E-5</v>
      </c>
      <c r="G27" s="1">
        <f t="shared" ref="G27:G90" si="4">$C$9*($C$16/12)/100</f>
        <v>0</v>
      </c>
      <c r="H27" s="2">
        <f t="shared" si="0"/>
        <v>46.200105381360444</v>
      </c>
      <c r="I27" s="19">
        <f>H27/2.31</f>
        <v>20.000045619636555</v>
      </c>
      <c r="J27" s="20">
        <f t="shared" ref="J27:J90" si="5">(1-1.27*0.05)*($D$26/((E27*60)/((A27/($C$16/12)+1))))</f>
        <v>0.93649999559246133</v>
      </c>
      <c r="K27" s="21">
        <f t="shared" ref="K27:K90" si="6">K26+(F27*0.433)</f>
        <v>4.5630129070652727E-5</v>
      </c>
      <c r="L27" s="21">
        <f t="shared" si="1"/>
        <v>5.2754602543656839E-5</v>
      </c>
      <c r="M27" s="2">
        <f>(L27/2.31)+M26</f>
        <v>2.8546862794558035E-5</v>
      </c>
      <c r="N27" s="19">
        <f>($C$16/12)/(0.4085*E26/$C$5^2)</f>
        <v>49.367605059159523</v>
      </c>
      <c r="O27" s="1">
        <f>O26+$C$16/12</f>
        <v>1</v>
      </c>
      <c r="P27" s="19">
        <f>W26</f>
        <v>20.075432816347885</v>
      </c>
      <c r="Q27" s="18">
        <f>S26</f>
        <v>1.496028151774786</v>
      </c>
      <c r="R27" s="2">
        <f>$C$17*W26^$C$18</f>
        <v>0.90006776437924019</v>
      </c>
      <c r="S27" s="18">
        <f>Q27+R27/60</f>
        <v>1.5110292811811066</v>
      </c>
      <c r="T27" s="18">
        <f>(($C$7*($C$16/12)*(S27)^1.852)/($C$5^4.871)+Z27)-U27</f>
        <v>0.17769701818794856</v>
      </c>
      <c r="U27" s="1">
        <f t="shared" ref="U27:U90" si="7">$C$9*($C$16/12)/100</f>
        <v>0</v>
      </c>
      <c r="V27" s="2">
        <f>(P27*2.31)+T27-U27</f>
        <v>46.55194682395156</v>
      </c>
      <c r="W27" s="19">
        <f>V27/2.31</f>
        <v>20.152357932446563</v>
      </c>
      <c r="X27" s="20"/>
      <c r="Y27" s="2">
        <f>Y26+(T27*0.433)</f>
        <v>0.15239297477102864</v>
      </c>
      <c r="Z27" s="21">
        <f>($C$11*((0.4085*S27/$C$5^2))^2)/64.4</f>
        <v>0.13383311995614244</v>
      </c>
      <c r="AA27" s="2">
        <f>(Z27/2.31)+AA26</f>
        <v>0.11472818421515003</v>
      </c>
      <c r="AB27" s="19">
        <f>($C$16/12)/(0.4085*S26/$C$5^2)</f>
        <v>0.4949867253560018</v>
      </c>
      <c r="AC27" s="2"/>
      <c r="AD27" s="18"/>
      <c r="AE27" s="118"/>
      <c r="AG27" s="2"/>
      <c r="AH27" s="19"/>
      <c r="AI27" s="20"/>
      <c r="AJ27" s="21"/>
      <c r="AK27" s="21"/>
      <c r="AM27" s="19"/>
      <c r="AN27" s="18"/>
      <c r="AO27" s="2"/>
      <c r="AP27" s="18"/>
      <c r="AQ27" s="118"/>
      <c r="AS27" s="2"/>
      <c r="AT27" s="19"/>
      <c r="AU27" s="20"/>
      <c r="AV27" s="21"/>
      <c r="AW27" s="21"/>
      <c r="AY27" s="19"/>
      <c r="AZ27" s="18"/>
      <c r="BA27" s="2"/>
      <c r="BB27" s="18"/>
      <c r="BC27" s="118"/>
      <c r="BE27" s="2"/>
      <c r="BF27" s="19"/>
      <c r="BG27" s="20"/>
      <c r="BH27" s="21"/>
      <c r="BI27" s="21"/>
      <c r="BK27" s="19"/>
      <c r="BL27" s="18"/>
      <c r="BM27" s="2"/>
      <c r="BN27" s="18"/>
      <c r="BO27" s="118"/>
      <c r="BQ27" s="2"/>
      <c r="BR27" s="19"/>
      <c r="BS27" s="20"/>
      <c r="BT27" s="21"/>
      <c r="BU27" s="21"/>
      <c r="BW27" s="19"/>
      <c r="BX27" s="18"/>
      <c r="BY27" s="2"/>
      <c r="BZ27" s="18"/>
      <c r="CA27" s="118"/>
      <c r="CC27" s="2"/>
      <c r="CD27" s="19"/>
      <c r="CE27" s="20"/>
      <c r="CF27" s="21"/>
      <c r="CG27" s="21"/>
      <c r="CI27" s="19"/>
      <c r="CJ27" s="18"/>
      <c r="CK27" s="2"/>
      <c r="CL27" s="18"/>
      <c r="CM27" s="118"/>
      <c r="CO27" s="2"/>
      <c r="CP27" s="19"/>
      <c r="CQ27" s="20"/>
      <c r="CR27" s="21"/>
      <c r="CS27" s="21"/>
    </row>
    <row r="28" spans="1:97" x14ac:dyDescent="0.25">
      <c r="A28" s="1">
        <f t="shared" ref="A28:A91" si="8">A27+$C$16/12</f>
        <v>2</v>
      </c>
      <c r="B28" s="19">
        <f t="shared" ref="B28:B91" si="9">I27</f>
        <v>20.000045619636555</v>
      </c>
      <c r="C28" s="18">
        <f>E27</f>
        <v>3.0000000141191849E-2</v>
      </c>
      <c r="D28" s="2">
        <f t="shared" si="2"/>
        <v>0.90000004105762699</v>
      </c>
      <c r="E28" s="18">
        <f t="shared" ref="E28:E91" si="10">C28+D28/60</f>
        <v>4.500000082548563E-2</v>
      </c>
      <c r="F28" s="21">
        <f t="shared" si="3"/>
        <v>1.8413788164480118E-4</v>
      </c>
      <c r="G28" s="1">
        <f t="shared" si="4"/>
        <v>0</v>
      </c>
      <c r="H28" s="2">
        <f t="shared" si="0"/>
        <v>46.200289519242091</v>
      </c>
      <c r="I28" s="19">
        <f t="shared" ref="I28:I91" si="11">H28/2.31</f>
        <v>20.000125333005233</v>
      </c>
      <c r="J28" s="20">
        <f t="shared" si="5"/>
        <v>0.93649998282072722</v>
      </c>
      <c r="K28" s="21">
        <f t="shared" si="6"/>
        <v>1.2536183182285164E-4</v>
      </c>
      <c r="L28" s="21">
        <f t="shared" si="1"/>
        <v>1.1869785896076656E-4</v>
      </c>
      <c r="M28" s="2">
        <f t="shared" ref="M28:M91" si="12">(L28/2.31)+M27</f>
        <v>7.9931217323028406E-5</v>
      </c>
      <c r="N28" s="19">
        <f>($C$16/12)/(0.4085*E27/$C$5^2)+N27</f>
        <v>74.051407472567575</v>
      </c>
      <c r="O28" s="1">
        <f t="shared" ref="O28:O91" si="13">O27+$C$16/12</f>
        <v>2</v>
      </c>
      <c r="P28" s="19">
        <f t="shared" ref="P28:P91" si="14">W27</f>
        <v>20.152357932446563</v>
      </c>
      <c r="Q28" s="18">
        <f t="shared" ref="Q28:Q91" si="15">S27</f>
        <v>1.5110292811811066</v>
      </c>
      <c r="R28" s="2">
        <f t="shared" ref="R28:R91" si="16">$C$17*W27^$C$18</f>
        <v>0.90013661285282887</v>
      </c>
      <c r="S28" s="18">
        <f t="shared" ref="S28:S91" si="17">Q28+R28/60</f>
        <v>1.526031558061987</v>
      </c>
      <c r="T28" s="18">
        <f t="shared" ref="T28:T91" si="18">(($C$7*($C$16/12)*(S28)^1.852)/($C$5^4.871)+Z28)-U28</f>
        <v>0.18117770104884534</v>
      </c>
      <c r="U28" s="1">
        <f t="shared" si="7"/>
        <v>0</v>
      </c>
      <c r="V28" s="2">
        <f t="shared" ref="V28:V91" si="19">(P28*2.31)+T28-U28</f>
        <v>46.733124525000406</v>
      </c>
      <c r="W28" s="19">
        <f t="shared" ref="W28:W91" si="20">V28/2.31</f>
        <v>20.230789837662513</v>
      </c>
      <c r="X28" s="20"/>
      <c r="Y28" s="2">
        <f t="shared" ref="Y28:Y91" si="21">Y27+(T28*0.433)</f>
        <v>0.23084291932517867</v>
      </c>
      <c r="Z28" s="21">
        <f t="shared" ref="Z28:Z91" si="22">($C$11*((0.4085*S28/$C$5^2))^2)/64.4</f>
        <v>0.13650384088829576</v>
      </c>
      <c r="AA28" s="2">
        <f t="shared" ref="AA28:AA91" si="23">(Z28/2.31)+AA27</f>
        <v>0.17382075602826508</v>
      </c>
      <c r="AB28" s="19">
        <f>($C$16/12)/(0.4085*S27/$C$5^2)+AB27</f>
        <v>0.9850593434779783</v>
      </c>
      <c r="AC28" s="2"/>
      <c r="AD28" s="18"/>
      <c r="AE28" s="118"/>
      <c r="AG28" s="2"/>
      <c r="AH28" s="19"/>
      <c r="AI28" s="20"/>
      <c r="AJ28" s="21"/>
      <c r="AK28" s="21"/>
      <c r="AM28" s="19"/>
      <c r="AN28" s="18"/>
      <c r="AO28" s="2"/>
      <c r="AP28" s="18"/>
      <c r="AQ28" s="118"/>
      <c r="AS28" s="2"/>
      <c r="AT28" s="19"/>
      <c r="AU28" s="20"/>
      <c r="AV28" s="21"/>
      <c r="AW28" s="21"/>
      <c r="AY28" s="19"/>
      <c r="AZ28" s="18"/>
      <c r="BA28" s="2"/>
      <c r="BB28" s="18"/>
      <c r="BC28" s="118"/>
      <c r="BE28" s="2"/>
      <c r="BF28" s="19"/>
      <c r="BG28" s="20"/>
      <c r="BH28" s="21"/>
      <c r="BI28" s="21"/>
      <c r="BK28" s="19"/>
      <c r="BL28" s="18"/>
      <c r="BM28" s="2"/>
      <c r="BN28" s="18"/>
      <c r="BO28" s="118"/>
      <c r="BQ28" s="2"/>
      <c r="BR28" s="19"/>
      <c r="BS28" s="20"/>
      <c r="BT28" s="21"/>
      <c r="BU28" s="21"/>
      <c r="BW28" s="19"/>
      <c r="BX28" s="18"/>
      <c r="BY28" s="2"/>
      <c r="BZ28" s="18"/>
      <c r="CA28" s="118"/>
      <c r="CC28" s="2"/>
      <c r="CD28" s="19"/>
      <c r="CE28" s="20"/>
      <c r="CF28" s="21"/>
      <c r="CG28" s="21"/>
      <c r="CI28" s="19"/>
      <c r="CJ28" s="18"/>
      <c r="CK28" s="2"/>
      <c r="CL28" s="18"/>
      <c r="CM28" s="118"/>
      <c r="CO28" s="2"/>
      <c r="CP28" s="19"/>
      <c r="CQ28" s="20"/>
      <c r="CR28" s="21"/>
      <c r="CS28" s="21"/>
    </row>
    <row r="29" spans="1:97" x14ac:dyDescent="0.25">
      <c r="A29" s="1">
        <f t="shared" si="8"/>
        <v>3</v>
      </c>
      <c r="B29" s="19">
        <f t="shared" si="9"/>
        <v>20.000125333005233</v>
      </c>
      <c r="C29" s="18">
        <f t="shared" ref="C29:C92" si="24">E28</f>
        <v>4.500000082548563E-2</v>
      </c>
      <c r="D29" s="2">
        <f t="shared" si="2"/>
        <v>0.90000011279935843</v>
      </c>
      <c r="E29" s="18">
        <f t="shared" si="10"/>
        <v>6.0000002705474939E-2</v>
      </c>
      <c r="F29" s="21">
        <f t="shared" si="3"/>
        <v>3.2250690938950046E-4</v>
      </c>
      <c r="G29" s="1">
        <f t="shared" si="4"/>
        <v>0</v>
      </c>
      <c r="H29" s="2">
        <f t="shared" si="0"/>
        <v>46.200612026151482</v>
      </c>
      <c r="I29" s="19">
        <f t="shared" si="11"/>
        <v>20.000264946385922</v>
      </c>
      <c r="J29" s="20">
        <f t="shared" si="5"/>
        <v>0.93649995777204731</v>
      </c>
      <c r="K29" s="21">
        <f t="shared" si="6"/>
        <v>2.6500732358850532E-4</v>
      </c>
      <c r="L29" s="21">
        <f t="shared" si="1"/>
        <v>2.1101842721852305E-4</v>
      </c>
      <c r="M29" s="2">
        <f t="shared" si="12"/>
        <v>1.7128118581589551E-4</v>
      </c>
      <c r="N29" s="19">
        <f t="shared" ref="N29:N92" si="25">($C$16/12)/(0.4085*E28/$C$5^2)+N28</f>
        <v>90.507275523752256</v>
      </c>
      <c r="O29" s="1">
        <f t="shared" si="13"/>
        <v>3</v>
      </c>
      <c r="P29" s="19">
        <f t="shared" si="14"/>
        <v>20.230789837662513</v>
      </c>
      <c r="Q29" s="18">
        <f t="shared" si="15"/>
        <v>1.526031558061987</v>
      </c>
      <c r="R29" s="2">
        <f t="shared" si="16"/>
        <v>0.90020654525245891</v>
      </c>
      <c r="S29" s="18">
        <f t="shared" si="17"/>
        <v>1.5410350004828612</v>
      </c>
      <c r="T29" s="18">
        <f t="shared" si="18"/>
        <v>0.18469185624753082</v>
      </c>
      <c r="U29" s="1">
        <f t="shared" si="7"/>
        <v>0</v>
      </c>
      <c r="V29" s="2">
        <f t="shared" si="19"/>
        <v>46.917816381247938</v>
      </c>
      <c r="W29" s="19">
        <f t="shared" si="20"/>
        <v>20.310743022185253</v>
      </c>
      <c r="X29" s="20"/>
      <c r="Y29" s="2">
        <f t="shared" si="21"/>
        <v>0.31081449308035952</v>
      </c>
      <c r="Z29" s="21">
        <f t="shared" si="22"/>
        <v>0.13920115769537808</v>
      </c>
      <c r="AA29" s="2">
        <f t="shared" si="23"/>
        <v>0.23408099745483568</v>
      </c>
      <c r="AB29" s="19">
        <f t="shared" ref="AB29:AB92" si="26">($C$16/12)/(0.4085*S28/$C$5^2)+AB28</f>
        <v>1.4703141024475919</v>
      </c>
      <c r="AC29" s="2"/>
      <c r="AD29" s="18"/>
      <c r="AE29" s="118"/>
      <c r="AG29" s="2"/>
      <c r="AH29" s="19"/>
      <c r="AI29" s="20"/>
      <c r="AJ29" s="21"/>
      <c r="AK29" s="21"/>
      <c r="AM29" s="19"/>
      <c r="AN29" s="18"/>
      <c r="AO29" s="2"/>
      <c r="AP29" s="18"/>
      <c r="AQ29" s="118"/>
      <c r="AS29" s="2"/>
      <c r="AT29" s="19"/>
      <c r="AU29" s="20"/>
      <c r="AV29" s="21"/>
      <c r="AW29" s="21"/>
      <c r="AY29" s="19"/>
      <c r="AZ29" s="18"/>
      <c r="BA29" s="2"/>
      <c r="BB29" s="18"/>
      <c r="BC29" s="118"/>
      <c r="BE29" s="2"/>
      <c r="BF29" s="19"/>
      <c r="BG29" s="20"/>
      <c r="BH29" s="21"/>
      <c r="BI29" s="21"/>
      <c r="BK29" s="19"/>
      <c r="BL29" s="18"/>
      <c r="BM29" s="2"/>
      <c r="BN29" s="18"/>
      <c r="BO29" s="118"/>
      <c r="BQ29" s="2"/>
      <c r="BR29" s="19"/>
      <c r="BS29" s="20"/>
      <c r="BT29" s="21"/>
      <c r="BU29" s="21"/>
      <c r="BW29" s="19"/>
      <c r="BX29" s="18"/>
      <c r="BY29" s="2"/>
      <c r="BZ29" s="18"/>
      <c r="CA29" s="118"/>
      <c r="CC29" s="2"/>
      <c r="CD29" s="19"/>
      <c r="CE29" s="20"/>
      <c r="CF29" s="21"/>
      <c r="CG29" s="21"/>
      <c r="CI29" s="19"/>
      <c r="CJ29" s="18"/>
      <c r="CK29" s="2"/>
      <c r="CL29" s="18"/>
      <c r="CM29" s="118"/>
      <c r="CO29" s="2"/>
      <c r="CP29" s="19"/>
      <c r="CQ29" s="20"/>
      <c r="CR29" s="21"/>
      <c r="CS29" s="21"/>
    </row>
    <row r="30" spans="1:97" x14ac:dyDescent="0.25">
      <c r="A30" s="1">
        <f t="shared" si="8"/>
        <v>4</v>
      </c>
      <c r="B30" s="19">
        <f t="shared" si="9"/>
        <v>20.000264946385922</v>
      </c>
      <c r="C30" s="18">
        <f t="shared" si="24"/>
        <v>6.0000002705474939E-2</v>
      </c>
      <c r="D30" s="2">
        <f t="shared" si="2"/>
        <v>0.90000023845019961</v>
      </c>
      <c r="E30" s="18">
        <f t="shared" si="10"/>
        <v>7.5000006679644932E-2</v>
      </c>
      <c r="F30" s="21">
        <f t="shared" si="3"/>
        <v>4.9825802627708599E-4</v>
      </c>
      <c r="G30" s="1">
        <f t="shared" si="4"/>
        <v>0</v>
      </c>
      <c r="H30" s="2">
        <f t="shared" si="0"/>
        <v>46.201110284177759</v>
      </c>
      <c r="I30" s="19">
        <f t="shared" si="11"/>
        <v>20.000480642501195</v>
      </c>
      <c r="J30" s="20">
        <f t="shared" si="5"/>
        <v>0.93649991659350806</v>
      </c>
      <c r="K30" s="21">
        <f t="shared" si="6"/>
        <v>4.8075304896648353E-4</v>
      </c>
      <c r="L30" s="21">
        <f t="shared" si="1"/>
        <v>3.2971632152464304E-4</v>
      </c>
      <c r="M30" s="2">
        <f t="shared" si="12"/>
        <v>3.140155241382518E-4</v>
      </c>
      <c r="N30" s="19">
        <f t="shared" si="25"/>
        <v>102.84917623203043</v>
      </c>
      <c r="O30" s="1">
        <f t="shared" si="13"/>
        <v>4</v>
      </c>
      <c r="P30" s="19">
        <f t="shared" si="14"/>
        <v>20.310743022185253</v>
      </c>
      <c r="Q30" s="18">
        <f t="shared" si="15"/>
        <v>1.5410350004828612</v>
      </c>
      <c r="R30" s="2">
        <f t="shared" si="16"/>
        <v>0.90027756112896185</v>
      </c>
      <c r="S30" s="18">
        <f t="shared" si="17"/>
        <v>1.5560396265016774</v>
      </c>
      <c r="T30" s="18">
        <f t="shared" si="18"/>
        <v>0.18823948595123963</v>
      </c>
      <c r="U30" s="1">
        <f t="shared" si="7"/>
        <v>0</v>
      </c>
      <c r="V30" s="2">
        <f t="shared" si="19"/>
        <v>47.106055867199181</v>
      </c>
      <c r="W30" s="19">
        <f t="shared" si="20"/>
        <v>20.392231977142501</v>
      </c>
      <c r="X30" s="20"/>
      <c r="Y30" s="2">
        <f t="shared" si="21"/>
        <v>0.39232219049724626</v>
      </c>
      <c r="Z30" s="21">
        <f t="shared" si="22"/>
        <v>0.14192507982166117</v>
      </c>
      <c r="AA30" s="2">
        <f t="shared" si="23"/>
        <v>0.29552042594906131</v>
      </c>
      <c r="AB30" s="19">
        <f t="shared" si="26"/>
        <v>1.9508444444939201</v>
      </c>
      <c r="AC30" s="2"/>
      <c r="AD30" s="18"/>
      <c r="AE30" s="118"/>
      <c r="AG30" s="2"/>
      <c r="AH30" s="19"/>
      <c r="AI30" s="20"/>
      <c r="AJ30" s="21"/>
      <c r="AK30" s="21"/>
      <c r="AM30" s="19"/>
      <c r="AN30" s="18"/>
      <c r="AO30" s="2"/>
      <c r="AP30" s="18"/>
      <c r="AQ30" s="118"/>
      <c r="AS30" s="2"/>
      <c r="AT30" s="19"/>
      <c r="AU30" s="20"/>
      <c r="AV30" s="21"/>
      <c r="AW30" s="21"/>
      <c r="AY30" s="19"/>
      <c r="AZ30" s="18"/>
      <c r="BA30" s="2"/>
      <c r="BB30" s="18"/>
      <c r="BC30" s="118"/>
      <c r="BE30" s="2"/>
      <c r="BF30" s="19"/>
      <c r="BG30" s="20"/>
      <c r="BH30" s="21"/>
      <c r="BI30" s="21"/>
      <c r="BK30" s="19"/>
      <c r="BL30" s="18"/>
      <c r="BM30" s="2"/>
      <c r="BN30" s="18"/>
      <c r="BO30" s="118"/>
      <c r="BQ30" s="2"/>
      <c r="BR30" s="19"/>
      <c r="BS30" s="20"/>
      <c r="BT30" s="21"/>
      <c r="BU30" s="21"/>
      <c r="BW30" s="19"/>
      <c r="BX30" s="18"/>
      <c r="BY30" s="2"/>
      <c r="BZ30" s="18"/>
      <c r="CA30" s="118"/>
      <c r="CC30" s="2"/>
      <c r="CD30" s="19"/>
      <c r="CE30" s="20"/>
      <c r="CF30" s="21"/>
      <c r="CG30" s="21"/>
      <c r="CI30" s="19"/>
      <c r="CJ30" s="18"/>
      <c r="CK30" s="2"/>
      <c r="CL30" s="18"/>
      <c r="CM30" s="118"/>
      <c r="CO30" s="2"/>
      <c r="CP30" s="19"/>
      <c r="CQ30" s="20"/>
      <c r="CR30" s="21"/>
      <c r="CS30" s="21"/>
    </row>
    <row r="31" spans="1:97" x14ac:dyDescent="0.25">
      <c r="A31" s="1">
        <f t="shared" si="8"/>
        <v>5</v>
      </c>
      <c r="B31" s="19">
        <f t="shared" si="9"/>
        <v>20.000480642501195</v>
      </c>
      <c r="C31" s="18">
        <f t="shared" si="24"/>
        <v>7.5000006679644932E-2</v>
      </c>
      <c r="D31" s="2">
        <f t="shared" si="2"/>
        <v>0.90000043257315721</v>
      </c>
      <c r="E31" s="18">
        <f t="shared" si="10"/>
        <v>9.0000013889197553E-2</v>
      </c>
      <c r="F31" s="21">
        <f t="shared" si="3"/>
        <v>7.1103029677091251E-4</v>
      </c>
      <c r="G31" s="1">
        <f t="shared" si="4"/>
        <v>0</v>
      </c>
      <c r="H31" s="2">
        <f t="shared" si="0"/>
        <v>46.201821314474529</v>
      </c>
      <c r="I31" s="19">
        <f t="shared" si="11"/>
        <v>20.000788447824473</v>
      </c>
      <c r="J31" s="20">
        <f t="shared" si="5"/>
        <v>0.93649985547520576</v>
      </c>
      <c r="K31" s="21">
        <f t="shared" si="6"/>
        <v>7.8862916746828869E-4</v>
      </c>
      <c r="L31" s="21">
        <f t="shared" si="1"/>
        <v>4.7479156496762912E-4</v>
      </c>
      <c r="M31" s="2">
        <f t="shared" si="12"/>
        <v>5.1955299815021239E-4</v>
      </c>
      <c r="N31" s="19">
        <f t="shared" si="25"/>
        <v>112.72269636450756</v>
      </c>
      <c r="O31" s="1">
        <f t="shared" si="13"/>
        <v>5</v>
      </c>
      <c r="P31" s="19">
        <f t="shared" si="14"/>
        <v>20.392231977142501</v>
      </c>
      <c r="Q31" s="18">
        <f t="shared" si="15"/>
        <v>1.5560396265016774</v>
      </c>
      <c r="R31" s="2">
        <f t="shared" si="16"/>
        <v>0.90034965975392112</v>
      </c>
      <c r="S31" s="18">
        <f t="shared" si="17"/>
        <v>1.5710454541642427</v>
      </c>
      <c r="T31" s="18">
        <f t="shared" si="18"/>
        <v>0.19182059258969139</v>
      </c>
      <c r="U31" s="1">
        <f t="shared" si="7"/>
        <v>0</v>
      </c>
      <c r="V31" s="2">
        <f t="shared" si="19"/>
        <v>47.297876459788874</v>
      </c>
      <c r="W31" s="19">
        <f t="shared" si="20"/>
        <v>20.475271194713798</v>
      </c>
      <c r="X31" s="20"/>
      <c r="Y31" s="2">
        <f t="shared" si="21"/>
        <v>0.47538050708858265</v>
      </c>
      <c r="Z31" s="21">
        <f t="shared" si="22"/>
        <v>0.14467561683672633</v>
      </c>
      <c r="AA31" s="2">
        <f t="shared" si="23"/>
        <v>0.35815056310781729</v>
      </c>
      <c r="AB31" s="19">
        <f t="shared" si="26"/>
        <v>2.4267411140101287</v>
      </c>
      <c r="AC31" s="2"/>
      <c r="AD31" s="18"/>
      <c r="AE31" s="118"/>
      <c r="AG31" s="2"/>
      <c r="AH31" s="19"/>
      <c r="AI31" s="20"/>
      <c r="AJ31" s="21"/>
      <c r="AK31" s="21"/>
      <c r="AM31" s="19"/>
      <c r="AN31" s="18"/>
      <c r="AO31" s="2"/>
      <c r="AP31" s="18"/>
      <c r="AQ31" s="118"/>
      <c r="AS31" s="2"/>
      <c r="AT31" s="19"/>
      <c r="AU31" s="20"/>
      <c r="AV31" s="21"/>
      <c r="AW31" s="21"/>
      <c r="AY31" s="19"/>
      <c r="AZ31" s="18"/>
      <c r="BA31" s="2"/>
      <c r="BB31" s="18"/>
      <c r="BC31" s="118"/>
      <c r="BE31" s="2"/>
      <c r="BF31" s="19"/>
      <c r="BG31" s="20"/>
      <c r="BH31" s="21"/>
      <c r="BI31" s="21"/>
      <c r="BK31" s="19"/>
      <c r="BL31" s="18"/>
      <c r="BM31" s="2"/>
      <c r="BN31" s="18"/>
      <c r="BO31" s="118"/>
      <c r="BQ31" s="2"/>
      <c r="BR31" s="19"/>
      <c r="BS31" s="20"/>
      <c r="BT31" s="21"/>
      <c r="BU31" s="21"/>
      <c r="BW31" s="19"/>
      <c r="BX31" s="18"/>
      <c r="BY31" s="2"/>
      <c r="BZ31" s="18"/>
      <c r="CA31" s="118"/>
      <c r="CC31" s="2"/>
      <c r="CD31" s="19"/>
      <c r="CE31" s="20"/>
      <c r="CF31" s="21"/>
      <c r="CG31" s="21"/>
      <c r="CI31" s="19"/>
      <c r="CJ31" s="18"/>
      <c r="CK31" s="2"/>
      <c r="CL31" s="18"/>
      <c r="CM31" s="118"/>
      <c r="CO31" s="2"/>
      <c r="CP31" s="19"/>
      <c r="CQ31" s="20"/>
      <c r="CR31" s="21"/>
      <c r="CS31" s="21"/>
    </row>
    <row r="32" spans="1:97" x14ac:dyDescent="0.25">
      <c r="A32" s="1">
        <f t="shared" si="8"/>
        <v>6</v>
      </c>
      <c r="B32" s="19">
        <f t="shared" si="9"/>
        <v>20.000788447824473</v>
      </c>
      <c r="C32" s="18">
        <f t="shared" si="24"/>
        <v>9.0000013889197553E-2</v>
      </c>
      <c r="D32" s="2">
        <f t="shared" si="2"/>
        <v>0.90000070958933498</v>
      </c>
      <c r="E32" s="18">
        <f t="shared" si="10"/>
        <v>0.10500002571568647</v>
      </c>
      <c r="F32" s="21">
        <f t="shared" si="3"/>
        <v>9.605385820985183E-4</v>
      </c>
      <c r="G32" s="1">
        <f t="shared" si="4"/>
        <v>0</v>
      </c>
      <c r="H32" s="2">
        <f t="shared" si="0"/>
        <v>46.202781853056635</v>
      </c>
      <c r="I32" s="19">
        <f t="shared" si="11"/>
        <v>20.001204265392481</v>
      </c>
      <c r="J32" s="20">
        <f t="shared" si="5"/>
        <v>0.93649977064062417</v>
      </c>
      <c r="K32" s="21">
        <f t="shared" si="6"/>
        <v>1.204542373516947E-3</v>
      </c>
      <c r="L32" s="21">
        <f t="shared" si="1"/>
        <v>6.4624419162173207E-4</v>
      </c>
      <c r="M32" s="2">
        <f t="shared" si="12"/>
        <v>7.9931238846265044E-4</v>
      </c>
      <c r="N32" s="19">
        <f t="shared" si="25"/>
        <v>120.9506292712632</v>
      </c>
      <c r="O32" s="1">
        <f t="shared" si="13"/>
        <v>6</v>
      </c>
      <c r="P32" s="19">
        <f t="shared" si="14"/>
        <v>20.475271194713798</v>
      </c>
      <c r="Q32" s="18">
        <f t="shared" si="15"/>
        <v>1.5710454541642427</v>
      </c>
      <c r="R32" s="2">
        <f t="shared" si="16"/>
        <v>0.90042284012145968</v>
      </c>
      <c r="S32" s="18">
        <f t="shared" si="17"/>
        <v>1.5860525014996003</v>
      </c>
      <c r="T32" s="18">
        <f t="shared" si="18"/>
        <v>0.19543517885157902</v>
      </c>
      <c r="U32" s="1">
        <f t="shared" si="7"/>
        <v>0</v>
      </c>
      <c r="V32" s="2">
        <f t="shared" si="19"/>
        <v>47.493311638640456</v>
      </c>
      <c r="W32" s="19">
        <f t="shared" si="20"/>
        <v>20.55987516824262</v>
      </c>
      <c r="X32" s="20"/>
      <c r="Y32" s="2">
        <f t="shared" si="21"/>
        <v>0.56000393953131633</v>
      </c>
      <c r="Z32" s="21">
        <f t="shared" si="22"/>
        <v>0.14745277843452306</v>
      </c>
      <c r="AA32" s="2">
        <f t="shared" si="23"/>
        <v>0.42198293472449394</v>
      </c>
      <c r="AB32" s="19">
        <f t="shared" si="26"/>
        <v>2.8980922604232209</v>
      </c>
      <c r="AC32" s="2"/>
      <c r="AD32" s="18"/>
      <c r="AE32" s="118"/>
      <c r="AG32" s="2"/>
      <c r="AH32" s="19"/>
      <c r="AI32" s="20"/>
      <c r="AJ32" s="21"/>
      <c r="AK32" s="21"/>
      <c r="AM32" s="19"/>
      <c r="AN32" s="18"/>
      <c r="AO32" s="2"/>
      <c r="AP32" s="18"/>
      <c r="AQ32" s="118"/>
      <c r="AS32" s="2"/>
      <c r="AT32" s="19"/>
      <c r="AU32" s="20"/>
      <c r="AV32" s="21"/>
      <c r="AW32" s="21"/>
      <c r="AY32" s="19"/>
      <c r="AZ32" s="18"/>
      <c r="BA32" s="2"/>
      <c r="BB32" s="18"/>
      <c r="BC32" s="118"/>
      <c r="BE32" s="2"/>
      <c r="BF32" s="19"/>
      <c r="BG32" s="20"/>
      <c r="BH32" s="21"/>
      <c r="BI32" s="21"/>
      <c r="BK32" s="19"/>
      <c r="BL32" s="18"/>
      <c r="BM32" s="2"/>
      <c r="BN32" s="18"/>
      <c r="BO32" s="118"/>
      <c r="BQ32" s="2"/>
      <c r="BR32" s="19"/>
      <c r="BS32" s="20"/>
      <c r="BT32" s="21"/>
      <c r="BU32" s="21"/>
      <c r="BW32" s="19"/>
      <c r="BX32" s="18"/>
      <c r="BY32" s="2"/>
      <c r="BZ32" s="18"/>
      <c r="CA32" s="118"/>
      <c r="CC32" s="2"/>
      <c r="CD32" s="19"/>
      <c r="CE32" s="20"/>
      <c r="CF32" s="21"/>
      <c r="CG32" s="21"/>
      <c r="CI32" s="19"/>
      <c r="CJ32" s="18"/>
      <c r="CK32" s="2"/>
      <c r="CL32" s="18"/>
      <c r="CM32" s="118"/>
      <c r="CO32" s="2"/>
      <c r="CP32" s="19"/>
      <c r="CQ32" s="20"/>
      <c r="CR32" s="21"/>
      <c r="CS32" s="21"/>
    </row>
    <row r="33" spans="1:97" x14ac:dyDescent="0.25">
      <c r="A33" s="1">
        <f t="shared" si="8"/>
        <v>7</v>
      </c>
      <c r="B33" s="19">
        <f t="shared" si="9"/>
        <v>20.001204265392481</v>
      </c>
      <c r="C33" s="18">
        <f t="shared" si="24"/>
        <v>0.10500002571568647</v>
      </c>
      <c r="D33" s="2">
        <f t="shared" si="2"/>
        <v>0.90000108380687638</v>
      </c>
      <c r="E33" s="18">
        <f t="shared" si="10"/>
        <v>0.12000004377913441</v>
      </c>
      <c r="F33" s="21">
        <f t="shared" si="3"/>
        <v>1.246548232010148E-3</v>
      </c>
      <c r="G33" s="1">
        <f t="shared" si="4"/>
        <v>0</v>
      </c>
      <c r="H33" s="2">
        <f t="shared" si="0"/>
        <v>46.204028401288646</v>
      </c>
      <c r="I33" s="19">
        <f t="shared" si="11"/>
        <v>20.00174389666175</v>
      </c>
      <c r="J33" s="20">
        <f t="shared" si="5"/>
        <v>0.93649965834046334</v>
      </c>
      <c r="K33" s="21">
        <f t="shared" si="6"/>
        <v>1.7442977579773412E-3</v>
      </c>
      <c r="L33" s="21">
        <f t="shared" si="1"/>
        <v>8.4407424863375117E-4</v>
      </c>
      <c r="M33" s="2">
        <f t="shared" si="12"/>
        <v>1.164712496096309E-3</v>
      </c>
      <c r="N33" s="19">
        <f t="shared" si="25"/>
        <v>128.00314255247437</v>
      </c>
      <c r="O33" s="1">
        <f t="shared" si="13"/>
        <v>7</v>
      </c>
      <c r="P33" s="19">
        <f t="shared" si="14"/>
        <v>20.55987516824262</v>
      </c>
      <c r="Q33" s="18">
        <f t="shared" si="15"/>
        <v>1.5860525014996003</v>
      </c>
      <c r="R33" s="2">
        <f t="shared" si="16"/>
        <v>0.90049710095020341</v>
      </c>
      <c r="S33" s="18">
        <f t="shared" si="17"/>
        <v>1.6010607865154369</v>
      </c>
      <c r="T33" s="18">
        <f t="shared" si="18"/>
        <v>0.19908324768107158</v>
      </c>
      <c r="U33" s="1">
        <f t="shared" si="7"/>
        <v>0</v>
      </c>
      <c r="V33" s="2">
        <f t="shared" si="19"/>
        <v>47.692394886321523</v>
      </c>
      <c r="W33" s="19">
        <f t="shared" si="20"/>
        <v>20.64605839234698</v>
      </c>
      <c r="X33" s="20"/>
      <c r="Y33" s="2">
        <f t="shared" si="21"/>
        <v>0.64620698577722036</v>
      </c>
      <c r="Z33" s="21">
        <f t="shared" si="22"/>
        <v>0.15025657443238541</v>
      </c>
      <c r="AA33" s="2">
        <f t="shared" si="23"/>
        <v>0.48702907084240971</v>
      </c>
      <c r="AB33" s="19">
        <f t="shared" si="26"/>
        <v>3.3649835362083809</v>
      </c>
      <c r="AC33" s="2"/>
      <c r="AD33" s="18"/>
      <c r="AE33" s="118"/>
      <c r="AG33" s="2"/>
      <c r="AH33" s="19"/>
      <c r="AI33" s="20"/>
      <c r="AJ33" s="21"/>
      <c r="AK33" s="21"/>
      <c r="AM33" s="19"/>
      <c r="AN33" s="18"/>
      <c r="AO33" s="2"/>
      <c r="AP33" s="18"/>
      <c r="AQ33" s="118"/>
      <c r="AS33" s="2"/>
      <c r="AT33" s="19"/>
      <c r="AU33" s="20"/>
      <c r="AV33" s="21"/>
      <c r="AW33" s="21"/>
      <c r="AY33" s="19"/>
      <c r="AZ33" s="18"/>
      <c r="BA33" s="2"/>
      <c r="BB33" s="18"/>
      <c r="BC33" s="118"/>
      <c r="BE33" s="2"/>
      <c r="BF33" s="19"/>
      <c r="BG33" s="20"/>
      <c r="BH33" s="21"/>
      <c r="BI33" s="21"/>
      <c r="BK33" s="19"/>
      <c r="BL33" s="18"/>
      <c r="BM33" s="2"/>
      <c r="BN33" s="18"/>
      <c r="BO33" s="118"/>
      <c r="BQ33" s="2"/>
      <c r="BR33" s="19"/>
      <c r="BS33" s="20"/>
      <c r="BT33" s="21"/>
      <c r="BU33" s="21"/>
      <c r="BW33" s="19"/>
      <c r="BX33" s="18"/>
      <c r="BY33" s="2"/>
      <c r="BZ33" s="18"/>
      <c r="CA33" s="118"/>
      <c r="CC33" s="2"/>
      <c r="CD33" s="19"/>
      <c r="CE33" s="20"/>
      <c r="CF33" s="21"/>
      <c r="CG33" s="21"/>
      <c r="CI33" s="19"/>
      <c r="CJ33" s="18"/>
      <c r="CK33" s="2"/>
      <c r="CL33" s="18"/>
      <c r="CM33" s="118"/>
      <c r="CO33" s="2"/>
      <c r="CP33" s="19"/>
      <c r="CQ33" s="20"/>
      <c r="CR33" s="21"/>
      <c r="CS33" s="21"/>
    </row>
    <row r="34" spans="1:97" x14ac:dyDescent="0.25">
      <c r="A34" s="1">
        <f t="shared" si="8"/>
        <v>8</v>
      </c>
      <c r="B34" s="19">
        <f t="shared" si="9"/>
        <v>20.00174389666175</v>
      </c>
      <c r="C34" s="18">
        <f t="shared" si="24"/>
        <v>0.12000004377913441</v>
      </c>
      <c r="D34" s="2">
        <f t="shared" si="2"/>
        <v>0.90000156943994158</v>
      </c>
      <c r="E34" s="18">
        <f t="shared" si="10"/>
        <v>0.13500006993646677</v>
      </c>
      <c r="F34" s="21">
        <f t="shared" si="3"/>
        <v>1.5688605452724973E-3</v>
      </c>
      <c r="G34" s="1">
        <f t="shared" si="4"/>
        <v>0</v>
      </c>
      <c r="H34" s="2">
        <f t="shared" si="0"/>
        <v>46.205597261833915</v>
      </c>
      <c r="I34" s="19">
        <f t="shared" si="11"/>
        <v>20.00242305707096</v>
      </c>
      <c r="J34" s="20">
        <f t="shared" si="5"/>
        <v>0.93649951484839122</v>
      </c>
      <c r="K34" s="21">
        <f t="shared" si="6"/>
        <v>2.4236143740803324E-3</v>
      </c>
      <c r="L34" s="21">
        <f t="shared" si="1"/>
        <v>1.0682817982949782E-3</v>
      </c>
      <c r="M34" s="2">
        <f t="shared" si="12"/>
        <v>1.6271721490378581E-3</v>
      </c>
      <c r="N34" s="19">
        <f t="shared" si="25"/>
        <v>134.17409093354615</v>
      </c>
      <c r="O34" s="1">
        <f t="shared" si="13"/>
        <v>8</v>
      </c>
      <c r="P34" s="19">
        <f t="shared" si="14"/>
        <v>20.64605839234698</v>
      </c>
      <c r="Q34" s="18">
        <f t="shared" si="15"/>
        <v>1.6010607865154369</v>
      </c>
      <c r="R34" s="2">
        <f t="shared" si="16"/>
        <v>0.90057244068541609</v>
      </c>
      <c r="S34" s="18">
        <f t="shared" si="17"/>
        <v>1.6160703271935273</v>
      </c>
      <c r="T34" s="18">
        <f t="shared" si="18"/>
        <v>0.20276480227433041</v>
      </c>
      <c r="U34" s="1">
        <f t="shared" si="7"/>
        <v>0</v>
      </c>
      <c r="V34" s="2">
        <f t="shared" si="19"/>
        <v>47.895159688595854</v>
      </c>
      <c r="W34" s="19">
        <f t="shared" si="20"/>
        <v>20.733835363028508</v>
      </c>
      <c r="X34" s="20"/>
      <c r="Y34" s="2">
        <f t="shared" si="21"/>
        <v>0.73400414516200541</v>
      </c>
      <c r="Z34" s="21">
        <f t="shared" si="22"/>
        <v>0.15308701477000669</v>
      </c>
      <c r="AA34" s="2">
        <f t="shared" si="23"/>
        <v>0.55330050580778056</v>
      </c>
      <c r="AB34" s="19">
        <f t="shared" si="26"/>
        <v>3.8274981903203305</v>
      </c>
      <c r="AC34" s="2"/>
      <c r="AD34" s="18"/>
      <c r="AE34" s="118"/>
      <c r="AG34" s="2"/>
      <c r="AH34" s="19"/>
      <c r="AI34" s="20"/>
      <c r="AJ34" s="21"/>
      <c r="AK34" s="21"/>
      <c r="AM34" s="19"/>
      <c r="AN34" s="18"/>
      <c r="AO34" s="2"/>
      <c r="AP34" s="18"/>
      <c r="AQ34" s="118"/>
      <c r="AS34" s="2"/>
      <c r="AT34" s="19"/>
      <c r="AU34" s="20"/>
      <c r="AV34" s="21"/>
      <c r="AW34" s="21"/>
      <c r="AY34" s="19"/>
      <c r="AZ34" s="18"/>
      <c r="BA34" s="2"/>
      <c r="BB34" s="18"/>
      <c r="BC34" s="118"/>
      <c r="BE34" s="2"/>
      <c r="BF34" s="19"/>
      <c r="BG34" s="20"/>
      <c r="BH34" s="21"/>
      <c r="BI34" s="21"/>
      <c r="BK34" s="19"/>
      <c r="BL34" s="18"/>
      <c r="BM34" s="2"/>
      <c r="BN34" s="18"/>
      <c r="BO34" s="118"/>
      <c r="BQ34" s="2"/>
      <c r="BR34" s="19"/>
      <c r="BS34" s="20"/>
      <c r="BT34" s="21"/>
      <c r="BU34" s="21"/>
      <c r="BW34" s="19"/>
      <c r="BX34" s="18"/>
      <c r="BY34" s="2"/>
      <c r="BZ34" s="18"/>
      <c r="CA34" s="118"/>
      <c r="CC34" s="2"/>
      <c r="CD34" s="19"/>
      <c r="CE34" s="20"/>
      <c r="CF34" s="21"/>
      <c r="CG34" s="21"/>
      <c r="CI34" s="19"/>
      <c r="CJ34" s="18"/>
      <c r="CK34" s="2"/>
      <c r="CL34" s="18"/>
      <c r="CM34" s="118"/>
      <c r="CO34" s="2"/>
      <c r="CP34" s="19"/>
      <c r="CQ34" s="20"/>
      <c r="CR34" s="21"/>
      <c r="CS34" s="21"/>
    </row>
    <row r="35" spans="1:97" x14ac:dyDescent="0.25">
      <c r="A35" s="1">
        <f t="shared" si="8"/>
        <v>9</v>
      </c>
      <c r="B35" s="19">
        <f t="shared" si="9"/>
        <v>20.00242305707096</v>
      </c>
      <c r="C35" s="18">
        <f t="shared" si="24"/>
        <v>0.13500006993646677</v>
      </c>
      <c r="D35" s="2">
        <f t="shared" si="2"/>
        <v>0.90000218062191428</v>
      </c>
      <c r="E35" s="18">
        <f t="shared" si="10"/>
        <v>0.15000010628016533</v>
      </c>
      <c r="F35" s="21">
        <f t="shared" si="3"/>
        <v>1.9273036627241744E-3</v>
      </c>
      <c r="G35" s="1">
        <f t="shared" si="4"/>
        <v>0</v>
      </c>
      <c r="H35" s="2">
        <f t="shared" si="0"/>
        <v>46.207524565496641</v>
      </c>
      <c r="I35" s="19">
        <f t="shared" si="11"/>
        <v>20.003257387660884</v>
      </c>
      <c r="J35" s="20">
        <f t="shared" si="5"/>
        <v>0.93649933645797145</v>
      </c>
      <c r="K35" s="21">
        <f t="shared" si="6"/>
        <v>3.2581368600399E-3</v>
      </c>
      <c r="L35" s="21">
        <f t="shared" si="1"/>
        <v>1.3188669201004929E-3</v>
      </c>
      <c r="M35" s="2">
        <f t="shared" si="12"/>
        <v>2.198110209687422E-3</v>
      </c>
      <c r="N35" s="19">
        <f t="shared" si="25"/>
        <v>139.65937754292267</v>
      </c>
      <c r="O35" s="1">
        <f t="shared" si="13"/>
        <v>9</v>
      </c>
      <c r="P35" s="19">
        <f t="shared" si="14"/>
        <v>20.733835363028508</v>
      </c>
      <c r="Q35" s="18">
        <f t="shared" si="15"/>
        <v>1.6160703271935273</v>
      </c>
      <c r="R35" s="2">
        <f t="shared" si="16"/>
        <v>0.90064885750130474</v>
      </c>
      <c r="S35" s="18">
        <f t="shared" si="17"/>
        <v>1.6310811414852158</v>
      </c>
      <c r="T35" s="18">
        <f t="shared" si="18"/>
        <v>0.20647984607603781</v>
      </c>
      <c r="U35" s="1">
        <f t="shared" si="7"/>
        <v>0</v>
      </c>
      <c r="V35" s="2">
        <f t="shared" si="19"/>
        <v>48.101639534671889</v>
      </c>
      <c r="W35" s="19">
        <f t="shared" si="20"/>
        <v>20.823220577780038</v>
      </c>
      <c r="X35" s="20"/>
      <c r="Y35" s="2">
        <f t="shared" si="21"/>
        <v>0.82340991851292977</v>
      </c>
      <c r="Z35" s="21">
        <f t="shared" si="22"/>
        <v>0.15594410950837445</v>
      </c>
      <c r="AA35" s="2">
        <f t="shared" si="23"/>
        <v>0.62080877832222836</v>
      </c>
      <c r="AB35" s="19">
        <f t="shared" si="26"/>
        <v>4.2857171572964594</v>
      </c>
      <c r="AC35" s="2"/>
      <c r="AD35" s="18"/>
      <c r="AE35" s="118"/>
      <c r="AG35" s="2"/>
      <c r="AH35" s="19"/>
      <c r="AI35" s="20"/>
      <c r="AJ35" s="21"/>
      <c r="AK35" s="21"/>
      <c r="AM35" s="19"/>
      <c r="AN35" s="18"/>
      <c r="AO35" s="2"/>
      <c r="AP35" s="18"/>
      <c r="AQ35" s="118"/>
      <c r="AS35" s="2"/>
      <c r="AT35" s="19"/>
      <c r="AU35" s="20"/>
      <c r="AV35" s="21"/>
      <c r="AW35" s="21"/>
      <c r="AY35" s="19"/>
      <c r="AZ35" s="18"/>
      <c r="BA35" s="2"/>
      <c r="BB35" s="18"/>
      <c r="BC35" s="118"/>
      <c r="BE35" s="2"/>
      <c r="BF35" s="19"/>
      <c r="BG35" s="20"/>
      <c r="BH35" s="21"/>
      <c r="BI35" s="21"/>
      <c r="BK35" s="19"/>
      <c r="BL35" s="18"/>
      <c r="BM35" s="2"/>
      <c r="BN35" s="18"/>
      <c r="BO35" s="118"/>
      <c r="BQ35" s="2"/>
      <c r="BR35" s="19"/>
      <c r="BS35" s="20"/>
      <c r="BT35" s="21"/>
      <c r="BU35" s="21"/>
      <c r="BW35" s="19"/>
      <c r="BX35" s="18"/>
      <c r="BY35" s="2"/>
      <c r="BZ35" s="18"/>
      <c r="CA35" s="118"/>
      <c r="CC35" s="2"/>
      <c r="CD35" s="19"/>
      <c r="CE35" s="20"/>
      <c r="CF35" s="21"/>
      <c r="CG35" s="21"/>
      <c r="CI35" s="19"/>
      <c r="CJ35" s="18"/>
      <c r="CK35" s="2"/>
      <c r="CL35" s="18"/>
      <c r="CM35" s="118"/>
      <c r="CO35" s="2"/>
      <c r="CP35" s="19"/>
      <c r="CQ35" s="20"/>
      <c r="CR35" s="21"/>
      <c r="CS35" s="21"/>
    </row>
    <row r="36" spans="1:97" x14ac:dyDescent="0.25">
      <c r="A36" s="1">
        <f t="shared" si="8"/>
        <v>10</v>
      </c>
      <c r="B36" s="19">
        <f t="shared" si="9"/>
        <v>20.003257387660884</v>
      </c>
      <c r="C36" s="18">
        <f t="shared" si="24"/>
        <v>0.15000010628016533</v>
      </c>
      <c r="D36" s="2">
        <f t="shared" si="2"/>
        <v>0.9000029314149568</v>
      </c>
      <c r="E36" s="18">
        <f t="shared" si="10"/>
        <v>0.16500015513708127</v>
      </c>
      <c r="F36" s="21">
        <f t="shared" si="3"/>
        <v>2.3217264960320627E-3</v>
      </c>
      <c r="G36" s="1">
        <f t="shared" si="4"/>
        <v>0</v>
      </c>
      <c r="H36" s="2">
        <f t="shared" si="0"/>
        <v>46.209846291992676</v>
      </c>
      <c r="I36" s="19">
        <f t="shared" si="11"/>
        <v>20.004262464066095</v>
      </c>
      <c r="J36" s="20">
        <f t="shared" si="5"/>
        <v>0.93649911948036391</v>
      </c>
      <c r="K36" s="21">
        <f t="shared" si="6"/>
        <v>4.2634444328217835E-3</v>
      </c>
      <c r="L36" s="21">
        <f t="shared" si="1"/>
        <v>1.5958297127973435E-3</v>
      </c>
      <c r="M36" s="2">
        <f t="shared" si="12"/>
        <v>2.8889455831927653E-3</v>
      </c>
      <c r="N36" s="19">
        <f t="shared" si="25"/>
        <v>144.59613455097627</v>
      </c>
      <c r="O36" s="1">
        <f t="shared" si="13"/>
        <v>10</v>
      </c>
      <c r="P36" s="19">
        <f t="shared" si="14"/>
        <v>20.823220577780038</v>
      </c>
      <c r="Q36" s="18">
        <f t="shared" si="15"/>
        <v>1.6310811414852158</v>
      </c>
      <c r="R36" s="2">
        <f t="shared" si="16"/>
        <v>0.90072634930348972</v>
      </c>
      <c r="S36" s="18">
        <f t="shared" si="17"/>
        <v>1.6460932473069405</v>
      </c>
      <c r="T36" s="18">
        <f t="shared" si="18"/>
        <v>0.2102283827759355</v>
      </c>
      <c r="U36" s="1">
        <f t="shared" si="7"/>
        <v>0</v>
      </c>
      <c r="V36" s="2">
        <f t="shared" si="19"/>
        <v>48.311867917447827</v>
      </c>
      <c r="W36" s="19">
        <f t="shared" si="20"/>
        <v>20.914228535691699</v>
      </c>
      <c r="X36" s="20"/>
      <c r="Y36" s="2">
        <f t="shared" si="21"/>
        <v>0.91443880825490986</v>
      </c>
      <c r="Z36" s="21">
        <f t="shared" si="22"/>
        <v>0.1588278688286647</v>
      </c>
      <c r="AA36" s="2">
        <f t="shared" si="23"/>
        <v>0.68956543149481053</v>
      </c>
      <c r="AB36" s="19">
        <f t="shared" si="26"/>
        <v>4.7397191422701201</v>
      </c>
      <c r="AC36" s="2"/>
      <c r="AD36" s="18"/>
      <c r="AE36" s="118"/>
      <c r="AG36" s="2"/>
      <c r="AH36" s="19"/>
      <c r="AI36" s="20"/>
      <c r="AJ36" s="21"/>
      <c r="AK36" s="21"/>
      <c r="AM36" s="19"/>
      <c r="AN36" s="18"/>
      <c r="AO36" s="2"/>
      <c r="AP36" s="18"/>
      <c r="AQ36" s="118"/>
      <c r="AS36" s="2"/>
      <c r="AT36" s="19"/>
      <c r="AU36" s="20"/>
      <c r="AV36" s="21"/>
      <c r="AW36" s="21"/>
      <c r="AY36" s="19"/>
      <c r="AZ36" s="18"/>
      <c r="BA36" s="2"/>
      <c r="BB36" s="18"/>
      <c r="BC36" s="118"/>
      <c r="BE36" s="2"/>
      <c r="BF36" s="19"/>
      <c r="BG36" s="20"/>
      <c r="BH36" s="21"/>
      <c r="BI36" s="21"/>
      <c r="BK36" s="19"/>
      <c r="BL36" s="18"/>
      <c r="BM36" s="2"/>
      <c r="BN36" s="18"/>
      <c r="BO36" s="118"/>
      <c r="BQ36" s="2"/>
      <c r="BR36" s="19"/>
      <c r="BS36" s="20"/>
      <c r="BT36" s="21"/>
      <c r="BU36" s="21"/>
      <c r="BW36" s="19"/>
      <c r="BX36" s="18"/>
      <c r="BY36" s="2"/>
      <c r="BZ36" s="18"/>
      <c r="CA36" s="118"/>
      <c r="CC36" s="2"/>
      <c r="CD36" s="19"/>
      <c r="CE36" s="20"/>
      <c r="CF36" s="21"/>
      <c r="CG36" s="21"/>
      <c r="CI36" s="19"/>
      <c r="CJ36" s="18"/>
      <c r="CK36" s="2"/>
      <c r="CL36" s="18"/>
      <c r="CM36" s="118"/>
      <c r="CO36" s="2"/>
      <c r="CP36" s="19"/>
      <c r="CQ36" s="20"/>
      <c r="CR36" s="21"/>
      <c r="CS36" s="21"/>
    </row>
    <row r="37" spans="1:97" x14ac:dyDescent="0.25">
      <c r="A37" s="1">
        <f t="shared" si="8"/>
        <v>11</v>
      </c>
      <c r="B37" s="19">
        <f t="shared" si="9"/>
        <v>20.004262464066095</v>
      </c>
      <c r="C37" s="18">
        <f t="shared" si="24"/>
        <v>0.16500015513708127</v>
      </c>
      <c r="D37" s="2">
        <f t="shared" si="2"/>
        <v>0.90000383581709831</v>
      </c>
      <c r="E37" s="18">
        <f t="shared" si="10"/>
        <v>0.18000021906736624</v>
      </c>
      <c r="F37" s="21">
        <f t="shared" si="3"/>
        <v>2.7519944841357131E-3</v>
      </c>
      <c r="G37" s="1">
        <f t="shared" si="4"/>
        <v>0</v>
      </c>
      <c r="H37" s="2">
        <f t="shared" si="0"/>
        <v>46.212598286476819</v>
      </c>
      <c r="I37" s="19">
        <f t="shared" si="11"/>
        <v>20.005453803669617</v>
      </c>
      <c r="J37" s="20">
        <f t="shared" si="5"/>
        <v>0.93649886024256224</v>
      </c>
      <c r="K37" s="21">
        <f t="shared" si="6"/>
        <v>5.4550580444525472E-3</v>
      </c>
      <c r="L37" s="21">
        <f t="shared" si="1"/>
        <v>1.8991702964227036E-3</v>
      </c>
      <c r="M37" s="2">
        <f t="shared" si="12"/>
        <v>3.7110972266657972E-3</v>
      </c>
      <c r="N37" s="19">
        <f t="shared" si="25"/>
        <v>149.08409442757261</v>
      </c>
      <c r="O37" s="1">
        <f t="shared" si="13"/>
        <v>11</v>
      </c>
      <c r="P37" s="19">
        <f t="shared" si="14"/>
        <v>20.914228535691699</v>
      </c>
      <c r="Q37" s="18">
        <f t="shared" si="15"/>
        <v>1.6460932473069405</v>
      </c>
      <c r="R37" s="2">
        <f t="shared" si="16"/>
        <v>0.90080491373163873</v>
      </c>
      <c r="S37" s="18">
        <f t="shared" si="17"/>
        <v>1.6611066625358011</v>
      </c>
      <c r="T37" s="18">
        <f t="shared" si="18"/>
        <v>0.21401041630537482</v>
      </c>
      <c r="U37" s="1">
        <f t="shared" si="7"/>
        <v>0</v>
      </c>
      <c r="V37" s="2">
        <f t="shared" si="19"/>
        <v>48.525878333753205</v>
      </c>
      <c r="W37" s="19">
        <f t="shared" si="20"/>
        <v>21.006873737555498</v>
      </c>
      <c r="X37" s="20"/>
      <c r="Y37" s="2">
        <f t="shared" si="21"/>
        <v>1.0071053185151371</v>
      </c>
      <c r="Z37" s="21">
        <f t="shared" si="22"/>
        <v>0.16173830303109935</v>
      </c>
      <c r="AA37" s="2">
        <f t="shared" si="23"/>
        <v>0.75958201289355487</v>
      </c>
      <c r="AB37" s="19">
        <f t="shared" si="26"/>
        <v>5.1895807021172899</v>
      </c>
      <c r="AC37" s="2"/>
      <c r="AD37" s="18"/>
      <c r="AE37" s="118"/>
      <c r="AG37" s="2"/>
      <c r="AH37" s="19"/>
      <c r="AI37" s="20"/>
      <c r="AJ37" s="21"/>
      <c r="AK37" s="21"/>
      <c r="AM37" s="19"/>
      <c r="AN37" s="18"/>
      <c r="AO37" s="2"/>
      <c r="AP37" s="18"/>
      <c r="AQ37" s="118"/>
      <c r="AS37" s="2"/>
      <c r="AT37" s="19"/>
      <c r="AU37" s="20"/>
      <c r="AV37" s="21"/>
      <c r="AW37" s="21"/>
      <c r="AY37" s="19"/>
      <c r="AZ37" s="18"/>
      <c r="BA37" s="2"/>
      <c r="BB37" s="18"/>
      <c r="BC37" s="118"/>
      <c r="BE37" s="2"/>
      <c r="BF37" s="19"/>
      <c r="BG37" s="20"/>
      <c r="BH37" s="21"/>
      <c r="BI37" s="21"/>
      <c r="BK37" s="19"/>
      <c r="BL37" s="18"/>
      <c r="BM37" s="2"/>
      <c r="BN37" s="18"/>
      <c r="BO37" s="118"/>
      <c r="BQ37" s="2"/>
      <c r="BR37" s="19"/>
      <c r="BS37" s="20"/>
      <c r="BT37" s="21"/>
      <c r="BU37" s="21"/>
      <c r="BW37" s="19"/>
      <c r="BX37" s="18"/>
      <c r="BY37" s="2"/>
      <c r="BZ37" s="18"/>
      <c r="CA37" s="118"/>
      <c r="CC37" s="2"/>
      <c r="CD37" s="19"/>
      <c r="CE37" s="20"/>
      <c r="CF37" s="21"/>
      <c r="CG37" s="21"/>
      <c r="CI37" s="19"/>
      <c r="CJ37" s="18"/>
      <c r="CK37" s="2"/>
      <c r="CL37" s="18"/>
      <c r="CM37" s="118"/>
      <c r="CO37" s="2"/>
      <c r="CP37" s="19"/>
      <c r="CQ37" s="20"/>
      <c r="CR37" s="21"/>
      <c r="CS37" s="21"/>
    </row>
    <row r="38" spans="1:97" x14ac:dyDescent="0.25">
      <c r="A38" s="1">
        <f t="shared" si="8"/>
        <v>12</v>
      </c>
      <c r="B38" s="19">
        <f t="shared" si="9"/>
        <v>20.005453803669617</v>
      </c>
      <c r="C38" s="18">
        <f t="shared" si="24"/>
        <v>0.18000021906736624</v>
      </c>
      <c r="D38" s="2">
        <f t="shared" si="2"/>
        <v>0.90000490776756603</v>
      </c>
      <c r="E38" s="18">
        <f t="shared" si="10"/>
        <v>0.19500030086349235</v>
      </c>
      <c r="F38" s="21">
        <f t="shared" si="3"/>
        <v>3.2179865147263769E-3</v>
      </c>
      <c r="G38" s="1">
        <f t="shared" si="4"/>
        <v>0</v>
      </c>
      <c r="H38" s="2">
        <f t="shared" si="0"/>
        <v>46.215816272991546</v>
      </c>
      <c r="I38" s="19">
        <f t="shared" si="11"/>
        <v>20.006846871424912</v>
      </c>
      <c r="J38" s="20">
        <f t="shared" si="5"/>
        <v>0.93649855508602131</v>
      </c>
      <c r="K38" s="21">
        <f t="shared" si="6"/>
        <v>6.8484462053290682E-3</v>
      </c>
      <c r="L38" s="21">
        <f t="shared" si="1"/>
        <v>2.2288888143327944E-3</v>
      </c>
      <c r="M38" s="2">
        <f t="shared" si="12"/>
        <v>4.6759841592773962E-3</v>
      </c>
      <c r="N38" s="19">
        <f t="shared" si="25"/>
        <v>153.1980565089757</v>
      </c>
      <c r="O38" s="1">
        <f t="shared" si="13"/>
        <v>12</v>
      </c>
      <c r="P38" s="19">
        <f t="shared" si="14"/>
        <v>21.006873737555498</v>
      </c>
      <c r="Q38" s="18">
        <f t="shared" si="15"/>
        <v>1.6611066625358011</v>
      </c>
      <c r="R38" s="2">
        <f t="shared" si="16"/>
        <v>0.9008845481622616</v>
      </c>
      <c r="S38" s="18">
        <f t="shared" si="17"/>
        <v>1.676121405005172</v>
      </c>
      <c r="T38" s="18">
        <f t="shared" si="18"/>
        <v>0.21782595083387502</v>
      </c>
      <c r="U38" s="1">
        <f t="shared" si="7"/>
        <v>0</v>
      </c>
      <c r="V38" s="2">
        <f t="shared" si="19"/>
        <v>48.743704284587082</v>
      </c>
      <c r="W38" s="19">
        <f t="shared" si="20"/>
        <v>21.101170685968434</v>
      </c>
      <c r="X38" s="20"/>
      <c r="Y38" s="2">
        <f t="shared" si="21"/>
        <v>1.1014239552262048</v>
      </c>
      <c r="Z38" s="21">
        <f t="shared" si="22"/>
        <v>0.16467542253376494</v>
      </c>
      <c r="AA38" s="2">
        <f t="shared" si="23"/>
        <v>0.83087007459648343</v>
      </c>
      <c r="AB38" s="19">
        <f t="shared" si="26"/>
        <v>5.6353763229457225</v>
      </c>
      <c r="AC38" s="2"/>
      <c r="AD38" s="18"/>
      <c r="AE38" s="118"/>
      <c r="AG38" s="2"/>
      <c r="AH38" s="19"/>
      <c r="AI38" s="20"/>
      <c r="AJ38" s="21"/>
      <c r="AK38" s="21"/>
      <c r="AM38" s="19"/>
      <c r="AN38" s="18"/>
      <c r="AO38" s="2"/>
      <c r="AP38" s="18"/>
      <c r="AQ38" s="118"/>
      <c r="AS38" s="2"/>
      <c r="AT38" s="19"/>
      <c r="AU38" s="20"/>
      <c r="AV38" s="21"/>
      <c r="AW38" s="21"/>
      <c r="AY38" s="19"/>
      <c r="AZ38" s="18"/>
      <c r="BA38" s="2"/>
      <c r="BB38" s="18"/>
      <c r="BC38" s="118"/>
      <c r="BE38" s="2"/>
      <c r="BF38" s="19"/>
      <c r="BG38" s="20"/>
      <c r="BH38" s="21"/>
      <c r="BI38" s="21"/>
      <c r="BK38" s="19"/>
      <c r="BL38" s="18"/>
      <c r="BM38" s="2"/>
      <c r="BN38" s="18"/>
      <c r="BO38" s="118"/>
      <c r="BQ38" s="2"/>
      <c r="BR38" s="19"/>
      <c r="BS38" s="20"/>
      <c r="BT38" s="21"/>
      <c r="BU38" s="21"/>
      <c r="BW38" s="19"/>
      <c r="BX38" s="18"/>
      <c r="BY38" s="2"/>
      <c r="BZ38" s="18"/>
      <c r="CA38" s="118"/>
      <c r="CC38" s="2"/>
      <c r="CD38" s="19"/>
      <c r="CE38" s="20"/>
      <c r="CF38" s="21"/>
      <c r="CG38" s="21"/>
      <c r="CI38" s="19"/>
      <c r="CJ38" s="18"/>
      <c r="CK38" s="2"/>
      <c r="CL38" s="18"/>
      <c r="CM38" s="118"/>
      <c r="CO38" s="2"/>
      <c r="CP38" s="19"/>
      <c r="CQ38" s="20"/>
      <c r="CR38" s="21"/>
      <c r="CS38" s="21"/>
    </row>
    <row r="39" spans="1:97" x14ac:dyDescent="0.25">
      <c r="A39" s="1">
        <f t="shared" si="8"/>
        <v>13</v>
      </c>
      <c r="B39" s="19">
        <f t="shared" si="9"/>
        <v>20.006846871424912</v>
      </c>
      <c r="C39" s="18">
        <f t="shared" si="24"/>
        <v>0.19500030086349235</v>
      </c>
      <c r="D39" s="2">
        <f t="shared" si="2"/>
        <v>0.90000616115081977</v>
      </c>
      <c r="E39" s="18">
        <f t="shared" si="10"/>
        <v>0.21000040354933935</v>
      </c>
      <c r="F39" s="21">
        <f t="shared" si="3"/>
        <v>3.7195926227313819E-3</v>
      </c>
      <c r="G39" s="1">
        <f t="shared" si="4"/>
        <v>0</v>
      </c>
      <c r="H39" s="2">
        <f t="shared" si="0"/>
        <v>46.219535865614276</v>
      </c>
      <c r="I39" s="19">
        <f t="shared" si="11"/>
        <v>20.008457084681503</v>
      </c>
      <c r="J39" s="20">
        <f t="shared" si="5"/>
        <v>0.9364982003655713</v>
      </c>
      <c r="K39" s="21">
        <f t="shared" si="6"/>
        <v>8.4590298109717566E-3</v>
      </c>
      <c r="L39" s="21">
        <f t="shared" si="1"/>
        <v>2.584985435223142E-3</v>
      </c>
      <c r="M39" s="2">
        <f t="shared" si="12"/>
        <v>5.7950254732268081E-3</v>
      </c>
      <c r="N39" s="19">
        <f t="shared" si="25"/>
        <v>156.99555873132243</v>
      </c>
      <c r="O39" s="1">
        <f t="shared" si="13"/>
        <v>13</v>
      </c>
      <c r="P39" s="19">
        <f t="shared" si="14"/>
        <v>21.101170685968434</v>
      </c>
      <c r="Q39" s="18">
        <f t="shared" si="15"/>
        <v>1.676121405005172</v>
      </c>
      <c r="R39" s="2">
        <f t="shared" si="16"/>
        <v>0.90096524971165848</v>
      </c>
      <c r="S39" s="18">
        <f t="shared" si="17"/>
        <v>1.6911374925003664</v>
      </c>
      <c r="T39" s="18">
        <f t="shared" si="18"/>
        <v>0.22167499076569108</v>
      </c>
      <c r="U39" s="1">
        <f t="shared" si="7"/>
        <v>0</v>
      </c>
      <c r="V39" s="2">
        <f t="shared" si="19"/>
        <v>48.965379275352774</v>
      </c>
      <c r="W39" s="19">
        <f t="shared" si="20"/>
        <v>21.197133885434102</v>
      </c>
      <c r="X39" s="20"/>
      <c r="Y39" s="2">
        <f t="shared" si="21"/>
        <v>1.1974092262277491</v>
      </c>
      <c r="Z39" s="21">
        <f t="shared" si="22"/>
        <v>0.16763923787139604</v>
      </c>
      <c r="AA39" s="2">
        <f t="shared" si="23"/>
        <v>0.90344117324210937</v>
      </c>
      <c r="AB39" s="19">
        <f t="shared" si="26"/>
        <v>6.0771784941226414</v>
      </c>
      <c r="AC39" s="2"/>
      <c r="AD39" s="18"/>
      <c r="AE39" s="118"/>
      <c r="AG39" s="2"/>
      <c r="AH39" s="19"/>
      <c r="AI39" s="20"/>
      <c r="AJ39" s="21"/>
      <c r="AK39" s="21"/>
      <c r="AM39" s="19"/>
      <c r="AN39" s="18"/>
      <c r="AO39" s="2"/>
      <c r="AP39" s="18"/>
      <c r="AQ39" s="118"/>
      <c r="AS39" s="2"/>
      <c r="AT39" s="19"/>
      <c r="AU39" s="20"/>
      <c r="AV39" s="21"/>
      <c r="AW39" s="21"/>
      <c r="AY39" s="19"/>
      <c r="AZ39" s="18"/>
      <c r="BA39" s="2"/>
      <c r="BB39" s="18"/>
      <c r="BC39" s="118"/>
      <c r="BE39" s="2"/>
      <c r="BF39" s="19"/>
      <c r="BG39" s="20"/>
      <c r="BH39" s="21"/>
      <c r="BI39" s="21"/>
      <c r="BK39" s="19"/>
      <c r="BL39" s="18"/>
      <c r="BM39" s="2"/>
      <c r="BN39" s="18"/>
      <c r="BO39" s="118"/>
      <c r="BQ39" s="2"/>
      <c r="BR39" s="19"/>
      <c r="BS39" s="20"/>
      <c r="BT39" s="21"/>
      <c r="BU39" s="21"/>
      <c r="BW39" s="19"/>
      <c r="BX39" s="18"/>
      <c r="BY39" s="2"/>
      <c r="BZ39" s="18"/>
      <c r="CA39" s="118"/>
      <c r="CC39" s="2"/>
      <c r="CD39" s="19"/>
      <c r="CE39" s="20"/>
      <c r="CF39" s="21"/>
      <c r="CG39" s="21"/>
      <c r="CI39" s="19"/>
      <c r="CJ39" s="18"/>
      <c r="CK39" s="2"/>
      <c r="CL39" s="18"/>
      <c r="CM39" s="118"/>
      <c r="CO39" s="2"/>
      <c r="CP39" s="19"/>
      <c r="CQ39" s="20"/>
      <c r="CR39" s="21"/>
      <c r="CS39" s="21"/>
    </row>
    <row r="40" spans="1:97" x14ac:dyDescent="0.25">
      <c r="A40" s="1">
        <f t="shared" si="8"/>
        <v>14</v>
      </c>
      <c r="B40" s="19">
        <f t="shared" si="9"/>
        <v>20.008457084681503</v>
      </c>
      <c r="C40" s="18">
        <f t="shared" si="24"/>
        <v>0.21000040354933935</v>
      </c>
      <c r="D40" s="2">
        <f t="shared" si="2"/>
        <v>0.90000760979958716</v>
      </c>
      <c r="E40" s="18">
        <f t="shared" si="10"/>
        <v>0.22500053037933249</v>
      </c>
      <c r="F40" s="21">
        <f t="shared" si="3"/>
        <v>4.2567122264402426E-3</v>
      </c>
      <c r="G40" s="1">
        <f t="shared" si="4"/>
        <v>0</v>
      </c>
      <c r="H40" s="2">
        <f t="shared" si="0"/>
        <v>46.223792577840712</v>
      </c>
      <c r="I40" s="19">
        <f t="shared" si="11"/>
        <v>20.010299817247059</v>
      </c>
      <c r="J40" s="20">
        <f t="shared" si="5"/>
        <v>0.93649779244856002</v>
      </c>
      <c r="K40" s="21">
        <f t="shared" si="6"/>
        <v>1.0302186205020382E-2</v>
      </c>
      <c r="L40" s="21">
        <f t="shared" si="1"/>
        <v>2.9674603551405475E-3</v>
      </c>
      <c r="M40" s="2">
        <f t="shared" si="12"/>
        <v>7.079640345582023E-3</v>
      </c>
      <c r="N40" s="19">
        <f t="shared" si="25"/>
        <v>160.52180945928072</v>
      </c>
      <c r="O40" s="1">
        <f t="shared" si="13"/>
        <v>14</v>
      </c>
      <c r="P40" s="19">
        <f t="shared" si="14"/>
        <v>21.197133885434102</v>
      </c>
      <c r="Q40" s="18">
        <f t="shared" si="15"/>
        <v>1.6911374925003664</v>
      </c>
      <c r="R40" s="2">
        <f t="shared" si="16"/>
        <v>0.90104701523902264</v>
      </c>
      <c r="S40" s="18">
        <f t="shared" si="17"/>
        <v>1.7061549427543501</v>
      </c>
      <c r="T40" s="18">
        <f t="shared" si="18"/>
        <v>0.22555754073638901</v>
      </c>
      <c r="U40" s="1">
        <f t="shared" si="7"/>
        <v>0</v>
      </c>
      <c r="V40" s="2">
        <f t="shared" si="19"/>
        <v>49.190936816089163</v>
      </c>
      <c r="W40" s="19">
        <f t="shared" si="20"/>
        <v>21.294777842462842</v>
      </c>
      <c r="X40" s="20"/>
      <c r="Y40" s="2">
        <f t="shared" si="21"/>
        <v>1.2950756413666056</v>
      </c>
      <c r="Z40" s="21">
        <f t="shared" si="22"/>
        <v>0.17062975969412264</v>
      </c>
      <c r="AA40" s="2">
        <f t="shared" si="23"/>
        <v>0.97730687007939188</v>
      </c>
      <c r="AB40" s="19">
        <f t="shared" si="26"/>
        <v>6.5150577790248612</v>
      </c>
      <c r="AC40" s="2"/>
      <c r="AD40" s="18"/>
      <c r="AE40" s="118"/>
      <c r="AG40" s="2"/>
      <c r="AH40" s="19"/>
      <c r="AI40" s="20"/>
      <c r="AJ40" s="21"/>
      <c r="AK40" s="21"/>
      <c r="AM40" s="19"/>
      <c r="AN40" s="18"/>
      <c r="AO40" s="2"/>
      <c r="AP40" s="18"/>
      <c r="AQ40" s="118"/>
      <c r="AS40" s="2"/>
      <c r="AT40" s="19"/>
      <c r="AU40" s="20"/>
      <c r="AV40" s="21"/>
      <c r="AW40" s="21"/>
      <c r="AY40" s="19"/>
      <c r="AZ40" s="18"/>
      <c r="BA40" s="2"/>
      <c r="BB40" s="18"/>
      <c r="BC40" s="118"/>
      <c r="BE40" s="2"/>
      <c r="BF40" s="19"/>
      <c r="BG40" s="20"/>
      <c r="BH40" s="21"/>
      <c r="BI40" s="21"/>
      <c r="BK40" s="19"/>
      <c r="BL40" s="18"/>
      <c r="BM40" s="2"/>
      <c r="BN40" s="18"/>
      <c r="BO40" s="118"/>
      <c r="BQ40" s="2"/>
      <c r="BR40" s="19"/>
      <c r="BS40" s="20"/>
      <c r="BT40" s="21"/>
      <c r="BU40" s="21"/>
      <c r="BW40" s="19"/>
      <c r="BX40" s="18"/>
      <c r="BY40" s="2"/>
      <c r="BZ40" s="18"/>
      <c r="CA40" s="118"/>
      <c r="CC40" s="2"/>
      <c r="CD40" s="19"/>
      <c r="CE40" s="20"/>
      <c r="CF40" s="21"/>
      <c r="CG40" s="21"/>
      <c r="CI40" s="19"/>
      <c r="CJ40" s="18"/>
      <c r="CK40" s="2"/>
      <c r="CL40" s="18"/>
      <c r="CM40" s="118"/>
      <c r="CO40" s="2"/>
      <c r="CP40" s="19"/>
      <c r="CQ40" s="20"/>
      <c r="CR40" s="21"/>
      <c r="CS40" s="21"/>
    </row>
    <row r="41" spans="1:97" x14ac:dyDescent="0.25">
      <c r="A41" s="1">
        <f t="shared" si="8"/>
        <v>15</v>
      </c>
      <c r="B41" s="19">
        <f t="shared" si="9"/>
        <v>20.010299817247059</v>
      </c>
      <c r="C41" s="18">
        <f t="shared" si="24"/>
        <v>0.22500053037933249</v>
      </c>
      <c r="D41" s="2">
        <f t="shared" si="2"/>
        <v>0.90000926749711563</v>
      </c>
      <c r="E41" s="18">
        <f t="shared" si="10"/>
        <v>0.24000068483761774</v>
      </c>
      <c r="F41" s="21">
        <f t="shared" si="3"/>
        <v>4.8292527471922413E-3</v>
      </c>
      <c r="G41" s="1">
        <f t="shared" si="4"/>
        <v>0</v>
      </c>
      <c r="H41" s="2">
        <f t="shared" si="0"/>
        <v>46.228621830587898</v>
      </c>
      <c r="I41" s="19">
        <f t="shared" si="11"/>
        <v>20.012390402851903</v>
      </c>
      <c r="J41" s="20">
        <f t="shared" si="5"/>
        <v>0.93649732771417138</v>
      </c>
      <c r="K41" s="21">
        <f t="shared" si="6"/>
        <v>1.2393252644554622E-2</v>
      </c>
      <c r="L41" s="21">
        <f t="shared" si="1"/>
        <v>3.3763137994870405E-3</v>
      </c>
      <c r="M41" s="2">
        <f t="shared" si="12"/>
        <v>8.5412480509876685E-3</v>
      </c>
      <c r="N41" s="19">
        <f t="shared" si="25"/>
        <v>163.81297537181857</v>
      </c>
      <c r="O41" s="1">
        <f t="shared" si="13"/>
        <v>15</v>
      </c>
      <c r="P41" s="19">
        <f t="shared" si="14"/>
        <v>21.294777842462842</v>
      </c>
      <c r="Q41" s="18">
        <f t="shared" si="15"/>
        <v>1.7061549427543501</v>
      </c>
      <c r="R41" s="2">
        <f t="shared" si="16"/>
        <v>0.90112984134968976</v>
      </c>
      <c r="S41" s="18">
        <f t="shared" si="17"/>
        <v>1.7211737734435115</v>
      </c>
      <c r="T41" s="18">
        <f t="shared" si="18"/>
        <v>0.22947360560942917</v>
      </c>
      <c r="U41" s="1">
        <f t="shared" si="7"/>
        <v>0</v>
      </c>
      <c r="V41" s="2">
        <f t="shared" si="19"/>
        <v>49.420410421698598</v>
      </c>
      <c r="W41" s="19">
        <f t="shared" si="20"/>
        <v>21.39411706567039</v>
      </c>
      <c r="X41" s="20"/>
      <c r="Y41" s="2">
        <f t="shared" si="21"/>
        <v>1.3944377125954883</v>
      </c>
      <c r="Z41" s="21">
        <f t="shared" si="22"/>
        <v>0.17364699876618392</v>
      </c>
      <c r="AA41" s="2">
        <f t="shared" si="23"/>
        <v>1.0524787310171337</v>
      </c>
      <c r="AB41" s="19">
        <f t="shared" si="26"/>
        <v>6.9490828826839319</v>
      </c>
      <c r="AC41" s="2"/>
      <c r="AD41" s="18"/>
      <c r="AE41" s="118"/>
      <c r="AG41" s="2"/>
      <c r="AH41" s="19"/>
      <c r="AI41" s="20"/>
      <c r="AJ41" s="21"/>
      <c r="AK41" s="21"/>
      <c r="AM41" s="19"/>
      <c r="AN41" s="18"/>
      <c r="AO41" s="2"/>
      <c r="AP41" s="18"/>
      <c r="AQ41" s="118"/>
      <c r="AS41" s="2"/>
      <c r="AT41" s="19"/>
      <c r="AU41" s="20"/>
      <c r="AV41" s="21"/>
      <c r="AW41" s="21"/>
      <c r="AY41" s="19"/>
      <c r="AZ41" s="18"/>
      <c r="BA41" s="2"/>
      <c r="BB41" s="18"/>
      <c r="BC41" s="118"/>
      <c r="BE41" s="2"/>
      <c r="BF41" s="19"/>
      <c r="BG41" s="20"/>
      <c r="BH41" s="21"/>
      <c r="BI41" s="21"/>
      <c r="BK41" s="19"/>
      <c r="BL41" s="18"/>
      <c r="BM41" s="2"/>
      <c r="BN41" s="18"/>
      <c r="BO41" s="118"/>
      <c r="BQ41" s="2"/>
      <c r="BR41" s="19"/>
      <c r="BS41" s="20"/>
      <c r="BT41" s="21"/>
      <c r="BU41" s="21"/>
      <c r="BW41" s="19"/>
      <c r="BX41" s="18"/>
      <c r="BY41" s="2"/>
      <c r="BZ41" s="18"/>
      <c r="CA41" s="118"/>
      <c r="CC41" s="2"/>
      <c r="CD41" s="19"/>
      <c r="CE41" s="20"/>
      <c r="CF41" s="21"/>
      <c r="CG41" s="21"/>
      <c r="CI41" s="19"/>
      <c r="CJ41" s="18"/>
      <c r="CK41" s="2"/>
      <c r="CL41" s="18"/>
      <c r="CM41" s="118"/>
      <c r="CO41" s="2"/>
      <c r="CP41" s="19"/>
      <c r="CQ41" s="20"/>
      <c r="CR41" s="21"/>
      <c r="CS41" s="21"/>
    </row>
    <row r="42" spans="1:97" x14ac:dyDescent="0.25">
      <c r="A42" s="1">
        <f t="shared" si="8"/>
        <v>16</v>
      </c>
      <c r="B42" s="19">
        <f t="shared" si="9"/>
        <v>20.012390402851903</v>
      </c>
      <c r="C42" s="18">
        <f t="shared" si="24"/>
        <v>0.24000068483761774</v>
      </c>
      <c r="D42" s="2">
        <f t="shared" si="2"/>
        <v>0.90001114797878834</v>
      </c>
      <c r="E42" s="18">
        <f t="shared" si="10"/>
        <v>0.25500087063726423</v>
      </c>
      <c r="F42" s="21">
        <f t="shared" si="3"/>
        <v>5.4371285098557369E-3</v>
      </c>
      <c r="G42" s="1">
        <f t="shared" si="4"/>
        <v>0</v>
      </c>
      <c r="H42" s="2">
        <f t="shared" si="0"/>
        <v>46.234058959097752</v>
      </c>
      <c r="I42" s="19">
        <f t="shared" si="11"/>
        <v>20.014744138137555</v>
      </c>
      <c r="J42" s="20">
        <f t="shared" si="5"/>
        <v>0.93649680255288592</v>
      </c>
      <c r="K42" s="21">
        <f t="shared" si="6"/>
        <v>1.4747529289322155E-2</v>
      </c>
      <c r="L42" s="21">
        <f t="shared" si="1"/>
        <v>3.8115460250159636E-3</v>
      </c>
      <c r="M42" s="2">
        <f t="shared" si="12"/>
        <v>1.0191267975237003E-2</v>
      </c>
      <c r="N42" s="19">
        <f t="shared" si="25"/>
        <v>166.89844188366797</v>
      </c>
      <c r="O42" s="1">
        <f t="shared" si="13"/>
        <v>16</v>
      </c>
      <c r="P42" s="19">
        <f t="shared" si="14"/>
        <v>21.39411706567039</v>
      </c>
      <c r="Q42" s="18">
        <f t="shared" si="15"/>
        <v>1.7211737734435115</v>
      </c>
      <c r="R42" s="2">
        <f t="shared" si="16"/>
        <v>0.90121372439853176</v>
      </c>
      <c r="S42" s="18">
        <f t="shared" si="17"/>
        <v>1.736194002183487</v>
      </c>
      <c r="T42" s="18">
        <f t="shared" si="18"/>
        <v>0.23342319047275764</v>
      </c>
      <c r="U42" s="1">
        <f t="shared" si="7"/>
        <v>0</v>
      </c>
      <c r="V42" s="2">
        <f t="shared" si="19"/>
        <v>49.653833612171354</v>
      </c>
      <c r="W42" s="19">
        <f t="shared" si="20"/>
        <v>21.495166065875043</v>
      </c>
      <c r="X42" s="20"/>
      <c r="Y42" s="2">
        <f t="shared" si="21"/>
        <v>1.4955099540701924</v>
      </c>
      <c r="Z42" s="21">
        <f t="shared" si="22"/>
        <v>0.17669096596460918</v>
      </c>
      <c r="AA42" s="2">
        <f t="shared" si="23"/>
        <v>1.1289683266728088</v>
      </c>
      <c r="AB42" s="19">
        <f t="shared" si="26"/>
        <v>7.3793207164883965</v>
      </c>
      <c r="AC42" s="2"/>
      <c r="AD42" s="18"/>
      <c r="AE42" s="118"/>
      <c r="AG42" s="2"/>
      <c r="AH42" s="19"/>
      <c r="AI42" s="20"/>
      <c r="AJ42" s="21"/>
      <c r="AK42" s="21"/>
      <c r="AM42" s="19"/>
      <c r="AN42" s="18"/>
      <c r="AO42" s="2"/>
      <c r="AP42" s="18"/>
      <c r="AQ42" s="118"/>
      <c r="AS42" s="2"/>
      <c r="AT42" s="19"/>
      <c r="AU42" s="20"/>
      <c r="AV42" s="21"/>
      <c r="AW42" s="21"/>
      <c r="AY42" s="19"/>
      <c r="AZ42" s="18"/>
      <c r="BA42" s="2"/>
      <c r="BB42" s="18"/>
      <c r="BC42" s="118"/>
      <c r="BE42" s="2"/>
      <c r="BF42" s="19"/>
      <c r="BG42" s="20"/>
      <c r="BH42" s="21"/>
      <c r="BI42" s="21"/>
      <c r="BK42" s="19"/>
      <c r="BL42" s="18"/>
      <c r="BM42" s="2"/>
      <c r="BN42" s="18"/>
      <c r="BO42" s="118"/>
      <c r="BQ42" s="2"/>
      <c r="BR42" s="19"/>
      <c r="BS42" s="20"/>
      <c r="BT42" s="21"/>
      <c r="BU42" s="21"/>
      <c r="BW42" s="19"/>
      <c r="BX42" s="18"/>
      <c r="BY42" s="2"/>
      <c r="BZ42" s="18"/>
      <c r="CA42" s="118"/>
      <c r="CC42" s="2"/>
      <c r="CD42" s="19"/>
      <c r="CE42" s="20"/>
      <c r="CF42" s="21"/>
      <c r="CG42" s="21"/>
      <c r="CI42" s="19"/>
      <c r="CJ42" s="18"/>
      <c r="CK42" s="2"/>
      <c r="CL42" s="18"/>
      <c r="CM42" s="118"/>
      <c r="CO42" s="2"/>
      <c r="CP42" s="19"/>
      <c r="CQ42" s="20"/>
      <c r="CR42" s="21"/>
      <c r="CS42" s="21"/>
    </row>
    <row r="43" spans="1:97" x14ac:dyDescent="0.25">
      <c r="A43" s="1">
        <f t="shared" si="8"/>
        <v>17</v>
      </c>
      <c r="B43" s="19">
        <f t="shared" si="9"/>
        <v>20.014744138137555</v>
      </c>
      <c r="C43" s="18">
        <f t="shared" si="24"/>
        <v>0.25500087063726423</v>
      </c>
      <c r="D43" s="2">
        <f t="shared" si="2"/>
        <v>0.90001326493321399</v>
      </c>
      <c r="E43" s="18">
        <f t="shared" si="10"/>
        <v>0.27000109171948444</v>
      </c>
      <c r="F43" s="21">
        <f t="shared" si="3"/>
        <v>6.0802598534568193E-3</v>
      </c>
      <c r="G43" s="1">
        <f t="shared" si="4"/>
        <v>0</v>
      </c>
      <c r="H43" s="2">
        <f t="shared" si="0"/>
        <v>46.240139218951207</v>
      </c>
      <c r="I43" s="19">
        <f t="shared" si="11"/>
        <v>20.017376285260262</v>
      </c>
      <c r="J43" s="20">
        <f t="shared" si="5"/>
        <v>0.93649621336606226</v>
      </c>
      <c r="K43" s="21">
        <f t="shared" si="6"/>
        <v>1.7380281805868959E-2</v>
      </c>
      <c r="L43" s="21">
        <f t="shared" si="1"/>
        <v>4.2731573218202298E-3</v>
      </c>
      <c r="M43" s="2">
        <f t="shared" si="12"/>
        <v>1.2041119629704635E-2</v>
      </c>
      <c r="N43" s="19">
        <f t="shared" si="25"/>
        <v>169.80240873694498</v>
      </c>
      <c r="O43" s="1">
        <f t="shared" si="13"/>
        <v>17</v>
      </c>
      <c r="P43" s="19">
        <f t="shared" si="14"/>
        <v>21.495166065875043</v>
      </c>
      <c r="Q43" s="18">
        <f t="shared" si="15"/>
        <v>1.736194002183487</v>
      </c>
      <c r="R43" s="2">
        <f t="shared" si="16"/>
        <v>0.90129866049348928</v>
      </c>
      <c r="S43" s="18">
        <f t="shared" si="17"/>
        <v>1.751215646525045</v>
      </c>
      <c r="T43" s="18">
        <f t="shared" si="18"/>
        <v>0.23740630063540394</v>
      </c>
      <c r="U43" s="1">
        <f t="shared" si="7"/>
        <v>0</v>
      </c>
      <c r="V43" s="2">
        <f t="shared" si="19"/>
        <v>49.891239912806761</v>
      </c>
      <c r="W43" s="19">
        <f t="shared" si="20"/>
        <v>21.597939356193404</v>
      </c>
      <c r="X43" s="20"/>
      <c r="Y43" s="2">
        <f t="shared" si="21"/>
        <v>1.5983068822453224</v>
      </c>
      <c r="Z43" s="21">
        <f t="shared" si="22"/>
        <v>0.17976167227786657</v>
      </c>
      <c r="AA43" s="2">
        <f t="shared" si="23"/>
        <v>1.2067872324208029</v>
      </c>
      <c r="AB43" s="19">
        <f t="shared" si="26"/>
        <v>7.8058364600954482</v>
      </c>
      <c r="AC43" s="2"/>
      <c r="AD43" s="18"/>
      <c r="AE43" s="118"/>
      <c r="AG43" s="2"/>
      <c r="AH43" s="19"/>
      <c r="AI43" s="20"/>
      <c r="AJ43" s="21"/>
      <c r="AK43" s="21"/>
      <c r="AM43" s="19"/>
      <c r="AN43" s="18"/>
      <c r="AO43" s="2"/>
      <c r="AP43" s="18"/>
      <c r="AQ43" s="118"/>
      <c r="AS43" s="2"/>
      <c r="AT43" s="19"/>
      <c r="AU43" s="20"/>
      <c r="AV43" s="21"/>
      <c r="AW43" s="21"/>
      <c r="AY43" s="19"/>
      <c r="AZ43" s="18"/>
      <c r="BA43" s="2"/>
      <c r="BB43" s="18"/>
      <c r="BC43" s="118"/>
      <c r="BE43" s="2"/>
      <c r="BF43" s="19"/>
      <c r="BG43" s="20"/>
      <c r="BH43" s="21"/>
      <c r="BI43" s="21"/>
      <c r="BK43" s="19"/>
      <c r="BL43" s="18"/>
      <c r="BM43" s="2"/>
      <c r="BN43" s="18"/>
      <c r="BO43" s="118"/>
      <c r="BQ43" s="2"/>
      <c r="BR43" s="19"/>
      <c r="BS43" s="20"/>
      <c r="BT43" s="21"/>
      <c r="BU43" s="21"/>
      <c r="BW43" s="19"/>
      <c r="BX43" s="18"/>
      <c r="BY43" s="2"/>
      <c r="BZ43" s="18"/>
      <c r="CA43" s="118"/>
      <c r="CC43" s="2"/>
      <c r="CD43" s="19"/>
      <c r="CE43" s="20"/>
      <c r="CF43" s="21"/>
      <c r="CG43" s="21"/>
      <c r="CI43" s="19"/>
      <c r="CJ43" s="18"/>
      <c r="CK43" s="2"/>
      <c r="CL43" s="18"/>
      <c r="CM43" s="118"/>
      <c r="CO43" s="2"/>
      <c r="CP43" s="19"/>
      <c r="CQ43" s="20"/>
      <c r="CR43" s="21"/>
      <c r="CS43" s="21"/>
    </row>
    <row r="44" spans="1:97" x14ac:dyDescent="0.25">
      <c r="A44" s="1">
        <f t="shared" si="8"/>
        <v>18</v>
      </c>
      <c r="B44" s="19">
        <f t="shared" si="9"/>
        <v>20.017376285260262</v>
      </c>
      <c r="C44" s="18">
        <f t="shared" si="24"/>
        <v>0.27000109171948444</v>
      </c>
      <c r="D44" s="2">
        <f t="shared" si="2"/>
        <v>0.90001563200287638</v>
      </c>
      <c r="E44" s="18">
        <f t="shared" si="10"/>
        <v>0.28500135225286571</v>
      </c>
      <c r="F44" s="21">
        <f t="shared" si="3"/>
        <v>6.75857240212583E-3</v>
      </c>
      <c r="G44" s="1">
        <f t="shared" si="4"/>
        <v>0</v>
      </c>
      <c r="H44" s="2">
        <f t="shared" si="0"/>
        <v>46.246897791353334</v>
      </c>
      <c r="I44" s="19">
        <f t="shared" si="11"/>
        <v>20.020302074178932</v>
      </c>
      <c r="J44" s="20">
        <f t="shared" si="5"/>
        <v>0.93649555656561367</v>
      </c>
      <c r="K44" s="21">
        <f t="shared" si="6"/>
        <v>2.0306743655989445E-2</v>
      </c>
      <c r="L44" s="21">
        <f t="shared" si="1"/>
        <v>4.7611480153127612E-3</v>
      </c>
      <c r="M44" s="2">
        <f t="shared" si="12"/>
        <v>1.4102222666636566E-2</v>
      </c>
      <c r="N44" s="19">
        <f t="shared" si="25"/>
        <v>172.54504237287392</v>
      </c>
      <c r="O44" s="1">
        <f t="shared" si="13"/>
        <v>18</v>
      </c>
      <c r="P44" s="19">
        <f t="shared" si="14"/>
        <v>21.597939356193404</v>
      </c>
      <c r="Q44" s="18">
        <f t="shared" si="15"/>
        <v>1.751215646525045</v>
      </c>
      <c r="R44" s="2">
        <f t="shared" si="16"/>
        <v>0.90138464549923936</v>
      </c>
      <c r="S44" s="18">
        <f t="shared" si="17"/>
        <v>1.7662387239500323</v>
      </c>
      <c r="T44" s="18">
        <f t="shared" si="18"/>
        <v>0.24142294162408645</v>
      </c>
      <c r="U44" s="1">
        <f t="shared" si="7"/>
        <v>0</v>
      </c>
      <c r="V44" s="2">
        <f t="shared" si="19"/>
        <v>50.132662854430855</v>
      </c>
      <c r="W44" s="19">
        <f t="shared" si="20"/>
        <v>21.702451452134568</v>
      </c>
      <c r="X44" s="20"/>
      <c r="Y44" s="2">
        <f t="shared" si="21"/>
        <v>1.7028430159685517</v>
      </c>
      <c r="Z44" s="21">
        <f t="shared" si="22"/>
        <v>0.18285912880448157</v>
      </c>
      <c r="AA44" s="2">
        <f t="shared" si="23"/>
        <v>1.2859470284400589</v>
      </c>
      <c r="AB44" s="19">
        <f t="shared" si="26"/>
        <v>8.2286936206951733</v>
      </c>
      <c r="AC44" s="2"/>
      <c r="AD44" s="18"/>
      <c r="AE44" s="118"/>
      <c r="AG44" s="2"/>
      <c r="AH44" s="19"/>
      <c r="AI44" s="20"/>
      <c r="AJ44" s="21"/>
      <c r="AK44" s="21"/>
      <c r="AM44" s="19"/>
      <c r="AN44" s="18"/>
      <c r="AO44" s="2"/>
      <c r="AP44" s="18"/>
      <c r="AQ44" s="118"/>
      <c r="AS44" s="2"/>
      <c r="AT44" s="19"/>
      <c r="AU44" s="20"/>
      <c r="AV44" s="21"/>
      <c r="AW44" s="21"/>
      <c r="AY44" s="19"/>
      <c r="AZ44" s="18"/>
      <c r="BA44" s="2"/>
      <c r="BB44" s="18"/>
      <c r="BC44" s="118"/>
      <c r="BE44" s="2"/>
      <c r="BF44" s="19"/>
      <c r="BG44" s="20"/>
      <c r="BH44" s="21"/>
      <c r="BI44" s="21"/>
      <c r="BK44" s="19"/>
      <c r="BL44" s="18"/>
      <c r="BM44" s="2"/>
      <c r="BN44" s="18"/>
      <c r="BO44" s="118"/>
      <c r="BQ44" s="2"/>
      <c r="BR44" s="19"/>
      <c r="BS44" s="20"/>
      <c r="BT44" s="21"/>
      <c r="BU44" s="21"/>
      <c r="BW44" s="19"/>
      <c r="BX44" s="18"/>
      <c r="BY44" s="2"/>
      <c r="BZ44" s="18"/>
      <c r="CA44" s="118"/>
      <c r="CC44" s="2"/>
      <c r="CD44" s="19"/>
      <c r="CE44" s="20"/>
      <c r="CF44" s="21"/>
      <c r="CG44" s="21"/>
      <c r="CI44" s="19"/>
      <c r="CJ44" s="18"/>
      <c r="CK44" s="2"/>
      <c r="CL44" s="18"/>
      <c r="CM44" s="118"/>
      <c r="CO44" s="2"/>
      <c r="CP44" s="19"/>
      <c r="CQ44" s="20"/>
      <c r="CR44" s="21"/>
      <c r="CS44" s="21"/>
    </row>
    <row r="45" spans="1:97" x14ac:dyDescent="0.25">
      <c r="A45" s="1">
        <f t="shared" si="8"/>
        <v>19</v>
      </c>
      <c r="B45" s="19">
        <f t="shared" si="9"/>
        <v>20.020302074178932</v>
      </c>
      <c r="C45" s="18">
        <f t="shared" si="24"/>
        <v>0.28500135225286571</v>
      </c>
      <c r="D45" s="2">
        <f t="shared" si="2"/>
        <v>0.90001826278440411</v>
      </c>
      <c r="E45" s="18">
        <f t="shared" si="10"/>
        <v>0.30000165663260581</v>
      </c>
      <c r="F45" s="21">
        <f t="shared" si="3"/>
        <v>7.4719964604108352E-3</v>
      </c>
      <c r="G45" s="1">
        <f t="shared" si="4"/>
        <v>0</v>
      </c>
      <c r="H45" s="2">
        <f t="shared" si="0"/>
        <v>46.254369787813744</v>
      </c>
      <c r="I45" s="19">
        <f t="shared" si="11"/>
        <v>20.023536704681273</v>
      </c>
      <c r="J45" s="20">
        <f t="shared" si="5"/>
        <v>0.93649482857377286</v>
      </c>
      <c r="K45" s="21">
        <f t="shared" si="6"/>
        <v>2.3542118123347337E-2</v>
      </c>
      <c r="L45" s="21">
        <f t="shared" si="1"/>
        <v>5.2755184681989942E-3</v>
      </c>
      <c r="M45" s="2">
        <f t="shared" si="12"/>
        <v>1.6385996895294141E-2</v>
      </c>
      <c r="N45" s="19">
        <f t="shared" si="25"/>
        <v>175.14332504779392</v>
      </c>
      <c r="O45" s="1">
        <f t="shared" si="13"/>
        <v>19</v>
      </c>
      <c r="P45" s="19">
        <f t="shared" si="14"/>
        <v>21.702451452134568</v>
      </c>
      <c r="Q45" s="18">
        <f t="shared" si="15"/>
        <v>1.7662387239500323</v>
      </c>
      <c r="R45" s="2">
        <f t="shared" si="16"/>
        <v>0.9014716750409929</v>
      </c>
      <c r="S45" s="18">
        <f t="shared" si="17"/>
        <v>1.7812632518673823</v>
      </c>
      <c r="T45" s="18">
        <f t="shared" si="18"/>
        <v>0.24547311917982503</v>
      </c>
      <c r="U45" s="1">
        <f t="shared" si="7"/>
        <v>0</v>
      </c>
      <c r="V45" s="2">
        <f t="shared" si="19"/>
        <v>50.378135973610682</v>
      </c>
      <c r="W45" s="19">
        <f t="shared" si="20"/>
        <v>21.808716871692937</v>
      </c>
      <c r="X45" s="20"/>
      <c r="Y45" s="2">
        <f t="shared" si="21"/>
        <v>1.809132876573416</v>
      </c>
      <c r="Z45" s="21">
        <f t="shared" si="22"/>
        <v>0.18598334675162589</v>
      </c>
      <c r="AA45" s="2">
        <f t="shared" si="23"/>
        <v>1.3664592997611091</v>
      </c>
      <c r="AB45" s="19">
        <f t="shared" si="26"/>
        <v>8.6479540897620613</v>
      </c>
      <c r="AC45" s="2"/>
      <c r="AD45" s="18"/>
      <c r="AE45" s="118"/>
      <c r="AG45" s="2"/>
      <c r="AH45" s="19"/>
      <c r="AI45" s="20"/>
      <c r="AJ45" s="21"/>
      <c r="AK45" s="21"/>
      <c r="AM45" s="19"/>
      <c r="AN45" s="18"/>
      <c r="AO45" s="2"/>
      <c r="AP45" s="18"/>
      <c r="AQ45" s="118"/>
      <c r="AS45" s="2"/>
      <c r="AT45" s="19"/>
      <c r="AU45" s="20"/>
      <c r="AV45" s="21"/>
      <c r="AW45" s="21"/>
      <c r="AY45" s="19"/>
      <c r="AZ45" s="18"/>
      <c r="BA45" s="2"/>
      <c r="BB45" s="18"/>
      <c r="BC45" s="118"/>
      <c r="BE45" s="2"/>
      <c r="BF45" s="19"/>
      <c r="BG45" s="20"/>
      <c r="BH45" s="21"/>
      <c r="BI45" s="21"/>
      <c r="BK45" s="19"/>
      <c r="BL45" s="18"/>
      <c r="BM45" s="2"/>
      <c r="BN45" s="18"/>
      <c r="BO45" s="118"/>
      <c r="BQ45" s="2"/>
      <c r="BR45" s="19"/>
      <c r="BS45" s="20"/>
      <c r="BT45" s="21"/>
      <c r="BU45" s="21"/>
      <c r="BW45" s="19"/>
      <c r="BX45" s="18"/>
      <c r="BY45" s="2"/>
      <c r="BZ45" s="18"/>
      <c r="CA45" s="118"/>
      <c r="CC45" s="2"/>
      <c r="CD45" s="19"/>
      <c r="CE45" s="20"/>
      <c r="CF45" s="21"/>
      <c r="CG45" s="21"/>
      <c r="CI45" s="19"/>
      <c r="CJ45" s="18"/>
      <c r="CK45" s="2"/>
      <c r="CL45" s="18"/>
      <c r="CM45" s="118"/>
      <c r="CO45" s="2"/>
      <c r="CP45" s="19"/>
      <c r="CQ45" s="20"/>
      <c r="CR45" s="21"/>
      <c r="CS45" s="21"/>
    </row>
    <row r="46" spans="1:97" x14ac:dyDescent="0.25">
      <c r="A46" s="1">
        <f t="shared" si="8"/>
        <v>20</v>
      </c>
      <c r="B46" s="19">
        <f t="shared" si="9"/>
        <v>20.023536704681273</v>
      </c>
      <c r="C46" s="18">
        <f t="shared" si="24"/>
        <v>0.30000165663260581</v>
      </c>
      <c r="D46" s="2">
        <f t="shared" si="2"/>
        <v>0.90002117082851141</v>
      </c>
      <c r="E46" s="18">
        <f t="shared" si="10"/>
        <v>0.31500200947974766</v>
      </c>
      <c r="F46" s="21">
        <f t="shared" si="3"/>
        <v>8.220466506504551E-3</v>
      </c>
      <c r="G46" s="1">
        <f t="shared" si="4"/>
        <v>0</v>
      </c>
      <c r="H46" s="2">
        <f t="shared" si="0"/>
        <v>46.262590254320251</v>
      </c>
      <c r="I46" s="19">
        <f t="shared" si="11"/>
        <v>20.027095348190585</v>
      </c>
      <c r="J46" s="20">
        <f t="shared" si="5"/>
        <v>0.93649402582292485</v>
      </c>
      <c r="K46" s="21">
        <f t="shared" si="6"/>
        <v>2.7101580120663805E-2</v>
      </c>
      <c r="L46" s="21">
        <f t="shared" si="1"/>
        <v>5.8162690824413287E-3</v>
      </c>
      <c r="M46" s="2">
        <f t="shared" si="12"/>
        <v>1.8903862298948394E-2</v>
      </c>
      <c r="N46" s="19">
        <f t="shared" si="25"/>
        <v>177.61169167016314</v>
      </c>
      <c r="O46" s="1">
        <f t="shared" si="13"/>
        <v>20</v>
      </c>
      <c r="P46" s="19">
        <f t="shared" si="14"/>
        <v>21.808716871692937</v>
      </c>
      <c r="Q46" s="18">
        <f t="shared" si="15"/>
        <v>1.7812632518673823</v>
      </c>
      <c r="R46" s="2">
        <f t="shared" si="16"/>
        <v>0.90155974450841703</v>
      </c>
      <c r="S46" s="18">
        <f t="shared" si="17"/>
        <v>1.7962892476091892</v>
      </c>
      <c r="T46" s="18">
        <f t="shared" si="18"/>
        <v>0.24955683925456015</v>
      </c>
      <c r="U46" s="1">
        <f t="shared" si="7"/>
        <v>0</v>
      </c>
      <c r="V46" s="2">
        <f t="shared" si="19"/>
        <v>50.627692812865241</v>
      </c>
      <c r="W46" s="19">
        <f t="shared" si="20"/>
        <v>21.916750135439496</v>
      </c>
      <c r="X46" s="20"/>
      <c r="Y46" s="2">
        <f t="shared" si="21"/>
        <v>1.9171909879706406</v>
      </c>
      <c r="Z46" s="21">
        <f t="shared" si="22"/>
        <v>0.18913433743367777</v>
      </c>
      <c r="AA46" s="2">
        <f t="shared" si="23"/>
        <v>1.4483356363124849</v>
      </c>
      <c r="AB46" s="19">
        <f t="shared" si="26"/>
        <v>9.0636781974205327</v>
      </c>
      <c r="AC46" s="2"/>
      <c r="AD46" s="18"/>
      <c r="AE46" s="118"/>
      <c r="AG46" s="2"/>
      <c r="AH46" s="19"/>
      <c r="AI46" s="20"/>
      <c r="AJ46" s="21"/>
      <c r="AK46" s="21"/>
      <c r="AM46" s="19"/>
      <c r="AN46" s="18"/>
      <c r="AO46" s="2"/>
      <c r="AP46" s="18"/>
      <c r="AQ46" s="118"/>
      <c r="AS46" s="2"/>
      <c r="AT46" s="19"/>
      <c r="AU46" s="20"/>
      <c r="AV46" s="21"/>
      <c r="AW46" s="21"/>
      <c r="AY46" s="19"/>
      <c r="AZ46" s="18"/>
      <c r="BA46" s="2"/>
      <c r="BB46" s="18"/>
      <c r="BC46" s="118"/>
      <c r="BE46" s="2"/>
      <c r="BF46" s="19"/>
      <c r="BG46" s="20"/>
      <c r="BH46" s="21"/>
      <c r="BI46" s="21"/>
      <c r="BK46" s="19"/>
      <c r="BL46" s="18"/>
      <c r="BM46" s="2"/>
      <c r="BN46" s="18"/>
      <c r="BO46" s="118"/>
      <c r="BQ46" s="2"/>
      <c r="BR46" s="19"/>
      <c r="BS46" s="20"/>
      <c r="BT46" s="21"/>
      <c r="BU46" s="21"/>
      <c r="BW46" s="19"/>
      <c r="BX46" s="18"/>
      <c r="BY46" s="2"/>
      <c r="BZ46" s="18"/>
      <c r="CA46" s="118"/>
      <c r="CC46" s="2"/>
      <c r="CD46" s="19"/>
      <c r="CE46" s="20"/>
      <c r="CF46" s="21"/>
      <c r="CG46" s="21"/>
      <c r="CI46" s="19"/>
      <c r="CJ46" s="18"/>
      <c r="CK46" s="2"/>
      <c r="CL46" s="18"/>
      <c r="CM46" s="118"/>
      <c r="CO46" s="2"/>
      <c r="CP46" s="19"/>
      <c r="CQ46" s="20"/>
      <c r="CR46" s="21"/>
      <c r="CS46" s="21"/>
    </row>
    <row r="47" spans="1:97" x14ac:dyDescent="0.25">
      <c r="A47" s="1">
        <f t="shared" si="8"/>
        <v>21</v>
      </c>
      <c r="B47" s="19">
        <f t="shared" si="9"/>
        <v>20.027095348190585</v>
      </c>
      <c r="C47" s="18">
        <f t="shared" si="24"/>
        <v>0.31500200947974766</v>
      </c>
      <c r="D47" s="2">
        <f t="shared" si="2"/>
        <v>0.90002436963965016</v>
      </c>
      <c r="E47" s="18">
        <f t="shared" si="10"/>
        <v>0.3300024156404085</v>
      </c>
      <c r="F47" s="21">
        <f t="shared" si="3"/>
        <v>9.0039207635768514E-3</v>
      </c>
      <c r="G47" s="1">
        <f t="shared" si="4"/>
        <v>0</v>
      </c>
      <c r="H47" s="2">
        <f t="shared" si="0"/>
        <v>46.271594175083827</v>
      </c>
      <c r="I47" s="19">
        <f t="shared" si="11"/>
        <v>20.030993149386937</v>
      </c>
      <c r="J47" s="20">
        <f t="shared" si="5"/>
        <v>0.93649314475550705</v>
      </c>
      <c r="K47" s="21">
        <f t="shared" si="6"/>
        <v>3.1000277811292581E-2</v>
      </c>
      <c r="L47" s="21">
        <f t="shared" si="1"/>
        <v>6.3834003012153175E-3</v>
      </c>
      <c r="M47" s="2">
        <f t="shared" si="12"/>
        <v>2.1667239052721259E-2</v>
      </c>
      <c r="N47" s="19">
        <f t="shared" si="25"/>
        <v>179.96251500970442</v>
      </c>
      <c r="O47" s="1">
        <f t="shared" si="13"/>
        <v>21</v>
      </c>
      <c r="P47" s="19">
        <f t="shared" si="14"/>
        <v>21.916750135439496</v>
      </c>
      <c r="Q47" s="18">
        <f t="shared" si="15"/>
        <v>1.7962892476091892</v>
      </c>
      <c r="R47" s="2">
        <f t="shared" si="16"/>
        <v>0.9016488490596779</v>
      </c>
      <c r="S47" s="18">
        <f t="shared" si="17"/>
        <v>1.8113167284268505</v>
      </c>
      <c r="T47" s="18">
        <f t="shared" si="18"/>
        <v>0.25367410800778067</v>
      </c>
      <c r="U47" s="1">
        <f t="shared" si="7"/>
        <v>0</v>
      </c>
      <c r="V47" s="2">
        <f t="shared" si="19"/>
        <v>50.88136692087302</v>
      </c>
      <c r="W47" s="19">
        <f t="shared" si="20"/>
        <v>22.026565766611697</v>
      </c>
      <c r="X47" s="20"/>
      <c r="Y47" s="2">
        <f t="shared" si="21"/>
        <v>2.0270318767380098</v>
      </c>
      <c r="Z47" s="21">
        <f t="shared" si="22"/>
        <v>0.19231211227075629</v>
      </c>
      <c r="AA47" s="2">
        <f t="shared" si="23"/>
        <v>1.5315876329664919</v>
      </c>
      <c r="AB47" s="19">
        <f t="shared" si="26"/>
        <v>9.4759247645438371</v>
      </c>
      <c r="AC47" s="2"/>
      <c r="AD47" s="18"/>
      <c r="AE47" s="118"/>
      <c r="AG47" s="2"/>
      <c r="AH47" s="19"/>
      <c r="AI47" s="20"/>
      <c r="AJ47" s="21"/>
      <c r="AK47" s="21"/>
      <c r="AM47" s="19"/>
      <c r="AN47" s="18"/>
      <c r="AO47" s="2"/>
      <c r="AP47" s="18"/>
      <c r="AQ47" s="118"/>
      <c r="AS47" s="2"/>
      <c r="AT47" s="19"/>
      <c r="AU47" s="20"/>
      <c r="AV47" s="21"/>
      <c r="AW47" s="21"/>
      <c r="AY47" s="19"/>
      <c r="AZ47" s="18"/>
      <c r="BA47" s="2"/>
      <c r="BB47" s="18"/>
      <c r="BC47" s="118"/>
      <c r="BE47" s="2"/>
      <c r="BF47" s="19"/>
      <c r="BG47" s="20"/>
      <c r="BH47" s="21"/>
      <c r="BI47" s="21"/>
      <c r="BK47" s="19"/>
      <c r="BL47" s="18"/>
      <c r="BM47" s="2"/>
      <c r="BN47" s="18"/>
      <c r="BO47" s="118"/>
      <c r="BQ47" s="2"/>
      <c r="BR47" s="19"/>
      <c r="BS47" s="20"/>
      <c r="BT47" s="21"/>
      <c r="BU47" s="21"/>
      <c r="BW47" s="19"/>
      <c r="BX47" s="18"/>
      <c r="BY47" s="2"/>
      <c r="BZ47" s="18"/>
      <c r="CA47" s="118"/>
      <c r="CC47" s="2"/>
      <c r="CD47" s="19"/>
      <c r="CE47" s="20"/>
      <c r="CF47" s="21"/>
      <c r="CG47" s="21"/>
      <c r="CI47" s="19"/>
      <c r="CJ47" s="18"/>
      <c r="CK47" s="2"/>
      <c r="CL47" s="18"/>
      <c r="CM47" s="118"/>
      <c r="CO47" s="2"/>
      <c r="CP47" s="19"/>
      <c r="CQ47" s="20"/>
      <c r="CR47" s="21"/>
      <c r="CS47" s="21"/>
    </row>
    <row r="48" spans="1:97" x14ac:dyDescent="0.25">
      <c r="A48" s="1">
        <f t="shared" si="8"/>
        <v>22</v>
      </c>
      <c r="B48" s="19">
        <f t="shared" si="9"/>
        <v>20.030993149386937</v>
      </c>
      <c r="C48" s="18">
        <f t="shared" si="24"/>
        <v>0.3300024156404085</v>
      </c>
      <c r="D48" s="2">
        <f t="shared" si="2"/>
        <v>0.90002787267540085</v>
      </c>
      <c r="E48" s="18">
        <f t="shared" si="10"/>
        <v>0.34500288018499853</v>
      </c>
      <c r="F48" s="21">
        <f t="shared" si="3"/>
        <v>9.8223008341485341E-3</v>
      </c>
      <c r="G48" s="1">
        <f t="shared" si="4"/>
        <v>0</v>
      </c>
      <c r="H48" s="2">
        <f t="shared" si="0"/>
        <v>46.281416475917979</v>
      </c>
      <c r="I48" s="19">
        <f t="shared" si="11"/>
        <v>20.035245227670121</v>
      </c>
      <c r="J48" s="20">
        <f t="shared" si="5"/>
        <v>0.93649218182396154</v>
      </c>
      <c r="K48" s="21">
        <f t="shared" si="6"/>
        <v>3.5253334072478895E-2</v>
      </c>
      <c r="L48" s="21">
        <f t="shared" si="1"/>
        <v>6.9769126108573734E-3</v>
      </c>
      <c r="M48" s="2">
        <f t="shared" si="12"/>
        <v>2.4687547542269907E-2</v>
      </c>
      <c r="N48" s="19">
        <f t="shared" si="25"/>
        <v>182.20648063174491</v>
      </c>
      <c r="O48" s="1">
        <f t="shared" si="13"/>
        <v>22</v>
      </c>
      <c r="P48" s="19">
        <f t="shared" si="14"/>
        <v>22.026565766611697</v>
      </c>
      <c r="Q48" s="18">
        <f t="shared" si="15"/>
        <v>1.8113167284268505</v>
      </c>
      <c r="R48" s="2">
        <f t="shared" si="16"/>
        <v>0.90173898362559723</v>
      </c>
      <c r="S48" s="18">
        <f t="shared" si="17"/>
        <v>1.8263457114872772</v>
      </c>
      <c r="T48" s="18">
        <f t="shared" si="18"/>
        <v>0.25782493180315763</v>
      </c>
      <c r="U48" s="1">
        <f t="shared" si="7"/>
        <v>0</v>
      </c>
      <c r="V48" s="2">
        <f t="shared" si="19"/>
        <v>51.139191852676177</v>
      </c>
      <c r="W48" s="19">
        <f t="shared" si="20"/>
        <v>22.138178291201807</v>
      </c>
      <c r="X48" s="20"/>
      <c r="Y48" s="2">
        <f t="shared" si="21"/>
        <v>2.138670072208777</v>
      </c>
      <c r="Z48" s="21">
        <f t="shared" si="22"/>
        <v>0.19551668278722842</v>
      </c>
      <c r="AA48" s="2">
        <f t="shared" si="23"/>
        <v>1.6162268895843397</v>
      </c>
      <c r="AB48" s="19">
        <f t="shared" si="26"/>
        <v>9.8847511526987883</v>
      </c>
      <c r="AC48" s="2"/>
      <c r="AD48" s="18"/>
      <c r="AE48" s="118"/>
      <c r="AG48" s="2"/>
      <c r="AH48" s="19"/>
      <c r="AI48" s="20"/>
      <c r="AJ48" s="21"/>
      <c r="AK48" s="21"/>
      <c r="AM48" s="19"/>
      <c r="AN48" s="18"/>
      <c r="AO48" s="2"/>
      <c r="AP48" s="18"/>
      <c r="AQ48" s="118"/>
      <c r="AS48" s="2"/>
      <c r="AT48" s="19"/>
      <c r="AU48" s="20"/>
      <c r="AV48" s="21"/>
      <c r="AW48" s="21"/>
      <c r="AY48" s="19"/>
      <c r="AZ48" s="18"/>
      <c r="BA48" s="2"/>
      <c r="BB48" s="18"/>
      <c r="BC48" s="118"/>
      <c r="BE48" s="2"/>
      <c r="BF48" s="19"/>
      <c r="BG48" s="20"/>
      <c r="BH48" s="21"/>
      <c r="BI48" s="21"/>
      <c r="BK48" s="19"/>
      <c r="BL48" s="18"/>
      <c r="BM48" s="2"/>
      <c r="BN48" s="18"/>
      <c r="BO48" s="118"/>
      <c r="BQ48" s="2"/>
      <c r="BR48" s="19"/>
      <c r="BS48" s="20"/>
      <c r="BT48" s="21"/>
      <c r="BU48" s="21"/>
      <c r="BW48" s="19"/>
      <c r="BX48" s="18"/>
      <c r="BY48" s="2"/>
      <c r="BZ48" s="18"/>
      <c r="CA48" s="118"/>
      <c r="CC48" s="2"/>
      <c r="CD48" s="19"/>
      <c r="CE48" s="20"/>
      <c r="CF48" s="21"/>
      <c r="CG48" s="21"/>
      <c r="CI48" s="19"/>
      <c r="CJ48" s="18"/>
      <c r="CK48" s="2"/>
      <c r="CL48" s="18"/>
      <c r="CM48" s="118"/>
      <c r="CO48" s="2"/>
      <c r="CP48" s="19"/>
      <c r="CQ48" s="20"/>
      <c r="CR48" s="21"/>
      <c r="CS48" s="21"/>
    </row>
    <row r="49" spans="1:97" x14ac:dyDescent="0.25">
      <c r="A49" s="1">
        <f t="shared" si="8"/>
        <v>23</v>
      </c>
      <c r="B49" s="19">
        <f t="shared" si="9"/>
        <v>20.035245227670121</v>
      </c>
      <c r="C49" s="18">
        <f t="shared" si="24"/>
        <v>0.34500288018499853</v>
      </c>
      <c r="D49" s="2">
        <f t="shared" si="2"/>
        <v>0.90003169334563493</v>
      </c>
      <c r="E49" s="18">
        <f t="shared" si="10"/>
        <v>0.36000340840742578</v>
      </c>
      <c r="F49" s="21">
        <f t="shared" si="3"/>
        <v>1.0675551385888571E-2</v>
      </c>
      <c r="G49" s="1">
        <f t="shared" si="4"/>
        <v>0</v>
      </c>
      <c r="H49" s="2">
        <f t="shared" si="0"/>
        <v>46.292092027303866</v>
      </c>
      <c r="I49" s="19">
        <f t="shared" si="11"/>
        <v>20.039866678486522</v>
      </c>
      <c r="J49" s="20">
        <f t="shared" si="5"/>
        <v>0.9364911334907402</v>
      </c>
      <c r="K49" s="21">
        <f t="shared" si="6"/>
        <v>3.9875847822568644E-2</v>
      </c>
      <c r="L49" s="21">
        <f t="shared" si="1"/>
        <v>7.5968065428036434E-3</v>
      </c>
      <c r="M49" s="2">
        <f t="shared" si="12"/>
        <v>2.7976208383310445E-2</v>
      </c>
      <c r="N49" s="19">
        <f t="shared" si="25"/>
        <v>184.35288032409042</v>
      </c>
      <c r="O49" s="1">
        <f t="shared" si="13"/>
        <v>23</v>
      </c>
      <c r="P49" s="19">
        <f t="shared" si="14"/>
        <v>22.138178291201807</v>
      </c>
      <c r="Q49" s="18">
        <f t="shared" si="15"/>
        <v>1.8263457114872772</v>
      </c>
      <c r="R49" s="2">
        <f t="shared" si="16"/>
        <v>0.90183014291392027</v>
      </c>
      <c r="S49" s="18">
        <f t="shared" si="17"/>
        <v>1.8413762138691758</v>
      </c>
      <c r="T49" s="18">
        <f t="shared" si="18"/>
        <v>0.26200931720518716</v>
      </c>
      <c r="U49" s="1">
        <f t="shared" si="7"/>
        <v>0</v>
      </c>
      <c r="V49" s="2">
        <f t="shared" si="19"/>
        <v>51.401201169881361</v>
      </c>
      <c r="W49" s="19">
        <f t="shared" si="20"/>
        <v>22.25160223804388</v>
      </c>
      <c r="X49" s="20"/>
      <c r="Y49" s="2">
        <f t="shared" si="21"/>
        <v>2.2521201065586229</v>
      </c>
      <c r="Z49" s="21">
        <f t="shared" si="22"/>
        <v>0.19874806061019312</v>
      </c>
      <c r="AA49" s="2">
        <f t="shared" si="23"/>
        <v>1.7022650110606137</v>
      </c>
      <c r="AB49" s="19">
        <f t="shared" si="26"/>
        <v>10.290213312042299</v>
      </c>
      <c r="AC49" s="2"/>
      <c r="AD49" s="18"/>
      <c r="AE49" s="118"/>
      <c r="AG49" s="2"/>
      <c r="AH49" s="19"/>
      <c r="AI49" s="20"/>
      <c r="AJ49" s="21"/>
      <c r="AK49" s="21"/>
      <c r="AM49" s="19"/>
      <c r="AN49" s="18"/>
      <c r="AO49" s="2"/>
      <c r="AP49" s="18"/>
      <c r="AQ49" s="118"/>
      <c r="AS49" s="2"/>
      <c r="AT49" s="19"/>
      <c r="AU49" s="20"/>
      <c r="AV49" s="21"/>
      <c r="AW49" s="21"/>
      <c r="AY49" s="19"/>
      <c r="AZ49" s="18"/>
      <c r="BA49" s="2"/>
      <c r="BB49" s="18"/>
      <c r="BC49" s="118"/>
      <c r="BE49" s="2"/>
      <c r="BF49" s="19"/>
      <c r="BG49" s="20"/>
      <c r="BH49" s="21"/>
      <c r="BI49" s="21"/>
      <c r="BK49" s="19"/>
      <c r="BL49" s="18"/>
      <c r="BM49" s="2"/>
      <c r="BN49" s="18"/>
      <c r="BO49" s="118"/>
      <c r="BQ49" s="2"/>
      <c r="BR49" s="19"/>
      <c r="BS49" s="20"/>
      <c r="BT49" s="21"/>
      <c r="BU49" s="21"/>
      <c r="BW49" s="19"/>
      <c r="BX49" s="18"/>
      <c r="BY49" s="2"/>
      <c r="BZ49" s="18"/>
      <c r="CA49" s="118"/>
      <c r="CC49" s="2"/>
      <c r="CD49" s="19"/>
      <c r="CE49" s="20"/>
      <c r="CF49" s="21"/>
      <c r="CG49" s="21"/>
      <c r="CI49" s="19"/>
      <c r="CJ49" s="18"/>
      <c r="CK49" s="2"/>
      <c r="CL49" s="18"/>
      <c r="CM49" s="118"/>
      <c r="CO49" s="2"/>
      <c r="CP49" s="19"/>
      <c r="CQ49" s="20"/>
      <c r="CR49" s="21"/>
      <c r="CS49" s="21"/>
    </row>
    <row r="50" spans="1:97" x14ac:dyDescent="0.25">
      <c r="A50" s="1">
        <f t="shared" si="8"/>
        <v>24</v>
      </c>
      <c r="B50" s="19">
        <f t="shared" si="9"/>
        <v>20.039866678486522</v>
      </c>
      <c r="C50" s="18">
        <f t="shared" si="24"/>
        <v>0.36000340840742578</v>
      </c>
      <c r="D50" s="2">
        <f t="shared" si="2"/>
        <v>0.90003584501146228</v>
      </c>
      <c r="E50" s="18">
        <f t="shared" si="10"/>
        <v>0.3750040058242835</v>
      </c>
      <c r="F50" s="21">
        <f t="shared" si="3"/>
        <v>1.1563619879761759E-2</v>
      </c>
      <c r="G50" s="1">
        <f t="shared" si="4"/>
        <v>0</v>
      </c>
      <c r="H50" s="2">
        <f t="shared" si="0"/>
        <v>46.303655647183625</v>
      </c>
      <c r="I50" s="19">
        <f t="shared" si="11"/>
        <v>20.044872574538367</v>
      </c>
      <c r="J50" s="20">
        <f t="shared" si="5"/>
        <v>0.93648999622835172</v>
      </c>
      <c r="K50" s="21">
        <f t="shared" si="6"/>
        <v>4.4882895230505482E-2</v>
      </c>
      <c r="L50" s="21">
        <f t="shared" si="1"/>
        <v>8.2430826755198524E-3</v>
      </c>
      <c r="M50" s="2">
        <f t="shared" si="12"/>
        <v>3.154464244197705E-2</v>
      </c>
      <c r="N50" s="19">
        <f t="shared" si="25"/>
        <v>186.40984439330094</v>
      </c>
      <c r="O50" s="1">
        <f t="shared" si="13"/>
        <v>24</v>
      </c>
      <c r="P50" s="19">
        <f t="shared" si="14"/>
        <v>22.25160223804388</v>
      </c>
      <c r="Q50" s="18">
        <f t="shared" si="15"/>
        <v>1.8413762138691758</v>
      </c>
      <c r="R50" s="2">
        <f t="shared" si="16"/>
        <v>0.901922321413685</v>
      </c>
      <c r="S50" s="18">
        <f t="shared" si="17"/>
        <v>1.8564082525594039</v>
      </c>
      <c r="T50" s="18">
        <f t="shared" si="18"/>
        <v>0.26622727097584037</v>
      </c>
      <c r="U50" s="1">
        <f t="shared" si="7"/>
        <v>0</v>
      </c>
      <c r="V50" s="2">
        <f t="shared" si="19"/>
        <v>51.667428440857201</v>
      </c>
      <c r="W50" s="19">
        <f t="shared" si="20"/>
        <v>22.366852138899219</v>
      </c>
      <c r="X50" s="20"/>
      <c r="Y50" s="2">
        <f t="shared" si="21"/>
        <v>2.367396514891162</v>
      </c>
      <c r="Z50" s="21">
        <f t="shared" si="22"/>
        <v>0.2020062574679404</v>
      </c>
      <c r="AA50" s="2">
        <f t="shared" si="23"/>
        <v>1.7897136073670814</v>
      </c>
      <c r="AB50" s="19">
        <f t="shared" si="26"/>
        <v>10.692365827269697</v>
      </c>
      <c r="AC50" s="2"/>
      <c r="AD50" s="18"/>
      <c r="AE50" s="118"/>
      <c r="AG50" s="2"/>
      <c r="AH50" s="19"/>
      <c r="AI50" s="20"/>
      <c r="AJ50" s="21"/>
      <c r="AK50" s="21"/>
      <c r="AM50" s="19"/>
      <c r="AN50" s="18"/>
      <c r="AO50" s="2"/>
      <c r="AP50" s="18"/>
      <c r="AQ50" s="118"/>
      <c r="AS50" s="2"/>
      <c r="AT50" s="19"/>
      <c r="AU50" s="20"/>
      <c r="AV50" s="21"/>
      <c r="AW50" s="21"/>
      <c r="AY50" s="19"/>
      <c r="AZ50" s="18"/>
      <c r="BA50" s="2"/>
      <c r="BB50" s="18"/>
      <c r="BC50" s="118"/>
      <c r="BE50" s="2"/>
      <c r="BF50" s="19"/>
      <c r="BG50" s="20"/>
      <c r="BH50" s="21"/>
      <c r="BI50" s="21"/>
      <c r="BK50" s="19"/>
      <c r="BL50" s="18"/>
      <c r="BM50" s="2"/>
      <c r="BN50" s="18"/>
      <c r="BO50" s="118"/>
      <c r="BQ50" s="2"/>
      <c r="BR50" s="19"/>
      <c r="BS50" s="20"/>
      <c r="BT50" s="21"/>
      <c r="BU50" s="21"/>
      <c r="BW50" s="19"/>
      <c r="BX50" s="18"/>
      <c r="BY50" s="2"/>
      <c r="BZ50" s="18"/>
      <c r="CA50" s="118"/>
      <c r="CC50" s="2"/>
      <c r="CD50" s="19"/>
      <c r="CE50" s="20"/>
      <c r="CF50" s="21"/>
      <c r="CG50" s="21"/>
      <c r="CI50" s="19"/>
      <c r="CJ50" s="18"/>
      <c r="CK50" s="2"/>
      <c r="CL50" s="18"/>
      <c r="CM50" s="118"/>
      <c r="CO50" s="2"/>
      <c r="CP50" s="19"/>
      <c r="CQ50" s="20"/>
      <c r="CR50" s="21"/>
      <c r="CS50" s="21"/>
    </row>
    <row r="51" spans="1:97" x14ac:dyDescent="0.25">
      <c r="A51" s="1">
        <f t="shared" si="8"/>
        <v>25</v>
      </c>
      <c r="B51" s="19">
        <f t="shared" si="9"/>
        <v>20.044872574538367</v>
      </c>
      <c r="C51" s="18">
        <f t="shared" si="24"/>
        <v>0.3750040058242835</v>
      </c>
      <c r="D51" s="2">
        <f t="shared" si="2"/>
        <v>0.90004034098398811</v>
      </c>
      <c r="E51" s="18">
        <f t="shared" si="10"/>
        <v>0.39000467817401663</v>
      </c>
      <c r="F51" s="21">
        <f t="shared" si="3"/>
        <v>1.2486456333359194E-2</v>
      </c>
      <c r="G51" s="1">
        <f t="shared" si="4"/>
        <v>0</v>
      </c>
      <c r="H51" s="2">
        <f t="shared" si="0"/>
        <v>46.316142103516988</v>
      </c>
      <c r="I51" s="19">
        <f t="shared" si="11"/>
        <v>20.050277966890469</v>
      </c>
      <c r="J51" s="20">
        <f t="shared" si="5"/>
        <v>0.93648876651945034</v>
      </c>
      <c r="K51" s="21">
        <f t="shared" si="6"/>
        <v>5.0289530822850009E-2</v>
      </c>
      <c r="L51" s="21">
        <f t="shared" si="1"/>
        <v>8.9157416364216042E-3</v>
      </c>
      <c r="M51" s="2">
        <f t="shared" si="12"/>
        <v>3.5404270856012374E-2</v>
      </c>
      <c r="N51" s="19">
        <f t="shared" si="25"/>
        <v>188.3845275017112</v>
      </c>
      <c r="O51" s="1">
        <f t="shared" si="13"/>
        <v>25</v>
      </c>
      <c r="P51" s="19">
        <f t="shared" si="14"/>
        <v>22.366852138899219</v>
      </c>
      <c r="Q51" s="18">
        <f t="shared" si="15"/>
        <v>1.8564082525594039</v>
      </c>
      <c r="R51" s="2">
        <f t="shared" si="16"/>
        <v>0.90201551339969399</v>
      </c>
      <c r="S51" s="18">
        <f t="shared" si="17"/>
        <v>1.8714418444493988</v>
      </c>
      <c r="T51" s="18">
        <f t="shared" si="18"/>
        <v>0.27047880007122338</v>
      </c>
      <c r="U51" s="1">
        <f t="shared" si="7"/>
        <v>0</v>
      </c>
      <c r="V51" s="2">
        <f t="shared" si="19"/>
        <v>51.937907240928418</v>
      </c>
      <c r="W51" s="19">
        <f t="shared" si="20"/>
        <v>22.483942528540439</v>
      </c>
      <c r="X51" s="20"/>
      <c r="Y51" s="2">
        <f t="shared" si="21"/>
        <v>2.4845138353220015</v>
      </c>
      <c r="Z51" s="21">
        <f t="shared" si="22"/>
        <v>0.20529128518838999</v>
      </c>
      <c r="AA51" s="2">
        <f t="shared" si="23"/>
        <v>1.8785842935958217</v>
      </c>
      <c r="AB51" s="19">
        <f t="shared" si="26"/>
        <v>11.091261961709121</v>
      </c>
      <c r="AC51" s="2"/>
      <c r="AD51" s="18"/>
      <c r="AE51" s="118"/>
      <c r="AG51" s="2"/>
      <c r="AH51" s="19"/>
      <c r="AI51" s="20"/>
      <c r="AJ51" s="21"/>
      <c r="AK51" s="21"/>
      <c r="AM51" s="19"/>
      <c r="AN51" s="18"/>
      <c r="AO51" s="2"/>
      <c r="AP51" s="18"/>
      <c r="AQ51" s="118"/>
      <c r="AS51" s="2"/>
      <c r="AT51" s="19"/>
      <c r="AU51" s="20"/>
      <c r="AV51" s="21"/>
      <c r="AW51" s="21"/>
      <c r="AY51" s="19"/>
      <c r="AZ51" s="18"/>
      <c r="BA51" s="2"/>
      <c r="BB51" s="18"/>
      <c r="BC51" s="118"/>
      <c r="BE51" s="2"/>
      <c r="BF51" s="19"/>
      <c r="BG51" s="20"/>
      <c r="BH51" s="21"/>
      <c r="BI51" s="21"/>
      <c r="BK51" s="19"/>
      <c r="BL51" s="18"/>
      <c r="BM51" s="2"/>
      <c r="BN51" s="18"/>
      <c r="BO51" s="118"/>
      <c r="BQ51" s="2"/>
      <c r="BR51" s="19"/>
      <c r="BS51" s="20"/>
      <c r="BT51" s="21"/>
      <c r="BU51" s="21"/>
      <c r="BW51" s="19"/>
      <c r="BX51" s="18"/>
      <c r="BY51" s="2"/>
      <c r="BZ51" s="18"/>
      <c r="CA51" s="118"/>
      <c r="CC51" s="2"/>
      <c r="CD51" s="19"/>
      <c r="CE51" s="20"/>
      <c r="CF51" s="21"/>
      <c r="CG51" s="21"/>
      <c r="CI51" s="19"/>
      <c r="CJ51" s="18"/>
      <c r="CK51" s="2"/>
      <c r="CL51" s="18"/>
      <c r="CM51" s="118"/>
      <c r="CO51" s="2"/>
      <c r="CP51" s="19"/>
      <c r="CQ51" s="20"/>
      <c r="CR51" s="21"/>
      <c r="CS51" s="21"/>
    </row>
    <row r="52" spans="1:97" x14ac:dyDescent="0.25">
      <c r="A52" s="1">
        <f t="shared" si="8"/>
        <v>26</v>
      </c>
      <c r="B52" s="19">
        <f t="shared" si="9"/>
        <v>20.050277966890469</v>
      </c>
      <c r="C52" s="18">
        <f t="shared" si="24"/>
        <v>0.39000467817401663</v>
      </c>
      <c r="D52" s="2">
        <f t="shared" si="2"/>
        <v>0.90004519452288956</v>
      </c>
      <c r="E52" s="18">
        <f t="shared" si="10"/>
        <v>0.40500543141606477</v>
      </c>
      <c r="F52" s="21">
        <f t="shared" si="3"/>
        <v>1.3444013113690641E-2</v>
      </c>
      <c r="G52" s="1">
        <f t="shared" si="4"/>
        <v>0</v>
      </c>
      <c r="H52" s="2">
        <f t="shared" si="0"/>
        <v>46.329586116630679</v>
      </c>
      <c r="I52" s="19">
        <f t="shared" si="11"/>
        <v>20.056097885987306</v>
      </c>
      <c r="J52" s="20">
        <f t="shared" si="5"/>
        <v>0.93648744085696134</v>
      </c>
      <c r="K52" s="21">
        <f t="shared" si="6"/>
        <v>5.6110788501078056E-2</v>
      </c>
      <c r="L52" s="21">
        <f t="shared" si="1"/>
        <v>9.6147841037848847E-3</v>
      </c>
      <c r="M52" s="2">
        <f t="shared" si="12"/>
        <v>3.9566515056785052E-2</v>
      </c>
      <c r="N52" s="19">
        <f t="shared" si="25"/>
        <v>190.2832587665628</v>
      </c>
      <c r="O52" s="1">
        <f t="shared" si="13"/>
        <v>26</v>
      </c>
      <c r="P52" s="19">
        <f t="shared" si="14"/>
        <v>22.483942528540439</v>
      </c>
      <c r="Q52" s="18">
        <f t="shared" si="15"/>
        <v>1.8714418444493988</v>
      </c>
      <c r="R52" s="2">
        <f t="shared" si="16"/>
        <v>0.90210971293707554</v>
      </c>
      <c r="S52" s="18">
        <f t="shared" si="17"/>
        <v>1.8864770063316834</v>
      </c>
      <c r="T52" s="18">
        <f t="shared" si="18"/>
        <v>0.27476391163824437</v>
      </c>
      <c r="U52" s="1">
        <f t="shared" si="7"/>
        <v>0</v>
      </c>
      <c r="V52" s="2">
        <f t="shared" si="19"/>
        <v>52.212671152566664</v>
      </c>
      <c r="W52" s="19">
        <f t="shared" si="20"/>
        <v>22.602887944834052</v>
      </c>
      <c r="X52" s="20"/>
      <c r="Y52" s="2">
        <f t="shared" si="21"/>
        <v>2.6034866090613615</v>
      </c>
      <c r="Z52" s="21">
        <f t="shared" si="22"/>
        <v>0.20860315569750773</v>
      </c>
      <c r="AA52" s="2">
        <f t="shared" si="23"/>
        <v>1.9688886900016691</v>
      </c>
      <c r="AB52" s="19">
        <f t="shared" si="26"/>
        <v>11.486953699651028</v>
      </c>
      <c r="AC52" s="2"/>
      <c r="AD52" s="18"/>
      <c r="AE52" s="118"/>
      <c r="AG52" s="2"/>
      <c r="AH52" s="19"/>
      <c r="AI52" s="20"/>
      <c r="AJ52" s="21"/>
      <c r="AK52" s="21"/>
      <c r="AM52" s="19"/>
      <c r="AN52" s="18"/>
      <c r="AO52" s="2"/>
      <c r="AP52" s="18"/>
      <c r="AQ52" s="118"/>
      <c r="AS52" s="2"/>
      <c r="AT52" s="19"/>
      <c r="AU52" s="20"/>
      <c r="AV52" s="21"/>
      <c r="AW52" s="21"/>
      <c r="AY52" s="19"/>
      <c r="AZ52" s="18"/>
      <c r="BA52" s="2"/>
      <c r="BB52" s="18"/>
      <c r="BC52" s="118"/>
      <c r="BE52" s="2"/>
      <c r="BF52" s="19"/>
      <c r="BG52" s="20"/>
      <c r="BH52" s="21"/>
      <c r="BI52" s="21"/>
      <c r="BK52" s="19"/>
      <c r="BL52" s="18"/>
      <c r="BM52" s="2"/>
      <c r="BN52" s="18"/>
      <c r="BO52" s="118"/>
      <c r="BQ52" s="2"/>
      <c r="BR52" s="19"/>
      <c r="BS52" s="20"/>
      <c r="BT52" s="21"/>
      <c r="BU52" s="21"/>
      <c r="BW52" s="19"/>
      <c r="BX52" s="18"/>
      <c r="BY52" s="2"/>
      <c r="BZ52" s="18"/>
      <c r="CA52" s="118"/>
      <c r="CC52" s="2"/>
      <c r="CD52" s="19"/>
      <c r="CE52" s="20"/>
      <c r="CF52" s="21"/>
      <c r="CG52" s="21"/>
      <c r="CI52" s="19"/>
      <c r="CJ52" s="18"/>
      <c r="CK52" s="2"/>
      <c r="CL52" s="18"/>
      <c r="CM52" s="118"/>
      <c r="CO52" s="2"/>
      <c r="CP52" s="19"/>
      <c r="CQ52" s="20"/>
      <c r="CR52" s="21"/>
      <c r="CS52" s="21"/>
    </row>
    <row r="53" spans="1:97" x14ac:dyDescent="0.25">
      <c r="A53" s="1">
        <f t="shared" si="8"/>
        <v>27</v>
      </c>
      <c r="B53" s="19">
        <f t="shared" si="9"/>
        <v>20.056097885987306</v>
      </c>
      <c r="C53" s="18">
        <f t="shared" si="24"/>
        <v>0.40500543141606477</v>
      </c>
      <c r="D53" s="2">
        <f t="shared" si="2"/>
        <v>0.90005041883482861</v>
      </c>
      <c r="E53" s="18">
        <f t="shared" si="10"/>
        <v>0.42000627172997856</v>
      </c>
      <c r="F53" s="21">
        <f t="shared" si="3"/>
        <v>1.4436244754828347E-2</v>
      </c>
      <c r="G53" s="1">
        <f t="shared" si="4"/>
        <v>0</v>
      </c>
      <c r="H53" s="2">
        <f t="shared" si="0"/>
        <v>46.344022361385505</v>
      </c>
      <c r="I53" s="19">
        <f t="shared" si="11"/>
        <v>20.062347342591128</v>
      </c>
      <c r="J53" s="20">
        <f t="shared" si="5"/>
        <v>0.93648601574423962</v>
      </c>
      <c r="K53" s="21">
        <f t="shared" si="6"/>
        <v>6.2361682479918731E-2</v>
      </c>
      <c r="L53" s="21">
        <f t="shared" si="1"/>
        <v>1.0340210808646286E-2</v>
      </c>
      <c r="M53" s="2">
        <f t="shared" si="12"/>
        <v>4.4042796792129767E-2</v>
      </c>
      <c r="N53" s="19">
        <f t="shared" si="25"/>
        <v>192.11166406300106</v>
      </c>
      <c r="O53" s="1">
        <f t="shared" si="13"/>
        <v>27</v>
      </c>
      <c r="P53" s="19">
        <f t="shared" si="14"/>
        <v>22.602887944834052</v>
      </c>
      <c r="Q53" s="18">
        <f t="shared" si="15"/>
        <v>1.8864770063316834</v>
      </c>
      <c r="R53" s="2">
        <f t="shared" si="16"/>
        <v>0.90220491388593493</v>
      </c>
      <c r="S53" s="18">
        <f t="shared" si="17"/>
        <v>1.9015137548964489</v>
      </c>
      <c r="T53" s="18">
        <f t="shared" si="18"/>
        <v>0.27908261301129172</v>
      </c>
      <c r="U53" s="1">
        <f t="shared" si="7"/>
        <v>0</v>
      </c>
      <c r="V53" s="2">
        <f t="shared" si="19"/>
        <v>52.491753765577954</v>
      </c>
      <c r="W53" s="19">
        <f t="shared" si="20"/>
        <v>22.723702928821623</v>
      </c>
      <c r="X53" s="20"/>
      <c r="Y53" s="2">
        <f t="shared" si="21"/>
        <v>2.7243293804952509</v>
      </c>
      <c r="Z53" s="21">
        <f t="shared" si="22"/>
        <v>0.2119418810177032</v>
      </c>
      <c r="AA53" s="2">
        <f t="shared" si="23"/>
        <v>2.0606384220439651</v>
      </c>
      <c r="AB53" s="19">
        <f t="shared" si="26"/>
        <v>11.879491786996894</v>
      </c>
      <c r="AC53" s="2"/>
      <c r="AD53" s="18"/>
      <c r="AE53" s="118"/>
      <c r="AG53" s="2"/>
      <c r="AH53" s="19"/>
      <c r="AI53" s="20"/>
      <c r="AJ53" s="21"/>
      <c r="AK53" s="21"/>
      <c r="AM53" s="19"/>
      <c r="AN53" s="18"/>
      <c r="AO53" s="2"/>
      <c r="AP53" s="18"/>
      <c r="AQ53" s="118"/>
      <c r="AS53" s="2"/>
      <c r="AT53" s="19"/>
      <c r="AU53" s="20"/>
      <c r="AV53" s="21"/>
      <c r="AW53" s="21"/>
      <c r="AY53" s="19"/>
      <c r="AZ53" s="18"/>
      <c r="BA53" s="2"/>
      <c r="BB53" s="18"/>
      <c r="BC53" s="118"/>
      <c r="BE53" s="2"/>
      <c r="BF53" s="19"/>
      <c r="BG53" s="20"/>
      <c r="BH53" s="21"/>
      <c r="BI53" s="21"/>
      <c r="BK53" s="19"/>
      <c r="BL53" s="18"/>
      <c r="BM53" s="2"/>
      <c r="BN53" s="18"/>
      <c r="BO53" s="118"/>
      <c r="BQ53" s="2"/>
      <c r="BR53" s="19"/>
      <c r="BS53" s="20"/>
      <c r="BT53" s="21"/>
      <c r="BU53" s="21"/>
      <c r="BW53" s="19"/>
      <c r="BX53" s="18"/>
      <c r="BY53" s="2"/>
      <c r="BZ53" s="18"/>
      <c r="CA53" s="118"/>
      <c r="CC53" s="2"/>
      <c r="CD53" s="19"/>
      <c r="CE53" s="20"/>
      <c r="CF53" s="21"/>
      <c r="CG53" s="21"/>
      <c r="CI53" s="19"/>
      <c r="CJ53" s="18"/>
      <c r="CK53" s="2"/>
      <c r="CL53" s="18"/>
      <c r="CM53" s="118"/>
      <c r="CO53" s="2"/>
      <c r="CP53" s="19"/>
      <c r="CQ53" s="20"/>
      <c r="CR53" s="21"/>
      <c r="CS53" s="21"/>
    </row>
    <row r="54" spans="1:97" x14ac:dyDescent="0.25">
      <c r="A54" s="1">
        <f t="shared" si="8"/>
        <v>28</v>
      </c>
      <c r="B54" s="19">
        <f t="shared" si="9"/>
        <v>20.062347342591128</v>
      </c>
      <c r="C54" s="18">
        <f t="shared" si="24"/>
        <v>0.42000627172997856</v>
      </c>
      <c r="D54" s="2">
        <f t="shared" si="2"/>
        <v>0.90005602707170962</v>
      </c>
      <c r="E54" s="18">
        <f t="shared" si="10"/>
        <v>0.43500720551450706</v>
      </c>
      <c r="F54" s="21">
        <f t="shared" si="3"/>
        <v>1.5463107796654397E-2</v>
      </c>
      <c r="G54" s="1">
        <f t="shared" si="4"/>
        <v>0</v>
      </c>
      <c r="H54" s="2">
        <f t="shared" si="0"/>
        <v>46.359485469182161</v>
      </c>
      <c r="I54" s="19">
        <f t="shared" si="11"/>
        <v>20.069041328650286</v>
      </c>
      <c r="J54" s="20">
        <f t="shared" si="5"/>
        <v>0.93648448769526071</v>
      </c>
      <c r="K54" s="21">
        <f t="shared" si="6"/>
        <v>6.905720815587009E-2</v>
      </c>
      <c r="L54" s="21">
        <f t="shared" si="1"/>
        <v>1.1092022536692442E-2</v>
      </c>
      <c r="M54" s="2">
        <f t="shared" si="12"/>
        <v>4.8844538150005279E-2</v>
      </c>
      <c r="N54" s="19">
        <f t="shared" si="25"/>
        <v>193.87476648725121</v>
      </c>
      <c r="O54" s="1">
        <f t="shared" si="13"/>
        <v>28</v>
      </c>
      <c r="P54" s="19">
        <f t="shared" si="14"/>
        <v>22.723702928821623</v>
      </c>
      <c r="Q54" s="18">
        <f t="shared" si="15"/>
        <v>1.9015137548964489</v>
      </c>
      <c r="R54" s="2">
        <f t="shared" si="16"/>
        <v>0.90230110990608703</v>
      </c>
      <c r="S54" s="18">
        <f t="shared" si="17"/>
        <v>1.916552106728217</v>
      </c>
      <c r="T54" s="18">
        <f t="shared" si="18"/>
        <v>0.28343491170892132</v>
      </c>
      <c r="U54" s="1">
        <f t="shared" si="7"/>
        <v>0</v>
      </c>
      <c r="V54" s="2">
        <f t="shared" si="19"/>
        <v>52.775188677286877</v>
      </c>
      <c r="W54" s="19">
        <f t="shared" si="20"/>
        <v>22.846402024799513</v>
      </c>
      <c r="X54" s="20"/>
      <c r="Y54" s="2">
        <f t="shared" si="21"/>
        <v>2.8470566972652138</v>
      </c>
      <c r="Z54" s="21">
        <f t="shared" si="22"/>
        <v>0.21530747326620861</v>
      </c>
      <c r="AA54" s="2">
        <f t="shared" si="23"/>
        <v>2.1538451204276052</v>
      </c>
      <c r="AB54" s="19">
        <f t="shared" si="26"/>
        <v>12.268925770306533</v>
      </c>
      <c r="AC54" s="2"/>
      <c r="AD54" s="18"/>
      <c r="AE54" s="118"/>
      <c r="AG54" s="2"/>
      <c r="AH54" s="19"/>
      <c r="AI54" s="20"/>
      <c r="AJ54" s="21"/>
      <c r="AK54" s="21"/>
      <c r="AM54" s="19"/>
      <c r="AN54" s="18"/>
      <c r="AO54" s="2"/>
      <c r="AP54" s="18"/>
      <c r="AQ54" s="118"/>
      <c r="AS54" s="2"/>
      <c r="AT54" s="19"/>
      <c r="AU54" s="20"/>
      <c r="AV54" s="21"/>
      <c r="AW54" s="21"/>
      <c r="AY54" s="19"/>
      <c r="AZ54" s="18"/>
      <c r="BA54" s="2"/>
      <c r="BB54" s="18"/>
      <c r="BC54" s="118"/>
      <c r="BE54" s="2"/>
      <c r="BF54" s="19"/>
      <c r="BG54" s="20"/>
      <c r="BH54" s="21"/>
      <c r="BI54" s="21"/>
      <c r="BK54" s="19"/>
      <c r="BL54" s="18"/>
      <c r="BM54" s="2"/>
      <c r="BN54" s="18"/>
      <c r="BO54" s="118"/>
      <c r="BQ54" s="2"/>
      <c r="BR54" s="19"/>
      <c r="BS54" s="20"/>
      <c r="BT54" s="21"/>
      <c r="BU54" s="21"/>
      <c r="BW54" s="19"/>
      <c r="BX54" s="18"/>
      <c r="BY54" s="2"/>
      <c r="BZ54" s="18"/>
      <c r="CA54" s="118"/>
      <c r="CC54" s="2"/>
      <c r="CD54" s="19"/>
      <c r="CE54" s="20"/>
      <c r="CF54" s="21"/>
      <c r="CG54" s="21"/>
      <c r="CI54" s="19"/>
      <c r="CJ54" s="18"/>
      <c r="CK54" s="2"/>
      <c r="CL54" s="18"/>
      <c r="CM54" s="118"/>
      <c r="CO54" s="2"/>
      <c r="CP54" s="19"/>
      <c r="CQ54" s="20"/>
      <c r="CR54" s="21"/>
      <c r="CS54" s="21"/>
    </row>
    <row r="55" spans="1:97" x14ac:dyDescent="0.25">
      <c r="A55" s="1">
        <f t="shared" si="8"/>
        <v>29</v>
      </c>
      <c r="B55" s="19">
        <f t="shared" si="9"/>
        <v>20.069041328650286</v>
      </c>
      <c r="C55" s="18">
        <f t="shared" si="24"/>
        <v>0.43500720551450706</v>
      </c>
      <c r="D55" s="2">
        <f t="shared" si="2"/>
        <v>0.900062032328794</v>
      </c>
      <c r="E55" s="18">
        <f t="shared" si="10"/>
        <v>0.45000823938665363</v>
      </c>
      <c r="F55" s="21">
        <f t="shared" si="3"/>
        <v>1.6524560641640242E-2</v>
      </c>
      <c r="G55" s="1">
        <f t="shared" si="4"/>
        <v>0</v>
      </c>
      <c r="H55" s="2">
        <f t="shared" si="0"/>
        <v>46.376010029823803</v>
      </c>
      <c r="I55" s="19">
        <f t="shared" si="11"/>
        <v>20.076194818105542</v>
      </c>
      <c r="J55" s="20">
        <f t="shared" si="5"/>
        <v>0.93648285323483949</v>
      </c>
      <c r="K55" s="21">
        <f t="shared" si="6"/>
        <v>7.6212342913700312E-2</v>
      </c>
      <c r="L55" s="21">
        <f t="shared" si="1"/>
        <v>1.1870220130138326E-2</v>
      </c>
      <c r="M55" s="2">
        <f t="shared" si="12"/>
        <v>5.3983161582965594E-2</v>
      </c>
      <c r="N55" s="19">
        <f t="shared" si="25"/>
        <v>195.57706949855776</v>
      </c>
      <c r="O55" s="1">
        <f t="shared" si="13"/>
        <v>29</v>
      </c>
      <c r="P55" s="19">
        <f t="shared" si="14"/>
        <v>22.846402024799513</v>
      </c>
      <c r="Q55" s="18">
        <f t="shared" si="15"/>
        <v>1.916552106728217</v>
      </c>
      <c r="R55" s="2">
        <f t="shared" si="16"/>
        <v>0.90239829446186415</v>
      </c>
      <c r="S55" s="18">
        <f t="shared" si="17"/>
        <v>1.9315920783025813</v>
      </c>
      <c r="T55" s="18">
        <f t="shared" si="18"/>
        <v>0.28782081543055438</v>
      </c>
      <c r="U55" s="1">
        <f t="shared" si="7"/>
        <v>0</v>
      </c>
      <c r="V55" s="2">
        <f t="shared" si="19"/>
        <v>53.063009492717434</v>
      </c>
      <c r="W55" s="19">
        <f t="shared" si="20"/>
        <v>22.970999780397158</v>
      </c>
      <c r="X55" s="20"/>
      <c r="Y55" s="2">
        <f t="shared" si="21"/>
        <v>2.9716831103466439</v>
      </c>
      <c r="Z55" s="21">
        <f t="shared" si="22"/>
        <v>0.21869994465344059</v>
      </c>
      <c r="AA55" s="2">
        <f t="shared" si="23"/>
        <v>2.2485204211433802</v>
      </c>
      <c r="AB55" s="19">
        <f t="shared" si="26"/>
        <v>12.65530403431916</v>
      </c>
      <c r="AC55" s="2"/>
      <c r="AD55" s="18"/>
      <c r="AE55" s="118"/>
      <c r="AG55" s="2"/>
      <c r="AH55" s="19"/>
      <c r="AI55" s="20"/>
      <c r="AJ55" s="21"/>
      <c r="AK55" s="21"/>
      <c r="AM55" s="19"/>
      <c r="AN55" s="18"/>
      <c r="AO55" s="2"/>
      <c r="AP55" s="18"/>
      <c r="AQ55" s="118"/>
      <c r="AS55" s="2"/>
      <c r="AT55" s="19"/>
      <c r="AU55" s="20"/>
      <c r="AV55" s="21"/>
      <c r="AW55" s="21"/>
      <c r="AY55" s="19"/>
      <c r="AZ55" s="18"/>
      <c r="BA55" s="2"/>
      <c r="BB55" s="18"/>
      <c r="BC55" s="118"/>
      <c r="BE55" s="2"/>
      <c r="BF55" s="19"/>
      <c r="BG55" s="20"/>
      <c r="BH55" s="21"/>
      <c r="BI55" s="21"/>
      <c r="BK55" s="19"/>
      <c r="BL55" s="18"/>
      <c r="BM55" s="2"/>
      <c r="BN55" s="18"/>
      <c r="BO55" s="118"/>
      <c r="BQ55" s="2"/>
      <c r="BR55" s="19"/>
      <c r="BS55" s="20"/>
      <c r="BT55" s="21"/>
      <c r="BU55" s="21"/>
      <c r="BW55" s="19"/>
      <c r="BX55" s="18"/>
      <c r="BY55" s="2"/>
      <c r="BZ55" s="18"/>
      <c r="CA55" s="118"/>
      <c r="CC55" s="2"/>
      <c r="CD55" s="19"/>
      <c r="CE55" s="20"/>
      <c r="CF55" s="21"/>
      <c r="CG55" s="21"/>
      <c r="CI55" s="19"/>
      <c r="CJ55" s="18"/>
      <c r="CK55" s="2"/>
      <c r="CL55" s="18"/>
      <c r="CM55" s="118"/>
      <c r="CO55" s="2"/>
      <c r="CP55" s="19"/>
      <c r="CQ55" s="20"/>
      <c r="CR55" s="21"/>
      <c r="CS55" s="21"/>
    </row>
    <row r="56" spans="1:97" x14ac:dyDescent="0.25">
      <c r="A56" s="1">
        <f t="shared" si="8"/>
        <v>30</v>
      </c>
      <c r="B56" s="19">
        <f t="shared" si="9"/>
        <v>20.076194818105542</v>
      </c>
      <c r="C56" s="18">
        <f t="shared" si="24"/>
        <v>0.45000823938665363</v>
      </c>
      <c r="D56" s="2">
        <f t="shared" si="2"/>
        <v>0.90006844764267857</v>
      </c>
      <c r="E56" s="18">
        <f t="shared" si="10"/>
        <v>0.46500938018069826</v>
      </c>
      <c r="F56" s="21">
        <f t="shared" si="3"/>
        <v>1.7620563427122416E-2</v>
      </c>
      <c r="G56" s="1">
        <f t="shared" si="4"/>
        <v>0</v>
      </c>
      <c r="H56" s="2">
        <f t="shared" si="0"/>
        <v>46.393630593250926</v>
      </c>
      <c r="I56" s="19">
        <f t="shared" si="11"/>
        <v>20.083822767641092</v>
      </c>
      <c r="J56" s="20">
        <f t="shared" si="5"/>
        <v>0.93648110889887759</v>
      </c>
      <c r="K56" s="21">
        <f t="shared" si="6"/>
        <v>8.3842046877644322E-2</v>
      </c>
      <c r="L56" s="21">
        <f t="shared" si="1"/>
        <v>1.2674804489593808E-2</v>
      </c>
      <c r="M56" s="2">
        <f t="shared" si="12"/>
        <v>5.9470089933439108E-2</v>
      </c>
      <c r="N56" s="19">
        <f t="shared" si="25"/>
        <v>197.22262620413429</v>
      </c>
      <c r="O56" s="1">
        <f t="shared" si="13"/>
        <v>30</v>
      </c>
      <c r="P56" s="19">
        <f t="shared" si="14"/>
        <v>22.970999780397158</v>
      </c>
      <c r="Q56" s="18">
        <f t="shared" si="15"/>
        <v>1.9315920783025813</v>
      </c>
      <c r="R56" s="2">
        <f t="shared" si="16"/>
        <v>0.90249646082699608</v>
      </c>
      <c r="S56" s="18">
        <f t="shared" si="17"/>
        <v>1.9466336859830313</v>
      </c>
      <c r="T56" s="18">
        <f t="shared" si="18"/>
        <v>0.29224033205318756</v>
      </c>
      <c r="U56" s="1">
        <f t="shared" si="7"/>
        <v>0</v>
      </c>
      <c r="V56" s="2">
        <f t="shared" si="19"/>
        <v>53.355249824770624</v>
      </c>
      <c r="W56" s="19">
        <f t="shared" si="20"/>
        <v>23.097510746653949</v>
      </c>
      <c r="X56" s="20"/>
      <c r="Y56" s="2">
        <f t="shared" si="21"/>
        <v>3.0982231741256743</v>
      </c>
      <c r="Z56" s="21">
        <f t="shared" si="22"/>
        <v>0.22211930748134667</v>
      </c>
      <c r="AA56" s="2">
        <f t="shared" si="23"/>
        <v>2.3446759655075997</v>
      </c>
      <c r="AB56" s="19">
        <f t="shared" si="26"/>
        <v>13.038673838019189</v>
      </c>
      <c r="AC56" s="2"/>
      <c r="AD56" s="18"/>
      <c r="AE56" s="118"/>
      <c r="AG56" s="2"/>
      <c r="AH56" s="19"/>
      <c r="AI56" s="20"/>
      <c r="AJ56" s="21"/>
      <c r="AK56" s="21"/>
      <c r="AM56" s="19"/>
      <c r="AN56" s="18"/>
      <c r="AO56" s="2"/>
      <c r="AP56" s="18"/>
      <c r="AQ56" s="118"/>
      <c r="AS56" s="2"/>
      <c r="AT56" s="19"/>
      <c r="AU56" s="20"/>
      <c r="AV56" s="21"/>
      <c r="AW56" s="21"/>
      <c r="AY56" s="19"/>
      <c r="AZ56" s="18"/>
      <c r="BA56" s="2"/>
      <c r="BB56" s="18"/>
      <c r="BC56" s="118"/>
      <c r="BE56" s="2"/>
      <c r="BF56" s="19"/>
      <c r="BG56" s="20"/>
      <c r="BH56" s="21"/>
      <c r="BI56" s="21"/>
      <c r="BK56" s="19"/>
      <c r="BL56" s="18"/>
      <c r="BM56" s="2"/>
      <c r="BN56" s="18"/>
      <c r="BO56" s="118"/>
      <c r="BQ56" s="2"/>
      <c r="BR56" s="19"/>
      <c r="BS56" s="20"/>
      <c r="BT56" s="21"/>
      <c r="BU56" s="21"/>
      <c r="BW56" s="19"/>
      <c r="BX56" s="18"/>
      <c r="BY56" s="2"/>
      <c r="BZ56" s="18"/>
      <c r="CA56" s="118"/>
      <c r="CC56" s="2"/>
      <c r="CD56" s="19"/>
      <c r="CE56" s="20"/>
      <c r="CF56" s="21"/>
      <c r="CG56" s="21"/>
      <c r="CI56" s="19"/>
      <c r="CJ56" s="18"/>
      <c r="CK56" s="2"/>
      <c r="CL56" s="18"/>
      <c r="CM56" s="118"/>
      <c r="CO56" s="2"/>
      <c r="CP56" s="19"/>
      <c r="CQ56" s="20"/>
      <c r="CR56" s="21"/>
      <c r="CS56" s="21"/>
    </row>
    <row r="57" spans="1:97" x14ac:dyDescent="0.25">
      <c r="A57" s="1">
        <f t="shared" si="8"/>
        <v>31</v>
      </c>
      <c r="B57" s="19">
        <f t="shared" si="9"/>
        <v>20.083822767641092</v>
      </c>
      <c r="C57" s="18">
        <f t="shared" si="24"/>
        <v>0.46500938018069826</v>
      </c>
      <c r="D57" s="2">
        <f t="shared" si="2"/>
        <v>0.90007528598914721</v>
      </c>
      <c r="E57" s="18">
        <f t="shared" si="10"/>
        <v>0.48001063494718405</v>
      </c>
      <c r="F57" s="21">
        <f t="shared" si="3"/>
        <v>1.8751077910966096E-2</v>
      </c>
      <c r="G57" s="1">
        <f t="shared" si="4"/>
        <v>0</v>
      </c>
      <c r="H57" s="2">
        <f t="shared" si="0"/>
        <v>46.412381671161889</v>
      </c>
      <c r="I57" s="19">
        <f t="shared" si="11"/>
        <v>20.091940117386098</v>
      </c>
      <c r="J57" s="20">
        <f t="shared" si="5"/>
        <v>0.93647925123463371</v>
      </c>
      <c r="K57" s="21">
        <f t="shared" si="6"/>
        <v>9.1961263613092648E-2</v>
      </c>
      <c r="L57" s="21">
        <f t="shared" si="1"/>
        <v>1.3505776575917955E-2</v>
      </c>
      <c r="M57" s="2">
        <f t="shared" si="12"/>
        <v>6.5316746459810518E-2</v>
      </c>
      <c r="N57" s="19">
        <f t="shared" si="25"/>
        <v>198.81509746912175</v>
      </c>
      <c r="O57" s="1">
        <f t="shared" si="13"/>
        <v>31</v>
      </c>
      <c r="P57" s="19">
        <f t="shared" si="14"/>
        <v>23.097510746653949</v>
      </c>
      <c r="Q57" s="18">
        <f t="shared" si="15"/>
        <v>1.9466336859830313</v>
      </c>
      <c r="R57" s="2">
        <f t="shared" si="16"/>
        <v>0.90259560208955414</v>
      </c>
      <c r="S57" s="18">
        <f t="shared" si="17"/>
        <v>1.9616769460178571</v>
      </c>
      <c r="T57" s="18">
        <f t="shared" si="18"/>
        <v>0.29669346962811294</v>
      </c>
      <c r="U57" s="1">
        <f t="shared" si="7"/>
        <v>0</v>
      </c>
      <c r="V57" s="2">
        <f t="shared" si="19"/>
        <v>53.651943294398734</v>
      </c>
      <c r="W57" s="19">
        <f t="shared" si="20"/>
        <v>23.225949478094691</v>
      </c>
      <c r="X57" s="20"/>
      <c r="Y57" s="2">
        <f t="shared" si="21"/>
        <v>3.2266914464746472</v>
      </c>
      <c r="Z57" s="21">
        <f t="shared" si="22"/>
        <v>0.22556557414173589</v>
      </c>
      <c r="AA57" s="2">
        <f t="shared" si="23"/>
        <v>2.4423234002009919</v>
      </c>
      <c r="AB57" s="19">
        <f t="shared" si="26"/>
        <v>13.419081349313972</v>
      </c>
      <c r="AC57" s="2"/>
      <c r="AD57" s="18"/>
      <c r="AE57" s="118"/>
      <c r="AG57" s="2"/>
      <c r="AH57" s="19"/>
      <c r="AI57" s="20"/>
      <c r="AJ57" s="21"/>
      <c r="AK57" s="21"/>
      <c r="AM57" s="19"/>
      <c r="AN57" s="18"/>
      <c r="AO57" s="2"/>
      <c r="AP57" s="18"/>
      <c r="AQ57" s="118"/>
      <c r="AS57" s="2"/>
      <c r="AT57" s="19"/>
      <c r="AU57" s="20"/>
      <c r="AV57" s="21"/>
      <c r="AW57" s="21"/>
      <c r="AY57" s="19"/>
      <c r="AZ57" s="18"/>
      <c r="BA57" s="2"/>
      <c r="BB57" s="18"/>
      <c r="BC57" s="118"/>
      <c r="BE57" s="2"/>
      <c r="BF57" s="19"/>
      <c r="BG57" s="20"/>
      <c r="BH57" s="21"/>
      <c r="BI57" s="21"/>
      <c r="BK57" s="19"/>
      <c r="BL57" s="18"/>
      <c r="BM57" s="2"/>
      <c r="BN57" s="18"/>
      <c r="BO57" s="118"/>
      <c r="BQ57" s="2"/>
      <c r="BR57" s="19"/>
      <c r="BS57" s="20"/>
      <c r="BT57" s="21"/>
      <c r="BU57" s="21"/>
      <c r="BW57" s="19"/>
      <c r="BX57" s="18"/>
      <c r="BY57" s="2"/>
      <c r="BZ57" s="18"/>
      <c r="CA57" s="118"/>
      <c r="CC57" s="2"/>
      <c r="CD57" s="19"/>
      <c r="CE57" s="20"/>
      <c r="CF57" s="21"/>
      <c r="CG57" s="21"/>
      <c r="CI57" s="19"/>
      <c r="CJ57" s="18"/>
      <c r="CK57" s="2"/>
      <c r="CL57" s="18"/>
      <c r="CM57" s="118"/>
      <c r="CO57" s="2"/>
      <c r="CP57" s="19"/>
      <c r="CQ57" s="20"/>
      <c r="CR57" s="21"/>
      <c r="CS57" s="21"/>
    </row>
    <row r="58" spans="1:97" x14ac:dyDescent="0.25">
      <c r="A58" s="1">
        <f t="shared" si="8"/>
        <v>32</v>
      </c>
      <c r="B58" s="19">
        <f t="shared" si="9"/>
        <v>20.091940117386098</v>
      </c>
      <c r="C58" s="18">
        <f t="shared" si="24"/>
        <v>0.48001063494718405</v>
      </c>
      <c r="D58" s="2">
        <f t="shared" si="2"/>
        <v>0.90008256028090117</v>
      </c>
      <c r="E58" s="18">
        <f t="shared" si="10"/>
        <v>0.49501201095186576</v>
      </c>
      <c r="F58" s="21">
        <f t="shared" si="3"/>
        <v>1.9916067368852389E-2</v>
      </c>
      <c r="G58" s="1">
        <f t="shared" si="4"/>
        <v>0</v>
      </c>
      <c r="H58" s="2">
        <f t="shared" si="0"/>
        <v>46.432297738530742</v>
      </c>
      <c r="I58" s="19">
        <f t="shared" si="11"/>
        <v>20.100561791571749</v>
      </c>
      <c r="J58" s="20">
        <f t="shared" si="5"/>
        <v>0.93647727680102033</v>
      </c>
      <c r="K58" s="21">
        <f t="shared" si="6"/>
        <v>0.10058492078380574</v>
      </c>
      <c r="L58" s="21">
        <f t="shared" si="1"/>
        <v>1.4363137412060568E-2</v>
      </c>
      <c r="M58" s="2">
        <f t="shared" si="12"/>
        <v>7.1534554863299946E-2</v>
      </c>
      <c r="N58" s="19">
        <f t="shared" si="25"/>
        <v>200.35780094686632</v>
      </c>
      <c r="O58" s="1">
        <f t="shared" si="13"/>
        <v>32</v>
      </c>
      <c r="P58" s="19">
        <f t="shared" si="14"/>
        <v>23.225949478094691</v>
      </c>
      <c r="Q58" s="18">
        <f t="shared" si="15"/>
        <v>1.9616769460178571</v>
      </c>
      <c r="R58" s="2">
        <f t="shared" si="16"/>
        <v>0.9026957111569538</v>
      </c>
      <c r="S58" s="18">
        <f t="shared" si="17"/>
        <v>1.9767218745371398</v>
      </c>
      <c r="T58" s="18">
        <f t="shared" si="18"/>
        <v>0.30118023637765234</v>
      </c>
      <c r="U58" s="1">
        <f t="shared" si="7"/>
        <v>0</v>
      </c>
      <c r="V58" s="2">
        <f t="shared" si="19"/>
        <v>53.953123530776388</v>
      </c>
      <c r="W58" s="19">
        <f t="shared" si="20"/>
        <v>23.356330532803632</v>
      </c>
      <c r="X58" s="20"/>
      <c r="Y58" s="2">
        <f t="shared" si="21"/>
        <v>3.3571024888261709</v>
      </c>
      <c r="Z58" s="21">
        <f t="shared" si="22"/>
        <v>0.2290387571145972</v>
      </c>
      <c r="AA58" s="2">
        <f t="shared" si="23"/>
        <v>2.5414743773068782</v>
      </c>
      <c r="AB58" s="19">
        <f t="shared" si="26"/>
        <v>13.796571678387071</v>
      </c>
      <c r="AC58" s="2"/>
      <c r="AD58" s="18"/>
      <c r="AE58" s="118"/>
      <c r="AG58" s="2"/>
      <c r="AH58" s="19"/>
      <c r="AI58" s="20"/>
      <c r="AJ58" s="21"/>
      <c r="AK58" s="21"/>
      <c r="AM58" s="19"/>
      <c r="AN58" s="18"/>
      <c r="AO58" s="2"/>
      <c r="AP58" s="18"/>
      <c r="AQ58" s="118"/>
      <c r="AS58" s="2"/>
      <c r="AT58" s="19"/>
      <c r="AU58" s="20"/>
      <c r="AV58" s="21"/>
      <c r="AW58" s="21"/>
      <c r="AY58" s="19"/>
      <c r="AZ58" s="18"/>
      <c r="BA58" s="2"/>
      <c r="BB58" s="18"/>
      <c r="BC58" s="118"/>
      <c r="BE58" s="2"/>
      <c r="BF58" s="19"/>
      <c r="BG58" s="20"/>
      <c r="BH58" s="21"/>
      <c r="BI58" s="21"/>
      <c r="BK58" s="19"/>
      <c r="BL58" s="18"/>
      <c r="BM58" s="2"/>
      <c r="BN58" s="18"/>
      <c r="BO58" s="118"/>
      <c r="BQ58" s="2"/>
      <c r="BR58" s="19"/>
      <c r="BS58" s="20"/>
      <c r="BT58" s="21"/>
      <c r="BU58" s="21"/>
      <c r="BW58" s="19"/>
      <c r="BX58" s="18"/>
      <c r="BY58" s="2"/>
      <c r="BZ58" s="18"/>
      <c r="CA58" s="118"/>
      <c r="CC58" s="2"/>
      <c r="CD58" s="19"/>
      <c r="CE58" s="20"/>
      <c r="CF58" s="21"/>
      <c r="CG58" s="21"/>
      <c r="CI58" s="19"/>
      <c r="CJ58" s="18"/>
      <c r="CK58" s="2"/>
      <c r="CL58" s="18"/>
      <c r="CM58" s="118"/>
      <c r="CO58" s="2"/>
      <c r="CP58" s="19"/>
      <c r="CQ58" s="20"/>
      <c r="CR58" s="21"/>
      <c r="CS58" s="21"/>
    </row>
    <row r="59" spans="1:97" x14ac:dyDescent="0.25">
      <c r="A59" s="1">
        <f t="shared" si="8"/>
        <v>33</v>
      </c>
      <c r="B59" s="19">
        <f t="shared" si="9"/>
        <v>20.100561791571749</v>
      </c>
      <c r="C59" s="18">
        <f t="shared" si="24"/>
        <v>0.49501201095186576</v>
      </c>
      <c r="D59" s="2">
        <f t="shared" si="2"/>
        <v>0.90009028336517638</v>
      </c>
      <c r="E59" s="18">
        <f t="shared" si="10"/>
        <v>0.51001351567461872</v>
      </c>
      <c r="F59" s="21">
        <f t="shared" si="3"/>
        <v>2.111549650170428E-2</v>
      </c>
      <c r="G59" s="1">
        <f t="shared" si="4"/>
        <v>0</v>
      </c>
      <c r="H59" s="2">
        <f t="shared" si="0"/>
        <v>46.45341323503245</v>
      </c>
      <c r="I59" s="19">
        <f t="shared" si="11"/>
        <v>20.109702699148247</v>
      </c>
      <c r="J59" s="20">
        <f t="shared" si="5"/>
        <v>0.93647518216892034</v>
      </c>
      <c r="K59" s="21">
        <f t="shared" si="6"/>
        <v>0.10972793076904369</v>
      </c>
      <c r="L59" s="21">
        <f t="shared" si="1"/>
        <v>1.5246888084890341E-2</v>
      </c>
      <c r="M59" s="2">
        <f t="shared" si="12"/>
        <v>7.8134939315633423E-2</v>
      </c>
      <c r="N59" s="19">
        <f t="shared" si="25"/>
        <v>201.85375268036759</v>
      </c>
      <c r="O59" s="1">
        <f t="shared" si="13"/>
        <v>33</v>
      </c>
      <c r="P59" s="19">
        <f t="shared" si="14"/>
        <v>23.356330532803632</v>
      </c>
      <c r="Q59" s="18">
        <f t="shared" si="15"/>
        <v>1.9767218745371398</v>
      </c>
      <c r="R59" s="2">
        <f t="shared" si="16"/>
        <v>0.90279678076101177</v>
      </c>
      <c r="S59" s="18">
        <f t="shared" si="17"/>
        <v>1.9917684875498234</v>
      </c>
      <c r="T59" s="18">
        <f t="shared" si="18"/>
        <v>0.30570064069190328</v>
      </c>
      <c r="U59" s="1">
        <f t="shared" si="7"/>
        <v>0</v>
      </c>
      <c r="V59" s="2">
        <f t="shared" si="19"/>
        <v>54.258824171468298</v>
      </c>
      <c r="W59" s="19">
        <f t="shared" si="20"/>
        <v>23.4886684724971</v>
      </c>
      <c r="X59" s="20"/>
      <c r="Y59" s="2">
        <f t="shared" si="21"/>
        <v>3.4894708662457652</v>
      </c>
      <c r="Z59" s="21">
        <f t="shared" si="22"/>
        <v>0.23253886896640485</v>
      </c>
      <c r="AA59" s="2">
        <f t="shared" si="23"/>
        <v>2.6421405543486118</v>
      </c>
      <c r="AB59" s="19">
        <f t="shared" si="26"/>
        <v>14.171188909787309</v>
      </c>
      <c r="AC59" s="2"/>
      <c r="AD59" s="18"/>
      <c r="AE59" s="118"/>
      <c r="AG59" s="2"/>
      <c r="AH59" s="19"/>
      <c r="AI59" s="20"/>
      <c r="AJ59" s="21"/>
      <c r="AK59" s="21"/>
      <c r="AM59" s="19"/>
      <c r="AN59" s="18"/>
      <c r="AO59" s="2"/>
      <c r="AP59" s="18"/>
      <c r="AQ59" s="118"/>
      <c r="AS59" s="2"/>
      <c r="AT59" s="19"/>
      <c r="AU59" s="20"/>
      <c r="AV59" s="21"/>
      <c r="AW59" s="21"/>
      <c r="AY59" s="19"/>
      <c r="AZ59" s="18"/>
      <c r="BA59" s="2"/>
      <c r="BB59" s="18"/>
      <c r="BC59" s="118"/>
      <c r="BE59" s="2"/>
      <c r="BF59" s="19"/>
      <c r="BG59" s="20"/>
      <c r="BH59" s="21"/>
      <c r="BI59" s="21"/>
      <c r="BK59" s="19"/>
      <c r="BL59" s="18"/>
      <c r="BM59" s="2"/>
      <c r="BN59" s="18"/>
      <c r="BO59" s="118"/>
      <c r="BQ59" s="2"/>
      <c r="BR59" s="19"/>
      <c r="BS59" s="20"/>
      <c r="BT59" s="21"/>
      <c r="BU59" s="21"/>
      <c r="BW59" s="19"/>
      <c r="BX59" s="18"/>
      <c r="BY59" s="2"/>
      <c r="BZ59" s="18"/>
      <c r="CA59" s="118"/>
      <c r="CC59" s="2"/>
      <c r="CD59" s="19"/>
      <c r="CE59" s="20"/>
      <c r="CF59" s="21"/>
      <c r="CG59" s="21"/>
      <c r="CI59" s="19"/>
      <c r="CJ59" s="18"/>
      <c r="CK59" s="2"/>
      <c r="CL59" s="18"/>
      <c r="CM59" s="118"/>
      <c r="CO59" s="2"/>
      <c r="CP59" s="19"/>
      <c r="CQ59" s="20"/>
      <c r="CR59" s="21"/>
      <c r="CS59" s="21"/>
    </row>
    <row r="60" spans="1:97" x14ac:dyDescent="0.25">
      <c r="A60" s="1">
        <f t="shared" si="8"/>
        <v>34</v>
      </c>
      <c r="B60" s="19">
        <f t="shared" si="9"/>
        <v>20.109702699148247</v>
      </c>
      <c r="C60" s="18">
        <f t="shared" si="24"/>
        <v>0.51001351567461872</v>
      </c>
      <c r="D60" s="2">
        <f t="shared" si="2"/>
        <v>0.90009846802125282</v>
      </c>
      <c r="E60" s="18">
        <f t="shared" si="10"/>
        <v>0.52501515680830624</v>
      </c>
      <c r="F60" s="21">
        <f t="shared" si="3"/>
        <v>2.2349331351994021E-2</v>
      </c>
      <c r="G60" s="1">
        <f t="shared" si="4"/>
        <v>0</v>
      </c>
      <c r="H60" s="2">
        <f t="shared" si="0"/>
        <v>46.475762566384446</v>
      </c>
      <c r="I60" s="19">
        <f t="shared" si="11"/>
        <v>20.11937773436556</v>
      </c>
      <c r="J60" s="20">
        <f t="shared" si="5"/>
        <v>0.93647296392152757</v>
      </c>
      <c r="K60" s="21">
        <f t="shared" si="6"/>
        <v>0.1194051912444571</v>
      </c>
      <c r="L60" s="21">
        <f t="shared" si="1"/>
        <v>1.6157029747009052E-2</v>
      </c>
      <c r="M60" s="2">
        <f t="shared" si="12"/>
        <v>8.5129324487498811E-2</v>
      </c>
      <c r="N60" s="19">
        <f t="shared" si="25"/>
        <v>203.30570258586741</v>
      </c>
      <c r="O60" s="1">
        <f t="shared" si="13"/>
        <v>34</v>
      </c>
      <c r="P60" s="19">
        <f t="shared" si="14"/>
        <v>23.4886684724971</v>
      </c>
      <c r="Q60" s="18">
        <f t="shared" si="15"/>
        <v>1.9917684875498234</v>
      </c>
      <c r="R60" s="2">
        <f t="shared" si="16"/>
        <v>0.90289880346305018</v>
      </c>
      <c r="S60" s="18">
        <f t="shared" si="17"/>
        <v>2.0068168009408742</v>
      </c>
      <c r="T60" s="18">
        <f t="shared" si="18"/>
        <v>0.31025469112550019</v>
      </c>
      <c r="U60" s="1">
        <f t="shared" si="7"/>
        <v>0</v>
      </c>
      <c r="V60" s="2">
        <f t="shared" si="19"/>
        <v>54.569078862593805</v>
      </c>
      <c r="W60" s="19">
        <f t="shared" si="20"/>
        <v>23.62297786259472</v>
      </c>
      <c r="X60" s="20"/>
      <c r="Y60" s="2">
        <f t="shared" si="21"/>
        <v>3.623811147503107</v>
      </c>
      <c r="Z60" s="21">
        <f t="shared" si="22"/>
        <v>0.23606592234841328</v>
      </c>
      <c r="AA60" s="2">
        <f t="shared" si="23"/>
        <v>2.7443335943262799</v>
      </c>
      <c r="AB60" s="19">
        <f t="shared" si="26"/>
        <v>14.54297613331063</v>
      </c>
      <c r="AC60" s="2"/>
      <c r="AD60" s="18"/>
      <c r="AE60" s="118"/>
      <c r="AG60" s="2"/>
      <c r="AH60" s="19"/>
      <c r="AI60" s="20"/>
      <c r="AJ60" s="21"/>
      <c r="AK60" s="21"/>
      <c r="AM60" s="19"/>
      <c r="AN60" s="18"/>
      <c r="AO60" s="2"/>
      <c r="AP60" s="18"/>
      <c r="AQ60" s="118"/>
      <c r="AS60" s="2"/>
      <c r="AT60" s="19"/>
      <c r="AU60" s="20"/>
      <c r="AV60" s="21"/>
      <c r="AW60" s="21"/>
      <c r="AY60" s="19"/>
      <c r="AZ60" s="18"/>
      <c r="BA60" s="2"/>
      <c r="BB60" s="18"/>
      <c r="BC60" s="118"/>
      <c r="BE60" s="2"/>
      <c r="BF60" s="19"/>
      <c r="BG60" s="20"/>
      <c r="BH60" s="21"/>
      <c r="BI60" s="21"/>
      <c r="BK60" s="19"/>
      <c r="BL60" s="18"/>
      <c r="BM60" s="2"/>
      <c r="BN60" s="18"/>
      <c r="BO60" s="118"/>
      <c r="BQ60" s="2"/>
      <c r="BR60" s="19"/>
      <c r="BS60" s="20"/>
      <c r="BT60" s="21"/>
      <c r="BU60" s="21"/>
      <c r="BW60" s="19"/>
      <c r="BX60" s="18"/>
      <c r="BY60" s="2"/>
      <c r="BZ60" s="18"/>
      <c r="CA60" s="118"/>
      <c r="CC60" s="2"/>
      <c r="CD60" s="19"/>
      <c r="CE60" s="20"/>
      <c r="CF60" s="21"/>
      <c r="CG60" s="21"/>
      <c r="CI60" s="19"/>
      <c r="CJ60" s="18"/>
      <c r="CK60" s="2"/>
      <c r="CL60" s="18"/>
      <c r="CM60" s="118"/>
      <c r="CO60" s="2"/>
      <c r="CP60" s="19"/>
      <c r="CQ60" s="20"/>
      <c r="CR60" s="21"/>
      <c r="CS60" s="21"/>
    </row>
    <row r="61" spans="1:97" x14ac:dyDescent="0.25">
      <c r="A61" s="1">
        <f t="shared" si="8"/>
        <v>35</v>
      </c>
      <c r="B61" s="19">
        <f t="shared" si="9"/>
        <v>20.11937773436556</v>
      </c>
      <c r="C61" s="18">
        <f t="shared" si="24"/>
        <v>0.52501515680830624</v>
      </c>
      <c r="D61" s="2">
        <f t="shared" si="2"/>
        <v>0.90010712695786188</v>
      </c>
      <c r="E61" s="18">
        <f t="shared" si="10"/>
        <v>0.54001694225760388</v>
      </c>
      <c r="F61" s="21">
        <f t="shared" si="3"/>
        <v>2.3617539227862267E-2</v>
      </c>
      <c r="G61" s="1">
        <f t="shared" si="4"/>
        <v>0</v>
      </c>
      <c r="H61" s="2">
        <f t="shared" si="0"/>
        <v>46.49938010561231</v>
      </c>
      <c r="I61" s="19">
        <f t="shared" si="11"/>
        <v>20.129601777321344</v>
      </c>
      <c r="J61" s="20">
        <f t="shared" si="5"/>
        <v>0.93647061865470438</v>
      </c>
      <c r="K61" s="21">
        <f t="shared" si="6"/>
        <v>0.12963158573012146</v>
      </c>
      <c r="L61" s="21">
        <f t="shared" si="1"/>
        <v>1.7093563618551206E-2</v>
      </c>
      <c r="M61" s="2">
        <f t="shared" si="12"/>
        <v>9.2529135577780725E-2</v>
      </c>
      <c r="N61" s="19">
        <f t="shared" si="25"/>
        <v>204.71616486735496</v>
      </c>
      <c r="O61" s="1">
        <f t="shared" si="13"/>
        <v>35</v>
      </c>
      <c r="P61" s="19">
        <f t="shared" si="14"/>
        <v>23.62297786259472</v>
      </c>
      <c r="Q61" s="18">
        <f t="shared" si="15"/>
        <v>2.0068168009408742</v>
      </c>
      <c r="R61" s="2">
        <f t="shared" si="16"/>
        <v>0.9030017716590425</v>
      </c>
      <c r="S61" s="18">
        <f t="shared" si="17"/>
        <v>2.0218668304685248</v>
      </c>
      <c r="T61" s="18">
        <f t="shared" si="18"/>
        <v>0.3148423963943886</v>
      </c>
      <c r="U61" s="1">
        <f t="shared" si="7"/>
        <v>0</v>
      </c>
      <c r="V61" s="2">
        <f t="shared" si="19"/>
        <v>54.883921258988195</v>
      </c>
      <c r="W61" s="19">
        <f t="shared" si="20"/>
        <v>23.75927327228926</v>
      </c>
      <c r="X61" s="20"/>
      <c r="Y61" s="2">
        <f t="shared" si="21"/>
        <v>3.7601379051418773</v>
      </c>
      <c r="Z61" s="21">
        <f t="shared" si="22"/>
        <v>0.23961992999494178</v>
      </c>
      <c r="AA61" s="2">
        <f t="shared" si="23"/>
        <v>2.8480651657526614</v>
      </c>
      <c r="AB61" s="19">
        <f t="shared" si="26"/>
        <v>14.911975473728853</v>
      </c>
      <c r="AC61" s="2"/>
      <c r="AD61" s="18"/>
      <c r="AE61" s="118"/>
      <c r="AG61" s="2"/>
      <c r="AH61" s="19"/>
      <c r="AI61" s="20"/>
      <c r="AJ61" s="21"/>
      <c r="AK61" s="21"/>
      <c r="AM61" s="19"/>
      <c r="AN61" s="18"/>
      <c r="AO61" s="2"/>
      <c r="AP61" s="18"/>
      <c r="AQ61" s="118"/>
      <c r="AS61" s="2"/>
      <c r="AT61" s="19"/>
      <c r="AU61" s="20"/>
      <c r="AV61" s="21"/>
      <c r="AW61" s="21"/>
      <c r="AY61" s="19"/>
      <c r="AZ61" s="18"/>
      <c r="BA61" s="2"/>
      <c r="BB61" s="18"/>
      <c r="BC61" s="118"/>
      <c r="BE61" s="2"/>
      <c r="BF61" s="19"/>
      <c r="BG61" s="20"/>
      <c r="BH61" s="21"/>
      <c r="BI61" s="21"/>
      <c r="BK61" s="19"/>
      <c r="BL61" s="18"/>
      <c r="BM61" s="2"/>
      <c r="BN61" s="18"/>
      <c r="BO61" s="118"/>
      <c r="BQ61" s="2"/>
      <c r="BR61" s="19"/>
      <c r="BS61" s="20"/>
      <c r="BT61" s="21"/>
      <c r="BU61" s="21"/>
      <c r="BW61" s="19"/>
      <c r="BX61" s="18"/>
      <c r="BY61" s="2"/>
      <c r="BZ61" s="18"/>
      <c r="CA61" s="118"/>
      <c r="CC61" s="2"/>
      <c r="CD61" s="19"/>
      <c r="CE61" s="20"/>
      <c r="CF61" s="21"/>
      <c r="CG61" s="21"/>
      <c r="CI61" s="19"/>
      <c r="CJ61" s="18"/>
      <c r="CK61" s="2"/>
      <c r="CL61" s="18"/>
      <c r="CM61" s="118"/>
      <c r="CO61" s="2"/>
      <c r="CP61" s="19"/>
      <c r="CQ61" s="20"/>
      <c r="CR61" s="21"/>
      <c r="CS61" s="21"/>
    </row>
    <row r="62" spans="1:97" x14ac:dyDescent="0.25">
      <c r="A62" s="1">
        <f t="shared" si="8"/>
        <v>36</v>
      </c>
      <c r="B62" s="19">
        <f t="shared" si="9"/>
        <v>20.129601777321344</v>
      </c>
      <c r="C62" s="18">
        <f t="shared" si="24"/>
        <v>0.54001694225760388</v>
      </c>
      <c r="D62" s="2">
        <f t="shared" si="2"/>
        <v>0.90011627281049611</v>
      </c>
      <c r="E62" s="18">
        <f t="shared" si="10"/>
        <v>0.55501888013777878</v>
      </c>
      <c r="F62" s="21">
        <f t="shared" si="3"/>
        <v>2.4920088634133777E-2</v>
      </c>
      <c r="G62" s="1">
        <f t="shared" si="4"/>
        <v>0</v>
      </c>
      <c r="H62" s="2">
        <f t="shared" si="0"/>
        <v>46.524300194246436</v>
      </c>
      <c r="I62" s="19">
        <f t="shared" si="11"/>
        <v>20.140389694478976</v>
      </c>
      <c r="J62" s="20">
        <f t="shared" si="5"/>
        <v>0.9364681429773607</v>
      </c>
      <c r="K62" s="21">
        <f t="shared" si="6"/>
        <v>0.14042198410870138</v>
      </c>
      <c r="L62" s="21">
        <f t="shared" si="1"/>
        <v>1.8056490988968454E-2</v>
      </c>
      <c r="M62" s="2">
        <f t="shared" si="12"/>
        <v>0.10034579834356794</v>
      </c>
      <c r="N62" s="19">
        <f t="shared" si="25"/>
        <v>206.08744420683567</v>
      </c>
      <c r="O62" s="1">
        <f t="shared" si="13"/>
        <v>36</v>
      </c>
      <c r="P62" s="19">
        <f t="shared" si="14"/>
        <v>23.75927327228926</v>
      </c>
      <c r="Q62" s="18">
        <f t="shared" si="15"/>
        <v>2.0218668304685248</v>
      </c>
      <c r="R62" s="2">
        <f t="shared" si="16"/>
        <v>0.90310567758479643</v>
      </c>
      <c r="S62" s="18">
        <f t="shared" si="17"/>
        <v>2.0369185917616046</v>
      </c>
      <c r="T62" s="18">
        <f t="shared" si="18"/>
        <v>0.31946376537261617</v>
      </c>
      <c r="U62" s="1">
        <f t="shared" si="7"/>
        <v>0</v>
      </c>
      <c r="V62" s="2">
        <f t="shared" si="19"/>
        <v>55.203385024360806</v>
      </c>
      <c r="W62" s="19">
        <f t="shared" si="20"/>
        <v>23.897569274615066</v>
      </c>
      <c r="X62" s="20"/>
      <c r="Y62" s="2">
        <f t="shared" si="21"/>
        <v>3.8984657155482201</v>
      </c>
      <c r="Z62" s="21">
        <f t="shared" si="22"/>
        <v>0.24320090472165093</v>
      </c>
      <c r="AA62" s="2">
        <f t="shared" si="23"/>
        <v>2.9533469426884409</v>
      </c>
      <c r="AB62" s="19">
        <f t="shared" si="26"/>
        <v>15.278228119416598</v>
      </c>
      <c r="AC62" s="2"/>
      <c r="AD62" s="18"/>
      <c r="AE62" s="118"/>
      <c r="AG62" s="2"/>
      <c r="AH62" s="19"/>
      <c r="AI62" s="20"/>
      <c r="AJ62" s="21"/>
      <c r="AK62" s="21"/>
      <c r="AM62" s="19"/>
      <c r="AN62" s="18"/>
      <c r="AO62" s="2"/>
      <c r="AP62" s="18"/>
      <c r="AQ62" s="118"/>
      <c r="AS62" s="2"/>
      <c r="AT62" s="19"/>
      <c r="AU62" s="20"/>
      <c r="AV62" s="21"/>
      <c r="AW62" s="21"/>
      <c r="AY62" s="19"/>
      <c r="AZ62" s="18"/>
      <c r="BA62" s="2"/>
      <c r="BB62" s="18"/>
      <c r="BC62" s="118"/>
      <c r="BE62" s="2"/>
      <c r="BF62" s="19"/>
      <c r="BG62" s="20"/>
      <c r="BH62" s="21"/>
      <c r="BI62" s="21"/>
      <c r="BK62" s="19"/>
      <c r="BL62" s="18"/>
      <c r="BM62" s="2"/>
      <c r="BN62" s="18"/>
      <c r="BO62" s="118"/>
      <c r="BQ62" s="2"/>
      <c r="BR62" s="19"/>
      <c r="BS62" s="20"/>
      <c r="BT62" s="21"/>
      <c r="BU62" s="21"/>
      <c r="BW62" s="19"/>
      <c r="BX62" s="18"/>
      <c r="BY62" s="2"/>
      <c r="BZ62" s="18"/>
      <c r="CA62" s="118"/>
      <c r="CC62" s="2"/>
      <c r="CD62" s="19"/>
      <c r="CE62" s="20"/>
      <c r="CF62" s="21"/>
      <c r="CG62" s="21"/>
      <c r="CI62" s="19"/>
      <c r="CJ62" s="18"/>
      <c r="CK62" s="2"/>
      <c r="CL62" s="18"/>
      <c r="CM62" s="118"/>
      <c r="CO62" s="2"/>
      <c r="CP62" s="19"/>
      <c r="CQ62" s="20"/>
      <c r="CR62" s="21"/>
      <c r="CS62" s="21"/>
    </row>
    <row r="63" spans="1:97" x14ac:dyDescent="0.25">
      <c r="A63" s="1">
        <f t="shared" si="8"/>
        <v>37</v>
      </c>
      <c r="B63" s="19">
        <f t="shared" si="9"/>
        <v>20.140389694478976</v>
      </c>
      <c r="C63" s="18">
        <f t="shared" si="24"/>
        <v>0.55501888013777878</v>
      </c>
      <c r="D63" s="2">
        <f t="shared" si="2"/>
        <v>0.90012591813862974</v>
      </c>
      <c r="E63" s="18">
        <f t="shared" si="10"/>
        <v>0.57002097877342262</v>
      </c>
      <c r="F63" s="21">
        <f t="shared" si="3"/>
        <v>2.6256949209443728E-2</v>
      </c>
      <c r="G63" s="1">
        <f t="shared" si="4"/>
        <v>0</v>
      </c>
      <c r="H63" s="2">
        <f t="shared" si="0"/>
        <v>46.550557143455883</v>
      </c>
      <c r="I63" s="19">
        <f t="shared" si="11"/>
        <v>20.151756339158389</v>
      </c>
      <c r="J63" s="20">
        <f t="shared" si="5"/>
        <v>0.93646553351184991</v>
      </c>
      <c r="K63" s="21">
        <f t="shared" si="6"/>
        <v>0.15179124311639053</v>
      </c>
      <c r="L63" s="21">
        <f t="shared" si="1"/>
        <v>1.9045813218798176E-2</v>
      </c>
      <c r="M63" s="2">
        <f t="shared" si="12"/>
        <v>0.10859073913092646</v>
      </c>
      <c r="N63" s="19">
        <f t="shared" si="25"/>
        <v>207.42165841537496</v>
      </c>
      <c r="O63" s="1">
        <f t="shared" si="13"/>
        <v>37</v>
      </c>
      <c r="P63" s="19">
        <f t="shared" si="14"/>
        <v>23.897569274615066</v>
      </c>
      <c r="Q63" s="18">
        <f t="shared" si="15"/>
        <v>2.0369185917616046</v>
      </c>
      <c r="R63" s="2">
        <f t="shared" si="16"/>
        <v>0.90321051332116753</v>
      </c>
      <c r="S63" s="18">
        <f t="shared" si="17"/>
        <v>2.0519721003169575</v>
      </c>
      <c r="T63" s="18">
        <f t="shared" si="18"/>
        <v>0.32411880708913843</v>
      </c>
      <c r="U63" s="1">
        <f t="shared" si="7"/>
        <v>0</v>
      </c>
      <c r="V63" s="2">
        <f t="shared" si="19"/>
        <v>55.527503831449941</v>
      </c>
      <c r="W63" s="19">
        <f t="shared" si="20"/>
        <v>24.037880446515125</v>
      </c>
      <c r="X63" s="20"/>
      <c r="Y63" s="2">
        <f t="shared" si="21"/>
        <v>4.0388091590178172</v>
      </c>
      <c r="Z63" s="21">
        <f t="shared" si="22"/>
        <v>0.24680885942381126</v>
      </c>
      <c r="AA63" s="2">
        <f t="shared" si="23"/>
        <v>3.0601906047766709</v>
      </c>
      <c r="AB63" s="19">
        <f t="shared" si="26"/>
        <v>15.64177434992499</v>
      </c>
      <c r="AC63" s="2"/>
      <c r="AD63" s="18"/>
      <c r="AE63" s="118"/>
      <c r="AG63" s="2"/>
      <c r="AH63" s="19"/>
      <c r="AI63" s="20"/>
      <c r="AJ63" s="21"/>
      <c r="AK63" s="21"/>
      <c r="AM63" s="19"/>
      <c r="AN63" s="18"/>
      <c r="AO63" s="2"/>
      <c r="AP63" s="18"/>
      <c r="AQ63" s="118"/>
      <c r="AS63" s="2"/>
      <c r="AT63" s="19"/>
      <c r="AU63" s="20"/>
      <c r="AV63" s="21"/>
      <c r="AW63" s="21"/>
      <c r="AY63" s="19"/>
      <c r="AZ63" s="18"/>
      <c r="BA63" s="2"/>
      <c r="BB63" s="18"/>
      <c r="BC63" s="118"/>
      <c r="BE63" s="2"/>
      <c r="BF63" s="19"/>
      <c r="BG63" s="20"/>
      <c r="BH63" s="21"/>
      <c r="BI63" s="21"/>
      <c r="BK63" s="19"/>
      <c r="BL63" s="18"/>
      <c r="BM63" s="2"/>
      <c r="BN63" s="18"/>
      <c r="BO63" s="118"/>
      <c r="BQ63" s="2"/>
      <c r="BR63" s="19"/>
      <c r="BS63" s="20"/>
      <c r="BT63" s="21"/>
      <c r="BU63" s="21"/>
      <c r="BW63" s="19"/>
      <c r="BX63" s="18"/>
      <c r="BY63" s="2"/>
      <c r="BZ63" s="18"/>
      <c r="CA63" s="118"/>
      <c r="CC63" s="2"/>
      <c r="CD63" s="19"/>
      <c r="CE63" s="20"/>
      <c r="CF63" s="21"/>
      <c r="CG63" s="21"/>
      <c r="CI63" s="19"/>
      <c r="CJ63" s="18"/>
      <c r="CK63" s="2"/>
      <c r="CL63" s="18"/>
      <c r="CM63" s="118"/>
      <c r="CO63" s="2"/>
      <c r="CP63" s="19"/>
      <c r="CQ63" s="20"/>
      <c r="CR63" s="21"/>
      <c r="CS63" s="21"/>
    </row>
    <row r="64" spans="1:97" x14ac:dyDescent="0.25">
      <c r="A64" s="1">
        <f t="shared" si="8"/>
        <v>38</v>
      </c>
      <c r="B64" s="19">
        <f t="shared" si="9"/>
        <v>20.151756339158389</v>
      </c>
      <c r="C64" s="18">
        <f t="shared" si="24"/>
        <v>0.57002097877342262</v>
      </c>
      <c r="D64" s="2">
        <f t="shared" si="2"/>
        <v>0.90013607542284901</v>
      </c>
      <c r="E64" s="18">
        <f t="shared" si="10"/>
        <v>0.58502324669713679</v>
      </c>
      <c r="F64" s="21">
        <f t="shared" si="3"/>
        <v>2.7628091668796054E-2</v>
      </c>
      <c r="G64" s="1">
        <f t="shared" si="4"/>
        <v>0</v>
      </c>
      <c r="H64" s="2">
        <f t="shared" si="0"/>
        <v>46.578185235124678</v>
      </c>
      <c r="I64" s="19">
        <f t="shared" si="11"/>
        <v>20.163716552002025</v>
      </c>
      <c r="J64" s="20">
        <f t="shared" si="5"/>
        <v>0.93646278689438167</v>
      </c>
      <c r="K64" s="21">
        <f t="shared" si="6"/>
        <v>0.16375420680897923</v>
      </c>
      <c r="L64" s="21">
        <f t="shared" si="1"/>
        <v>2.0061531741415541E-2</v>
      </c>
      <c r="M64" s="2">
        <f t="shared" si="12"/>
        <v>0.11727538490643102</v>
      </c>
      <c r="N64" s="19">
        <f t="shared" si="25"/>
        <v>208.7207581037423</v>
      </c>
      <c r="O64" s="1">
        <f t="shared" si="13"/>
        <v>38</v>
      </c>
      <c r="P64" s="19">
        <f t="shared" si="14"/>
        <v>24.037880446515125</v>
      </c>
      <c r="Q64" s="18">
        <f t="shared" si="15"/>
        <v>2.0519721003169575</v>
      </c>
      <c r="R64" s="2">
        <f t="shared" si="16"/>
        <v>0.90331627079929722</v>
      </c>
      <c r="S64" s="18">
        <f t="shared" si="17"/>
        <v>2.067027371496946</v>
      </c>
      <c r="T64" s="18">
        <f t="shared" si="18"/>
        <v>0.32880753072464219</v>
      </c>
      <c r="U64" s="1">
        <f t="shared" si="7"/>
        <v>0</v>
      </c>
      <c r="V64" s="2">
        <f t="shared" si="19"/>
        <v>55.85631136217458</v>
      </c>
      <c r="W64" s="19">
        <f t="shared" si="20"/>
        <v>24.180221368906743</v>
      </c>
      <c r="X64" s="20"/>
      <c r="Y64" s="2">
        <f t="shared" si="21"/>
        <v>4.1811828198215872</v>
      </c>
      <c r="Z64" s="21">
        <f t="shared" si="22"/>
        <v>0.25044380707456571</v>
      </c>
      <c r="AA64" s="2">
        <f t="shared" si="23"/>
        <v>3.168607837276483</v>
      </c>
      <c r="AB64" s="19">
        <f t="shared" si="26"/>
        <v>16.002653562548304</v>
      </c>
      <c r="AC64" s="2"/>
      <c r="AD64" s="18"/>
      <c r="AE64" s="118"/>
      <c r="AG64" s="2"/>
      <c r="AH64" s="19"/>
      <c r="AI64" s="20"/>
      <c r="AJ64" s="21"/>
      <c r="AK64" s="21"/>
      <c r="AM64" s="19"/>
      <c r="AN64" s="18"/>
      <c r="AO64" s="2"/>
      <c r="AP64" s="18"/>
      <c r="AQ64" s="118"/>
      <c r="AS64" s="2"/>
      <c r="AT64" s="19"/>
      <c r="AU64" s="20"/>
      <c r="AV64" s="21"/>
      <c r="AW64" s="21"/>
      <c r="AY64" s="19"/>
      <c r="AZ64" s="18"/>
      <c r="BA64" s="2"/>
      <c r="BB64" s="18"/>
      <c r="BC64" s="118"/>
      <c r="BE64" s="2"/>
      <c r="BF64" s="19"/>
      <c r="BG64" s="20"/>
      <c r="BH64" s="21"/>
      <c r="BI64" s="21"/>
      <c r="BK64" s="19"/>
      <c r="BL64" s="18"/>
      <c r="BM64" s="2"/>
      <c r="BN64" s="18"/>
      <c r="BO64" s="118"/>
      <c r="BQ64" s="2"/>
      <c r="BR64" s="19"/>
      <c r="BS64" s="20"/>
      <c r="BT64" s="21"/>
      <c r="BU64" s="21"/>
      <c r="BW64" s="19"/>
      <c r="BX64" s="18"/>
      <c r="BY64" s="2"/>
      <c r="BZ64" s="18"/>
      <c r="CA64" s="118"/>
      <c r="CC64" s="2"/>
      <c r="CD64" s="19"/>
      <c r="CE64" s="20"/>
      <c r="CF64" s="21"/>
      <c r="CG64" s="21"/>
      <c r="CI64" s="19"/>
      <c r="CJ64" s="18"/>
      <c r="CK64" s="2"/>
      <c r="CL64" s="18"/>
      <c r="CM64" s="118"/>
      <c r="CO64" s="2"/>
      <c r="CP64" s="19"/>
      <c r="CQ64" s="20"/>
      <c r="CR64" s="21"/>
      <c r="CS64" s="21"/>
    </row>
    <row r="65" spans="1:97" x14ac:dyDescent="0.25">
      <c r="A65" s="1">
        <f t="shared" si="8"/>
        <v>39</v>
      </c>
      <c r="B65" s="19">
        <f>I64</f>
        <v>20.163716552002025</v>
      </c>
      <c r="C65" s="18">
        <f>E64</f>
        <v>0.58502324669713679</v>
      </c>
      <c r="D65" s="2">
        <f t="shared" si="2"/>
        <v>0.9001467570619035</v>
      </c>
      <c r="E65" s="18">
        <f t="shared" si="10"/>
        <v>0.60002569264816852</v>
      </c>
      <c r="F65" s="21">
        <f t="shared" si="3"/>
        <v>2.9033487750965981E-2</v>
      </c>
      <c r="G65" s="1">
        <f t="shared" si="4"/>
        <v>0</v>
      </c>
      <c r="H65" s="2">
        <f t="shared" si="0"/>
        <v>46.607218722875643</v>
      </c>
      <c r="I65" s="19">
        <f t="shared" si="11"/>
        <v>20.176285161418026</v>
      </c>
      <c r="J65" s="20">
        <f t="shared" si="5"/>
        <v>0.93645989977545208</v>
      </c>
      <c r="K65" s="21">
        <f t="shared" si="6"/>
        <v>0.17632570700514749</v>
      </c>
      <c r="L65" s="21">
        <f t="shared" si="1"/>
        <v>2.1103648064768384E-2</v>
      </c>
      <c r="M65" s="2">
        <f t="shared" si="12"/>
        <v>0.12641116328944763</v>
      </c>
      <c r="N65" s="19">
        <f t="shared" si="25"/>
        <v>209.9865438311781</v>
      </c>
      <c r="O65" s="1">
        <f t="shared" si="13"/>
        <v>39</v>
      </c>
      <c r="P65" s="19">
        <f t="shared" si="14"/>
        <v>24.180221368906743</v>
      </c>
      <c r="Q65" s="18">
        <f t="shared" si="15"/>
        <v>2.067027371496946</v>
      </c>
      <c r="R65" s="2">
        <f t="shared" si="16"/>
        <v>0.90342294180587146</v>
      </c>
      <c r="S65" s="18">
        <f t="shared" si="17"/>
        <v>2.0820844205270439</v>
      </c>
      <c r="T65" s="18">
        <f t="shared" si="18"/>
        <v>0.33352994560838528</v>
      </c>
      <c r="U65" s="1">
        <f t="shared" si="7"/>
        <v>0</v>
      </c>
      <c r="V65" s="2">
        <f t="shared" si="19"/>
        <v>56.189841307782963</v>
      </c>
      <c r="W65" s="19">
        <f t="shared" si="20"/>
        <v>24.324606626745872</v>
      </c>
      <c r="X65" s="20"/>
      <c r="Y65" s="2">
        <f t="shared" si="21"/>
        <v>4.3256012862700182</v>
      </c>
      <c r="Z65" s="21">
        <f t="shared" si="22"/>
        <v>0.25410576072318664</v>
      </c>
      <c r="AA65" s="2">
        <f t="shared" si="23"/>
        <v>3.2786103310960444</v>
      </c>
      <c r="AB65" s="19">
        <f t="shared" si="26"/>
        <v>16.360904297927348</v>
      </c>
      <c r="AC65" s="2"/>
      <c r="AD65" s="18"/>
      <c r="AE65" s="118"/>
      <c r="AG65" s="2"/>
      <c r="AH65" s="19"/>
      <c r="AI65" s="20"/>
      <c r="AJ65" s="21"/>
      <c r="AK65" s="21"/>
      <c r="AM65" s="19"/>
      <c r="AN65" s="18"/>
      <c r="AO65" s="2"/>
      <c r="AP65" s="18"/>
      <c r="AQ65" s="118"/>
      <c r="AS65" s="2"/>
      <c r="AT65" s="19"/>
      <c r="AU65" s="20"/>
      <c r="AV65" s="21"/>
      <c r="AW65" s="21"/>
      <c r="AY65" s="19"/>
      <c r="AZ65" s="18"/>
      <c r="BA65" s="2"/>
      <c r="BB65" s="18"/>
      <c r="BC65" s="118"/>
      <c r="BE65" s="2"/>
      <c r="BF65" s="19"/>
      <c r="BG65" s="20"/>
      <c r="BH65" s="21"/>
      <c r="BI65" s="21"/>
      <c r="BK65" s="19"/>
      <c r="BL65" s="18"/>
      <c r="BM65" s="2"/>
      <c r="BN65" s="18"/>
      <c r="BO65" s="118"/>
      <c r="BQ65" s="2"/>
      <c r="BR65" s="19"/>
      <c r="BS65" s="20"/>
      <c r="BT65" s="21"/>
      <c r="BU65" s="21"/>
      <c r="BW65" s="19"/>
      <c r="BX65" s="18"/>
      <c r="BY65" s="2"/>
      <c r="BZ65" s="18"/>
      <c r="CA65" s="118"/>
      <c r="CC65" s="2"/>
      <c r="CD65" s="19"/>
      <c r="CE65" s="20"/>
      <c r="CF65" s="21"/>
      <c r="CG65" s="21"/>
      <c r="CI65" s="19"/>
      <c r="CJ65" s="18"/>
      <c r="CK65" s="2"/>
      <c r="CL65" s="18"/>
      <c r="CM65" s="118"/>
      <c r="CO65" s="2"/>
      <c r="CP65" s="19"/>
      <c r="CQ65" s="20"/>
      <c r="CR65" s="21"/>
      <c r="CS65" s="21"/>
    </row>
    <row r="66" spans="1:97" x14ac:dyDescent="0.25">
      <c r="A66" s="1">
        <f t="shared" si="8"/>
        <v>40</v>
      </c>
      <c r="B66" s="19">
        <f t="shared" si="9"/>
        <v>20.176285161418026</v>
      </c>
      <c r="C66" s="18">
        <f t="shared" si="24"/>
        <v>0.60002569264816852</v>
      </c>
      <c r="D66" s="2">
        <f t="shared" si="2"/>
        <v>0.90015797536967856</v>
      </c>
      <c r="E66" s="18">
        <f t="shared" si="10"/>
        <v>0.61502832557099651</v>
      </c>
      <c r="F66" s="21">
        <f t="shared" si="3"/>
        <v>3.0473110170235174E-2</v>
      </c>
      <c r="G66" s="1">
        <f t="shared" si="4"/>
        <v>0</v>
      </c>
      <c r="H66" s="2">
        <f t="shared" si="0"/>
        <v>46.637691833045878</v>
      </c>
      <c r="I66" s="19">
        <f t="shared" si="11"/>
        <v>20.189476984002543</v>
      </c>
      <c r="J66" s="20">
        <f t="shared" si="5"/>
        <v>0.936456868820288</v>
      </c>
      <c r="K66" s="21">
        <f t="shared" si="6"/>
        <v>0.18952056370885934</v>
      </c>
      <c r="L66" s="21">
        <f t="shared" si="1"/>
        <v>2.2172163773094215E-2</v>
      </c>
      <c r="M66" s="2">
        <f t="shared" si="12"/>
        <v>0.1360095025851594</v>
      </c>
      <c r="N66" s="19">
        <f t="shared" si="25"/>
        <v>211.22068111056558</v>
      </c>
      <c r="O66" s="1">
        <f t="shared" si="13"/>
        <v>40</v>
      </c>
      <c r="P66" s="19">
        <f t="shared" si="14"/>
        <v>24.324606626745872</v>
      </c>
      <c r="Q66" s="18">
        <f t="shared" si="15"/>
        <v>2.0820844205270439</v>
      </c>
      <c r="R66" s="2">
        <f t="shared" si="16"/>
        <v>0.90353051798839357</v>
      </c>
      <c r="S66" s="18">
        <f t="shared" si="17"/>
        <v>2.0971432624935171</v>
      </c>
      <c r="T66" s="18">
        <f t="shared" si="18"/>
        <v>0.3382860612150565</v>
      </c>
      <c r="U66" s="1">
        <f t="shared" si="7"/>
        <v>0</v>
      </c>
      <c r="V66" s="2">
        <f t="shared" si="19"/>
        <v>56.528127368998021</v>
      </c>
      <c r="W66" s="19">
        <f t="shared" si="20"/>
        <v>24.471050809090052</v>
      </c>
      <c r="X66" s="20"/>
      <c r="Y66" s="2">
        <f t="shared" si="21"/>
        <v>4.4720791507761373</v>
      </c>
      <c r="Z66" s="21">
        <f t="shared" si="22"/>
        <v>0.25779473349332976</v>
      </c>
      <c r="AA66" s="2">
        <f t="shared" si="23"/>
        <v>3.3902097828247584</v>
      </c>
      <c r="AB66" s="19">
        <f t="shared" si="26"/>
        <v>16.716564264731165</v>
      </c>
      <c r="AC66" s="2"/>
      <c r="AD66" s="18"/>
      <c r="AE66" s="118"/>
      <c r="AG66" s="2"/>
      <c r="AH66" s="19"/>
      <c r="AI66" s="20"/>
      <c r="AJ66" s="21"/>
      <c r="AK66" s="21"/>
      <c r="AM66" s="19"/>
      <c r="AN66" s="18"/>
      <c r="AO66" s="2"/>
      <c r="AP66" s="18"/>
      <c r="AQ66" s="118"/>
      <c r="AS66" s="2"/>
      <c r="AT66" s="19"/>
      <c r="AU66" s="20"/>
      <c r="AV66" s="21"/>
      <c r="AW66" s="21"/>
      <c r="AY66" s="19"/>
      <c r="AZ66" s="18"/>
      <c r="BA66" s="2"/>
      <c r="BB66" s="18"/>
      <c r="BC66" s="118"/>
      <c r="BE66" s="2"/>
      <c r="BF66" s="19"/>
      <c r="BG66" s="20"/>
      <c r="BH66" s="21"/>
      <c r="BI66" s="21"/>
      <c r="BK66" s="19"/>
      <c r="BL66" s="18"/>
      <c r="BM66" s="2"/>
      <c r="BN66" s="18"/>
      <c r="BO66" s="118"/>
      <c r="BQ66" s="2"/>
      <c r="BR66" s="19"/>
      <c r="BS66" s="20"/>
      <c r="BT66" s="21"/>
      <c r="BU66" s="21"/>
      <c r="BW66" s="19"/>
      <c r="BX66" s="18"/>
      <c r="BY66" s="2"/>
      <c r="BZ66" s="18"/>
      <c r="CA66" s="118"/>
      <c r="CC66" s="2"/>
      <c r="CD66" s="19"/>
      <c r="CE66" s="20"/>
      <c r="CF66" s="21"/>
      <c r="CG66" s="21"/>
      <c r="CI66" s="19"/>
      <c r="CJ66" s="18"/>
      <c r="CK66" s="2"/>
      <c r="CL66" s="18"/>
      <c r="CM66" s="118"/>
      <c r="CO66" s="2"/>
      <c r="CP66" s="19"/>
      <c r="CQ66" s="20"/>
      <c r="CR66" s="21"/>
      <c r="CS66" s="21"/>
    </row>
    <row r="67" spans="1:97" x14ac:dyDescent="0.25">
      <c r="A67" s="1">
        <f t="shared" si="8"/>
        <v>41</v>
      </c>
      <c r="B67" s="19">
        <f t="shared" si="9"/>
        <v>20.189476984002543</v>
      </c>
      <c r="C67" s="18">
        <f t="shared" si="24"/>
        <v>0.61502832557099651</v>
      </c>
      <c r="D67" s="2">
        <f t="shared" si="2"/>
        <v>0.9001697425720957</v>
      </c>
      <c r="E67" s="18">
        <f t="shared" si="10"/>
        <v>0.63003115461386483</v>
      </c>
      <c r="F67" s="21">
        <f t="shared" si="3"/>
        <v>3.1946932572012879E-2</v>
      </c>
      <c r="G67" s="1">
        <f t="shared" si="4"/>
        <v>0</v>
      </c>
      <c r="H67" s="2">
        <f t="shared" si="0"/>
        <v>46.66963876561789</v>
      </c>
      <c r="I67" s="19">
        <f t="shared" si="11"/>
        <v>20.20330682494281</v>
      </c>
      <c r="J67" s="20">
        <f t="shared" si="5"/>
        <v>0.93645369070930762</v>
      </c>
      <c r="K67" s="21">
        <f t="shared" si="6"/>
        <v>0.2033535855125409</v>
      </c>
      <c r="L67" s="21">
        <f t="shared" si="1"/>
        <v>2.3267080528618596E-2</v>
      </c>
      <c r="M67" s="2">
        <f t="shared" si="12"/>
        <v>0.14608183181832762</v>
      </c>
      <c r="N67" s="19">
        <f t="shared" si="25"/>
        <v>212.42471358370395</v>
      </c>
      <c r="O67" s="1">
        <f t="shared" si="13"/>
        <v>41</v>
      </c>
      <c r="P67" s="19">
        <f t="shared" si="14"/>
        <v>24.471050809090052</v>
      </c>
      <c r="Q67" s="18">
        <f t="shared" si="15"/>
        <v>2.0971432624935171</v>
      </c>
      <c r="R67" s="2">
        <f t="shared" si="16"/>
        <v>0.90363899086046595</v>
      </c>
      <c r="S67" s="18">
        <f t="shared" si="17"/>
        <v>2.1122039123411915</v>
      </c>
      <c r="T67" s="18">
        <f t="shared" si="18"/>
        <v>0.34307588716165249</v>
      </c>
      <c r="U67" s="1">
        <f t="shared" si="7"/>
        <v>0</v>
      </c>
      <c r="V67" s="2">
        <f t="shared" si="19"/>
        <v>56.871203256159674</v>
      </c>
      <c r="W67" s="19">
        <f t="shared" si="20"/>
        <v>24.619568509160032</v>
      </c>
      <c r="X67" s="20"/>
      <c r="Y67" s="2">
        <f t="shared" si="21"/>
        <v>4.6206310099171324</v>
      </c>
      <c r="Z67" s="21">
        <f t="shared" si="22"/>
        <v>0.2615107385812841</v>
      </c>
      <c r="AA67" s="2">
        <f t="shared" si="23"/>
        <v>3.5034178947647083</v>
      </c>
      <c r="AB67" s="19">
        <f t="shared" si="26"/>
        <v>17.069670363456588</v>
      </c>
      <c r="AC67" s="2"/>
      <c r="AD67" s="18"/>
      <c r="AE67" s="118"/>
      <c r="AG67" s="2"/>
      <c r="AH67" s="19"/>
      <c r="AI67" s="20"/>
      <c r="AJ67" s="21"/>
      <c r="AK67" s="21"/>
      <c r="AM67" s="19"/>
      <c r="AN67" s="18"/>
      <c r="AO67" s="2"/>
      <c r="AP67" s="18"/>
      <c r="AQ67" s="118"/>
      <c r="AS67" s="2"/>
      <c r="AT67" s="19"/>
      <c r="AU67" s="20"/>
      <c r="AV67" s="21"/>
      <c r="AW67" s="21"/>
      <c r="AY67" s="19"/>
      <c r="AZ67" s="18"/>
      <c r="BA67" s="2"/>
      <c r="BB67" s="18"/>
      <c r="BC67" s="118"/>
      <c r="BE67" s="2"/>
      <c r="BF67" s="19"/>
      <c r="BG67" s="20"/>
      <c r="BH67" s="21"/>
      <c r="BI67" s="21"/>
      <c r="BK67" s="19"/>
      <c r="BL67" s="18"/>
      <c r="BM67" s="2"/>
      <c r="BN67" s="18"/>
      <c r="BO67" s="118"/>
      <c r="BQ67" s="2"/>
      <c r="BR67" s="19"/>
      <c r="BS67" s="20"/>
      <c r="BT67" s="21"/>
      <c r="BU67" s="21"/>
      <c r="BW67" s="19"/>
      <c r="BX67" s="18"/>
      <c r="BY67" s="2"/>
      <c r="BZ67" s="18"/>
      <c r="CA67" s="118"/>
      <c r="CC67" s="2"/>
      <c r="CD67" s="19"/>
      <c r="CE67" s="20"/>
      <c r="CF67" s="21"/>
      <c r="CG67" s="21"/>
      <c r="CI67" s="19"/>
      <c r="CJ67" s="18"/>
      <c r="CK67" s="2"/>
      <c r="CL67" s="18"/>
      <c r="CM67" s="118"/>
      <c r="CO67" s="2"/>
      <c r="CP67" s="19"/>
      <c r="CQ67" s="20"/>
      <c r="CR67" s="21"/>
      <c r="CS67" s="21"/>
    </row>
    <row r="68" spans="1:97" x14ac:dyDescent="0.25">
      <c r="A68" s="1">
        <f t="shared" si="8"/>
        <v>42</v>
      </c>
      <c r="B68" s="19">
        <f t="shared" si="9"/>
        <v>20.20330682494281</v>
      </c>
      <c r="C68" s="18">
        <f t="shared" si="24"/>
        <v>0.63003115461386483</v>
      </c>
      <c r="D68" s="2">
        <f t="shared" si="2"/>
        <v>0.90018207080394308</v>
      </c>
      <c r="E68" s="18">
        <f t="shared" si="10"/>
        <v>0.64503418912726385</v>
      </c>
      <c r="F68" s="21">
        <f t="shared" si="3"/>
        <v>3.3454929491951661E-2</v>
      </c>
      <c r="G68" s="1">
        <f t="shared" si="4"/>
        <v>0</v>
      </c>
      <c r="H68" s="2">
        <f t="shared" si="0"/>
        <v>46.703093695109843</v>
      </c>
      <c r="I68" s="19">
        <f t="shared" si="11"/>
        <v>20.21778947840253</v>
      </c>
      <c r="J68" s="20">
        <f t="shared" si="5"/>
        <v>0.93645036213859334</v>
      </c>
      <c r="K68" s="21">
        <f t="shared" si="6"/>
        <v>0.21783956998255596</v>
      </c>
      <c r="L68" s="21">
        <f t="shared" si="1"/>
        <v>2.4388400073234291E-2</v>
      </c>
      <c r="M68" s="2">
        <f t="shared" si="12"/>
        <v>0.1566395807677797</v>
      </c>
      <c r="N68" s="19">
        <f t="shared" si="25"/>
        <v>213.60007462809745</v>
      </c>
      <c r="O68" s="1">
        <f t="shared" si="13"/>
        <v>42</v>
      </c>
      <c r="P68" s="19">
        <f t="shared" si="14"/>
        <v>24.619568509160032</v>
      </c>
      <c r="Q68" s="18">
        <f t="shared" si="15"/>
        <v>2.1122039123411915</v>
      </c>
      <c r="R68" s="2">
        <f t="shared" si="16"/>
        <v>0.90374835180707547</v>
      </c>
      <c r="S68" s="18">
        <f t="shared" si="17"/>
        <v>2.1272663848713096</v>
      </c>
      <c r="T68" s="18">
        <f t="shared" si="18"/>
        <v>0.34789943320437544</v>
      </c>
      <c r="U68" s="1">
        <f t="shared" si="7"/>
        <v>0</v>
      </c>
      <c r="V68" s="2">
        <f t="shared" si="19"/>
        <v>57.21910268936405</v>
      </c>
      <c r="W68" s="19">
        <f t="shared" si="20"/>
        <v>24.770174324400021</v>
      </c>
      <c r="X68" s="20"/>
      <c r="Y68" s="2">
        <f t="shared" si="21"/>
        <v>4.7712714644946272</v>
      </c>
      <c r="Z68" s="21">
        <f t="shared" si="22"/>
        <v>0.26525378925422022</v>
      </c>
      <c r="AA68" s="2">
        <f t="shared" si="23"/>
        <v>3.6182463749613403</v>
      </c>
      <c r="AB68" s="19">
        <f t="shared" si="26"/>
        <v>17.420258709383187</v>
      </c>
      <c r="AC68" s="2"/>
      <c r="AD68" s="18"/>
      <c r="AE68" s="118"/>
      <c r="AG68" s="2"/>
      <c r="AH68" s="19"/>
      <c r="AI68" s="20"/>
      <c r="AJ68" s="21"/>
      <c r="AK68" s="21"/>
      <c r="AM68" s="19"/>
      <c r="AN68" s="18"/>
      <c r="AO68" s="2"/>
      <c r="AP68" s="18"/>
      <c r="AQ68" s="118"/>
      <c r="AS68" s="2"/>
      <c r="AT68" s="19"/>
      <c r="AU68" s="20"/>
      <c r="AV68" s="21"/>
      <c r="AW68" s="21"/>
      <c r="AY68" s="19"/>
      <c r="AZ68" s="18"/>
      <c r="BA68" s="2"/>
      <c r="BB68" s="18"/>
      <c r="BC68" s="118"/>
      <c r="BE68" s="2"/>
      <c r="BF68" s="19"/>
      <c r="BG68" s="20"/>
      <c r="BH68" s="21"/>
      <c r="BI68" s="21"/>
      <c r="BK68" s="19"/>
      <c r="BL68" s="18"/>
      <c r="BM68" s="2"/>
      <c r="BN68" s="18"/>
      <c r="BO68" s="118"/>
      <c r="BQ68" s="2"/>
      <c r="BR68" s="19"/>
      <c r="BS68" s="20"/>
      <c r="BT68" s="21"/>
      <c r="BU68" s="21"/>
      <c r="BW68" s="19"/>
      <c r="BX68" s="18"/>
      <c r="BY68" s="2"/>
      <c r="BZ68" s="18"/>
      <c r="CA68" s="118"/>
      <c r="CC68" s="2"/>
      <c r="CD68" s="19"/>
      <c r="CE68" s="20"/>
      <c r="CF68" s="21"/>
      <c r="CG68" s="21"/>
      <c r="CI68" s="19"/>
      <c r="CJ68" s="18"/>
      <c r="CK68" s="2"/>
      <c r="CL68" s="18"/>
      <c r="CM68" s="118"/>
      <c r="CO68" s="2"/>
      <c r="CP68" s="19"/>
      <c r="CQ68" s="20"/>
      <c r="CR68" s="21"/>
      <c r="CS68" s="21"/>
    </row>
    <row r="69" spans="1:97" x14ac:dyDescent="0.25">
      <c r="A69" s="1">
        <f t="shared" si="8"/>
        <v>43</v>
      </c>
      <c r="B69" s="19">
        <f t="shared" si="9"/>
        <v>20.21778947840253</v>
      </c>
      <c r="C69" s="18">
        <f t="shared" si="24"/>
        <v>0.64503418912726385</v>
      </c>
      <c r="D69" s="2">
        <f t="shared" si="2"/>
        <v>0.90019497210564403</v>
      </c>
      <c r="E69" s="18">
        <f t="shared" si="10"/>
        <v>0.66003743866235787</v>
      </c>
      <c r="F69" s="21">
        <f t="shared" si="3"/>
        <v>3.499707631821352E-2</v>
      </c>
      <c r="G69" s="1">
        <f t="shared" si="4"/>
        <v>0</v>
      </c>
      <c r="H69" s="2">
        <f t="shared" si="0"/>
        <v>46.738090771428055</v>
      </c>
      <c r="I69" s="19">
        <f t="shared" si="11"/>
        <v>20.232939727890933</v>
      </c>
      <c r="J69" s="20">
        <f t="shared" si="5"/>
        <v>0.93644687982037933</v>
      </c>
      <c r="K69" s="21">
        <f t="shared" si="6"/>
        <v>0.23299330402834242</v>
      </c>
      <c r="L69" s="21">
        <f t="shared" si="1"/>
        <v>2.5536124230160315E-2</v>
      </c>
      <c r="M69" s="2">
        <f t="shared" si="12"/>
        <v>0.16769418000161534</v>
      </c>
      <c r="N69" s="19">
        <f t="shared" si="25"/>
        <v>214.74809761411825</v>
      </c>
      <c r="O69" s="1">
        <f t="shared" si="13"/>
        <v>43</v>
      </c>
      <c r="P69" s="19">
        <f t="shared" si="14"/>
        <v>24.770174324400021</v>
      </c>
      <c r="Q69" s="18">
        <f t="shared" si="15"/>
        <v>2.1272663848713096</v>
      </c>
      <c r="R69" s="2">
        <f t="shared" si="16"/>
        <v>0.90385859208987829</v>
      </c>
      <c r="S69" s="18">
        <f t="shared" si="17"/>
        <v>2.1423306947394742</v>
      </c>
      <c r="T69" s="18">
        <f t="shared" si="18"/>
        <v>0.35275670923555125</v>
      </c>
      <c r="U69" s="1">
        <f t="shared" si="7"/>
        <v>0</v>
      </c>
      <c r="V69" s="2">
        <f t="shared" si="19"/>
        <v>57.571859398599599</v>
      </c>
      <c r="W69" s="19">
        <f t="shared" si="20"/>
        <v>24.922882856536624</v>
      </c>
      <c r="X69" s="20"/>
      <c r="Y69" s="2">
        <f t="shared" si="21"/>
        <v>4.924015119593621</v>
      </c>
      <c r="Z69" s="21">
        <f t="shared" si="22"/>
        <v>0.26902389884843847</v>
      </c>
      <c r="AA69" s="2">
        <f t="shared" si="23"/>
        <v>3.7347069372333914</v>
      </c>
      <c r="AB69" s="19">
        <f t="shared" si="26"/>
        <v>17.768364654719313</v>
      </c>
      <c r="AC69" s="2"/>
      <c r="AD69" s="18"/>
      <c r="AE69" s="118"/>
      <c r="AG69" s="2"/>
      <c r="AH69" s="19"/>
      <c r="AI69" s="20"/>
      <c r="AJ69" s="21"/>
      <c r="AK69" s="21"/>
      <c r="AM69" s="19"/>
      <c r="AN69" s="18"/>
      <c r="AO69" s="2"/>
      <c r="AP69" s="18"/>
      <c r="AQ69" s="118"/>
      <c r="AS69" s="2"/>
      <c r="AT69" s="19"/>
      <c r="AU69" s="20"/>
      <c r="AV69" s="21"/>
      <c r="AW69" s="21"/>
      <c r="AY69" s="19"/>
      <c r="AZ69" s="18"/>
      <c r="BA69" s="2"/>
      <c r="BB69" s="18"/>
      <c r="BC69" s="118"/>
      <c r="BE69" s="2"/>
      <c r="BF69" s="19"/>
      <c r="BG69" s="20"/>
      <c r="BH69" s="21"/>
      <c r="BI69" s="21"/>
      <c r="BK69" s="19"/>
      <c r="BL69" s="18"/>
      <c r="BM69" s="2"/>
      <c r="BN69" s="18"/>
      <c r="BO69" s="118"/>
      <c r="BQ69" s="2"/>
      <c r="BR69" s="19"/>
      <c r="BS69" s="20"/>
      <c r="BT69" s="21"/>
      <c r="BU69" s="21"/>
      <c r="BW69" s="19"/>
      <c r="BX69" s="18"/>
      <c r="BY69" s="2"/>
      <c r="BZ69" s="18"/>
      <c r="CA69" s="118"/>
      <c r="CC69" s="2"/>
      <c r="CD69" s="19"/>
      <c r="CE69" s="20"/>
      <c r="CF69" s="21"/>
      <c r="CG69" s="21"/>
      <c r="CI69" s="19"/>
      <c r="CJ69" s="18"/>
      <c r="CK69" s="2"/>
      <c r="CL69" s="18"/>
      <c r="CM69" s="118"/>
      <c r="CO69" s="2"/>
      <c r="CP69" s="19"/>
      <c r="CQ69" s="20"/>
      <c r="CR69" s="21"/>
      <c r="CS69" s="21"/>
    </row>
    <row r="70" spans="1:97" x14ac:dyDescent="0.25">
      <c r="A70" s="1">
        <f t="shared" si="8"/>
        <v>44</v>
      </c>
      <c r="B70" s="19">
        <f t="shared" si="9"/>
        <v>20.232939727890933</v>
      </c>
      <c r="C70" s="18">
        <f t="shared" si="24"/>
        <v>0.66003743866235787</v>
      </c>
      <c r="D70" s="2">
        <f t="shared" si="2"/>
        <v>0.900208458419964</v>
      </c>
      <c r="E70" s="18">
        <f t="shared" si="10"/>
        <v>0.67504091296935731</v>
      </c>
      <c r="F70" s="21">
        <f t="shared" si="3"/>
        <v>3.6573349256582802E-2</v>
      </c>
      <c r="G70" s="1">
        <f t="shared" si="4"/>
        <v>0</v>
      </c>
      <c r="H70" s="2">
        <f t="shared" si="0"/>
        <v>46.774664120684641</v>
      </c>
      <c r="I70" s="19">
        <f t="shared" si="11"/>
        <v>20.248772346616725</v>
      </c>
      <c r="J70" s="20">
        <f t="shared" si="5"/>
        <v>0.93644324048355176</v>
      </c>
      <c r="K70" s="21">
        <f t="shared" si="6"/>
        <v>0.24882956425644279</v>
      </c>
      <c r="L70" s="21">
        <f t="shared" si="1"/>
        <v>2.6710254905580256E-2</v>
      </c>
      <c r="M70" s="2">
        <f t="shared" si="12"/>
        <v>0.17925706091312194</v>
      </c>
      <c r="N70" s="19">
        <f t="shared" si="25"/>
        <v>215.87002499658331</v>
      </c>
      <c r="O70" s="1">
        <f t="shared" si="13"/>
        <v>44</v>
      </c>
      <c r="P70" s="19">
        <f t="shared" si="14"/>
        <v>24.922882856536624</v>
      </c>
      <c r="Q70" s="18">
        <f t="shared" si="15"/>
        <v>2.1423306947394742</v>
      </c>
      <c r="R70" s="2">
        <f t="shared" si="16"/>
        <v>0.90396970285247713</v>
      </c>
      <c r="S70" s="18">
        <f t="shared" si="17"/>
        <v>2.1573968564536821</v>
      </c>
      <c r="T70" s="18">
        <f t="shared" si="18"/>
        <v>0.35764772528056843</v>
      </c>
      <c r="U70" s="1">
        <f t="shared" si="7"/>
        <v>0</v>
      </c>
      <c r="V70" s="2">
        <f t="shared" si="19"/>
        <v>57.929507123880178</v>
      </c>
      <c r="W70" s="19">
        <f t="shared" si="20"/>
        <v>25.07770871163644</v>
      </c>
      <c r="X70" s="20"/>
      <c r="Y70" s="2">
        <f t="shared" si="21"/>
        <v>5.0788765846401072</v>
      </c>
      <c r="Z70" s="21">
        <f t="shared" si="22"/>
        <v>0.27282108076761641</v>
      </c>
      <c r="AA70" s="2">
        <f t="shared" si="23"/>
        <v>3.8528113012020566</v>
      </c>
      <c r="AB70" s="19">
        <f t="shared" si="26"/>
        <v>18.114022809973186</v>
      </c>
      <c r="AC70" s="2"/>
      <c r="AD70" s="18"/>
      <c r="AE70" s="118"/>
      <c r="AG70" s="2"/>
      <c r="AH70" s="19"/>
      <c r="AI70" s="20"/>
      <c r="AJ70" s="21"/>
      <c r="AK70" s="21"/>
      <c r="AM70" s="19"/>
      <c r="AN70" s="18"/>
      <c r="AO70" s="2"/>
      <c r="AP70" s="18"/>
      <c r="AQ70" s="118"/>
      <c r="AS70" s="2"/>
      <c r="AT70" s="19"/>
      <c r="AU70" s="20"/>
      <c r="AV70" s="21"/>
      <c r="AW70" s="21"/>
      <c r="AY70" s="19"/>
      <c r="AZ70" s="18"/>
      <c r="BA70" s="2"/>
      <c r="BB70" s="18"/>
      <c r="BC70" s="118"/>
      <c r="BE70" s="2"/>
      <c r="BF70" s="19"/>
      <c r="BG70" s="20"/>
      <c r="BH70" s="21"/>
      <c r="BI70" s="21"/>
      <c r="BK70" s="19"/>
      <c r="BL70" s="18"/>
      <c r="BM70" s="2"/>
      <c r="BN70" s="18"/>
      <c r="BO70" s="118"/>
      <c r="BQ70" s="2"/>
      <c r="BR70" s="19"/>
      <c r="BS70" s="20"/>
      <c r="BT70" s="21"/>
      <c r="BU70" s="21"/>
      <c r="BW70" s="19"/>
      <c r="BX70" s="18"/>
      <c r="BY70" s="2"/>
      <c r="BZ70" s="18"/>
      <c r="CA70" s="118"/>
      <c r="CC70" s="2"/>
      <c r="CD70" s="19"/>
      <c r="CE70" s="20"/>
      <c r="CF70" s="21"/>
      <c r="CG70" s="21"/>
      <c r="CI70" s="19"/>
      <c r="CJ70" s="18"/>
      <c r="CK70" s="2"/>
      <c r="CL70" s="18"/>
      <c r="CM70" s="118"/>
      <c r="CO70" s="2"/>
      <c r="CP70" s="19"/>
      <c r="CQ70" s="20"/>
      <c r="CR70" s="21"/>
      <c r="CS70" s="21"/>
    </row>
    <row r="71" spans="1:97" x14ac:dyDescent="0.25">
      <c r="A71" s="1">
        <f t="shared" si="8"/>
        <v>45</v>
      </c>
      <c r="B71" s="19">
        <f t="shared" si="9"/>
        <v>20.248772346616725</v>
      </c>
      <c r="C71" s="18">
        <f t="shared" si="24"/>
        <v>0.67504091296935731</v>
      </c>
      <c r="D71" s="2">
        <f t="shared" si="2"/>
        <v>0.90022254158866266</v>
      </c>
      <c r="E71" s="18">
        <f t="shared" si="10"/>
        <v>0.69004462199583505</v>
      </c>
      <c r="F71" s="21">
        <f t="shared" si="3"/>
        <v>3.8183725298157327E-2</v>
      </c>
      <c r="G71" s="1">
        <f t="shared" si="4"/>
        <v>0</v>
      </c>
      <c r="H71" s="2">
        <f t="shared" si="0"/>
        <v>46.812847845982787</v>
      </c>
      <c r="I71" s="19">
        <f t="shared" si="11"/>
        <v>20.265302097828044</v>
      </c>
      <c r="J71" s="20">
        <f t="shared" si="5"/>
        <v>0.93643944087415876</v>
      </c>
      <c r="K71" s="21">
        <f t="shared" si="6"/>
        <v>0.2653631173105449</v>
      </c>
      <c r="L71" s="21">
        <f t="shared" si="1"/>
        <v>2.7910794090259088E-2</v>
      </c>
      <c r="M71" s="2">
        <f t="shared" si="12"/>
        <v>0.19133965575738993</v>
      </c>
      <c r="N71" s="19">
        <f t="shared" si="25"/>
        <v>216.96701639615645</v>
      </c>
      <c r="O71" s="1">
        <f t="shared" si="13"/>
        <v>45</v>
      </c>
      <c r="P71" s="19">
        <f t="shared" si="14"/>
        <v>25.07770871163644</v>
      </c>
      <c r="Q71" s="18">
        <f t="shared" si="15"/>
        <v>2.1573968564536821</v>
      </c>
      <c r="R71" s="2">
        <f t="shared" si="16"/>
        <v>0.90408167512568893</v>
      </c>
      <c r="S71" s="18">
        <f t="shared" si="17"/>
        <v>2.1724648843724434</v>
      </c>
      <c r="T71" s="18">
        <f t="shared" si="18"/>
        <v>0.36257249149484</v>
      </c>
      <c r="U71" s="1">
        <f t="shared" si="7"/>
        <v>0</v>
      </c>
      <c r="V71" s="2">
        <f t="shared" si="19"/>
        <v>58.292079615375016</v>
      </c>
      <c r="W71" s="19">
        <f t="shared" si="20"/>
        <v>25.234666500162344</v>
      </c>
      <c r="X71" s="20"/>
      <c r="Y71" s="2">
        <f t="shared" si="21"/>
        <v>5.2358704734573731</v>
      </c>
      <c r="Z71" s="21">
        <f t="shared" si="22"/>
        <v>0.27664534848105865</v>
      </c>
      <c r="AA71" s="2">
        <f t="shared" si="23"/>
        <v>3.972571192319398</v>
      </c>
      <c r="AB71" s="19">
        <f t="shared" si="26"/>
        <v>18.457267064581327</v>
      </c>
      <c r="AC71" s="2"/>
      <c r="AD71" s="18"/>
      <c r="AE71" s="118"/>
      <c r="AG71" s="2"/>
      <c r="AH71" s="19"/>
      <c r="AI71" s="20"/>
      <c r="AJ71" s="21"/>
      <c r="AK71" s="21"/>
      <c r="AM71" s="19"/>
      <c r="AN71" s="18"/>
      <c r="AO71" s="2"/>
      <c r="AP71" s="18"/>
      <c r="AQ71" s="118"/>
      <c r="AS71" s="2"/>
      <c r="AT71" s="19"/>
      <c r="AU71" s="20"/>
      <c r="AV71" s="21"/>
      <c r="AW71" s="21"/>
      <c r="AY71" s="19"/>
      <c r="AZ71" s="18"/>
      <c r="BA71" s="2"/>
      <c r="BB71" s="18"/>
      <c r="BC71" s="118"/>
      <c r="BE71" s="2"/>
      <c r="BF71" s="19"/>
      <c r="BG71" s="20"/>
      <c r="BH71" s="21"/>
      <c r="BI71" s="21"/>
      <c r="BK71" s="19"/>
      <c r="BL71" s="18"/>
      <c r="BM71" s="2"/>
      <c r="BN71" s="18"/>
      <c r="BO71" s="118"/>
      <c r="BQ71" s="2"/>
      <c r="BR71" s="19"/>
      <c r="BS71" s="20"/>
      <c r="BT71" s="21"/>
      <c r="BU71" s="21"/>
      <c r="BW71" s="19"/>
      <c r="BX71" s="18"/>
      <c r="BY71" s="2"/>
      <c r="BZ71" s="18"/>
      <c r="CA71" s="118"/>
      <c r="CC71" s="2"/>
      <c r="CD71" s="19"/>
      <c r="CE71" s="20"/>
      <c r="CF71" s="21"/>
      <c r="CG71" s="21"/>
      <c r="CI71" s="19"/>
      <c r="CJ71" s="18"/>
      <c r="CK71" s="2"/>
      <c r="CL71" s="18"/>
      <c r="CM71" s="118"/>
      <c r="CO71" s="2"/>
      <c r="CP71" s="19"/>
      <c r="CQ71" s="20"/>
      <c r="CR71" s="21"/>
      <c r="CS71" s="21"/>
    </row>
    <row r="72" spans="1:97" x14ac:dyDescent="0.25">
      <c r="A72" s="1">
        <f t="shared" si="8"/>
        <v>46</v>
      </c>
      <c r="B72" s="19">
        <f t="shared" si="9"/>
        <v>20.265302097828044</v>
      </c>
      <c r="C72" s="18">
        <f t="shared" si="24"/>
        <v>0.69004462199583505</v>
      </c>
      <c r="D72" s="2">
        <f t="shared" si="2"/>
        <v>0.90023723334909633</v>
      </c>
      <c r="E72" s="18">
        <f t="shared" si="10"/>
        <v>0.70504857588498671</v>
      </c>
      <c r="F72" s="21">
        <f t="shared" si="3"/>
        <v>3.9828182189379419E-2</v>
      </c>
      <c r="G72" s="1">
        <f t="shared" si="4"/>
        <v>0</v>
      </c>
      <c r="H72" s="2">
        <f t="shared" si="0"/>
        <v>46.852676028172162</v>
      </c>
      <c r="I72" s="19">
        <f t="shared" si="11"/>
        <v>20.282543735139463</v>
      </c>
      <c r="J72" s="20">
        <f t="shared" si="5"/>
        <v>0.93643547775593639</v>
      </c>
      <c r="K72" s="21">
        <f t="shared" si="6"/>
        <v>0.28260872019854621</v>
      </c>
      <c r="L72" s="21">
        <f t="shared" si="1"/>
        <v>2.9137743861137749E-2</v>
      </c>
      <c r="M72" s="2">
        <f t="shared" si="12"/>
        <v>0.20395339768861839</v>
      </c>
      <c r="N72" s="19">
        <f t="shared" si="25"/>
        <v>218.04015580233801</v>
      </c>
      <c r="O72" s="1">
        <f t="shared" si="13"/>
        <v>46</v>
      </c>
      <c r="P72" s="19">
        <f t="shared" si="14"/>
        <v>25.234666500162344</v>
      </c>
      <c r="Q72" s="18">
        <f t="shared" si="15"/>
        <v>2.1724648843724434</v>
      </c>
      <c r="R72" s="2">
        <f t="shared" si="16"/>
        <v>0.9041944998327951</v>
      </c>
      <c r="S72" s="18">
        <f t="shared" si="17"/>
        <v>2.1875347927029902</v>
      </c>
      <c r="T72" s="18">
        <f t="shared" si="18"/>
        <v>0.36753101816078609</v>
      </c>
      <c r="U72" s="1">
        <f t="shared" si="7"/>
        <v>0</v>
      </c>
      <c r="V72" s="2">
        <f t="shared" si="19"/>
        <v>58.659610633535799</v>
      </c>
      <c r="W72" s="19">
        <f t="shared" si="20"/>
        <v>25.393770837028484</v>
      </c>
      <c r="X72" s="20"/>
      <c r="Y72" s="2">
        <f t="shared" si="21"/>
        <v>5.3950114043209938</v>
      </c>
      <c r="Z72" s="21">
        <f t="shared" si="22"/>
        <v>0.28049671552194766</v>
      </c>
      <c r="AA72" s="2">
        <f t="shared" si="23"/>
        <v>4.0939983418959986</v>
      </c>
      <c r="AB72" s="19">
        <f t="shared" si="26"/>
        <v>18.798130606825097</v>
      </c>
      <c r="AC72" s="2"/>
      <c r="AD72" s="18"/>
      <c r="AE72" s="118"/>
      <c r="AG72" s="2"/>
      <c r="AH72" s="19"/>
      <c r="AI72" s="20"/>
      <c r="AJ72" s="21"/>
      <c r="AK72" s="21"/>
      <c r="AM72" s="19"/>
      <c r="AN72" s="18"/>
      <c r="AO72" s="2"/>
      <c r="AP72" s="18"/>
      <c r="AQ72" s="118"/>
      <c r="AS72" s="2"/>
      <c r="AT72" s="19"/>
      <c r="AU72" s="20"/>
      <c r="AV72" s="21"/>
      <c r="AW72" s="21"/>
      <c r="AY72" s="19"/>
      <c r="AZ72" s="18"/>
      <c r="BA72" s="2"/>
      <c r="BB72" s="18"/>
      <c r="BC72" s="118"/>
      <c r="BE72" s="2"/>
      <c r="BF72" s="19"/>
      <c r="BG72" s="20"/>
      <c r="BH72" s="21"/>
      <c r="BI72" s="21"/>
      <c r="BK72" s="19"/>
      <c r="BL72" s="18"/>
      <c r="BM72" s="2"/>
      <c r="BN72" s="18"/>
      <c r="BO72" s="118"/>
      <c r="BQ72" s="2"/>
      <c r="BR72" s="19"/>
      <c r="BS72" s="20"/>
      <c r="BT72" s="21"/>
      <c r="BU72" s="21"/>
      <c r="BW72" s="19"/>
      <c r="BX72" s="18"/>
      <c r="BY72" s="2"/>
      <c r="BZ72" s="18"/>
      <c r="CA72" s="118"/>
      <c r="CC72" s="2"/>
      <c r="CD72" s="19"/>
      <c r="CE72" s="20"/>
      <c r="CF72" s="21"/>
      <c r="CG72" s="21"/>
      <c r="CI72" s="19"/>
      <c r="CJ72" s="18"/>
      <c r="CK72" s="2"/>
      <c r="CL72" s="18"/>
      <c r="CM72" s="118"/>
      <c r="CO72" s="2"/>
      <c r="CP72" s="19"/>
      <c r="CQ72" s="20"/>
      <c r="CR72" s="21"/>
      <c r="CS72" s="21"/>
    </row>
    <row r="73" spans="1:97" x14ac:dyDescent="0.25">
      <c r="A73" s="1">
        <f t="shared" si="8"/>
        <v>47</v>
      </c>
      <c r="B73" s="19">
        <f t="shared" si="9"/>
        <v>20.282543735139463</v>
      </c>
      <c r="C73" s="18">
        <f t="shared" si="24"/>
        <v>0.70504857588498671</v>
      </c>
      <c r="D73" s="2">
        <f t="shared" si="2"/>
        <v>0.90025254533077104</v>
      </c>
      <c r="E73" s="18">
        <f t="shared" si="10"/>
        <v>0.72005278497383285</v>
      </c>
      <c r="F73" s="21">
        <f t="shared" si="3"/>
        <v>4.1506698404194541E-2</v>
      </c>
      <c r="G73" s="1">
        <f t="shared" si="4"/>
        <v>0</v>
      </c>
      <c r="H73" s="2">
        <f t="shared" si="0"/>
        <v>46.894182726576354</v>
      </c>
      <c r="I73" s="19">
        <f t="shared" si="11"/>
        <v>20.300512002846904</v>
      </c>
      <c r="J73" s="20">
        <f t="shared" si="5"/>
        <v>0.93643134791083937</v>
      </c>
      <c r="K73" s="21">
        <f t="shared" si="6"/>
        <v>0.30058112060756248</v>
      </c>
      <c r="L73" s="21">
        <f t="shared" si="1"/>
        <v>3.0391106382904633E-2</v>
      </c>
      <c r="M73" s="2">
        <f t="shared" si="12"/>
        <v>0.21710972079810092</v>
      </c>
      <c r="N73" s="19">
        <f t="shared" si="25"/>
        <v>219.09045801017933</v>
      </c>
      <c r="O73" s="1">
        <f t="shared" si="13"/>
        <v>47</v>
      </c>
      <c r="P73" s="19">
        <f t="shared" si="14"/>
        <v>25.393770837028484</v>
      </c>
      <c r="Q73" s="18">
        <f t="shared" si="15"/>
        <v>2.1875347927029902</v>
      </c>
      <c r="R73" s="2">
        <f t="shared" si="16"/>
        <v>0.90430816779477163</v>
      </c>
      <c r="S73" s="18">
        <f t="shared" si="17"/>
        <v>2.2026065954995699</v>
      </c>
      <c r="T73" s="18">
        <f t="shared" si="18"/>
        <v>0.37252331568484243</v>
      </c>
      <c r="U73" s="1">
        <f t="shared" si="7"/>
        <v>0</v>
      </c>
      <c r="V73" s="2">
        <f t="shared" si="19"/>
        <v>59.032133949220643</v>
      </c>
      <c r="W73" s="19">
        <f t="shared" si="20"/>
        <v>25.555036341653956</v>
      </c>
      <c r="X73" s="20"/>
      <c r="Y73" s="2">
        <f t="shared" si="21"/>
        <v>5.5563140000125308</v>
      </c>
      <c r="Z73" s="21">
        <f t="shared" si="22"/>
        <v>0.28437519548559936</v>
      </c>
      <c r="AA73" s="2">
        <f t="shared" si="23"/>
        <v>4.2171044871278598</v>
      </c>
      <c r="AB73" s="19">
        <f t="shared" si="26"/>
        <v>19.136645943064568</v>
      </c>
      <c r="AC73" s="2"/>
      <c r="AD73" s="18"/>
      <c r="AE73" s="118"/>
      <c r="AG73" s="2"/>
      <c r="AH73" s="19"/>
      <c r="AI73" s="20"/>
      <c r="AJ73" s="21"/>
      <c r="AK73" s="21"/>
      <c r="AM73" s="19"/>
      <c r="AN73" s="18"/>
      <c r="AO73" s="2"/>
      <c r="AP73" s="18"/>
      <c r="AQ73" s="118"/>
      <c r="AS73" s="2"/>
      <c r="AT73" s="19"/>
      <c r="AU73" s="20"/>
      <c r="AV73" s="21"/>
      <c r="AW73" s="21"/>
      <c r="AY73" s="19"/>
      <c r="AZ73" s="18"/>
      <c r="BA73" s="2"/>
      <c r="BB73" s="18"/>
      <c r="BC73" s="118"/>
      <c r="BE73" s="2"/>
      <c r="BF73" s="19"/>
      <c r="BG73" s="20"/>
      <c r="BH73" s="21"/>
      <c r="BI73" s="21"/>
      <c r="BK73" s="19"/>
      <c r="BL73" s="18"/>
      <c r="BM73" s="2"/>
      <c r="BN73" s="18"/>
      <c r="BO73" s="118"/>
      <c r="BQ73" s="2"/>
      <c r="BR73" s="19"/>
      <c r="BS73" s="20"/>
      <c r="BT73" s="21"/>
      <c r="BU73" s="21"/>
      <c r="BW73" s="19"/>
      <c r="BX73" s="18"/>
      <c r="BY73" s="2"/>
      <c r="BZ73" s="18"/>
      <c r="CA73" s="118"/>
      <c r="CC73" s="2"/>
      <c r="CD73" s="19"/>
      <c r="CE73" s="20"/>
      <c r="CF73" s="21"/>
      <c r="CG73" s="21"/>
      <c r="CI73" s="19"/>
      <c r="CJ73" s="18"/>
      <c r="CK73" s="2"/>
      <c r="CL73" s="18"/>
      <c r="CM73" s="118"/>
      <c r="CO73" s="2"/>
      <c r="CP73" s="19"/>
      <c r="CQ73" s="20"/>
      <c r="CR73" s="21"/>
      <c r="CS73" s="21"/>
    </row>
    <row r="74" spans="1:97" x14ac:dyDescent="0.25">
      <c r="A74" s="1">
        <f t="shared" si="8"/>
        <v>48</v>
      </c>
      <c r="B74" s="19">
        <f t="shared" si="9"/>
        <v>20.300512002846904</v>
      </c>
      <c r="C74" s="18">
        <f t="shared" si="24"/>
        <v>0.72005278497383285</v>
      </c>
      <c r="D74" s="2">
        <f t="shared" si="2"/>
        <v>0.90026848905185541</v>
      </c>
      <c r="E74" s="18">
        <f t="shared" si="10"/>
        <v>0.73505725979136383</v>
      </c>
      <c r="F74" s="21">
        <f t="shared" si="3"/>
        <v>4.3219253118148615E-2</v>
      </c>
      <c r="G74" s="1">
        <f t="shared" si="4"/>
        <v>0</v>
      </c>
      <c r="H74" s="2">
        <f t="shared" si="0"/>
        <v>46.937401979694499</v>
      </c>
      <c r="I74" s="19">
        <f t="shared" si="11"/>
        <v>20.319221636231383</v>
      </c>
      <c r="J74" s="20">
        <f t="shared" si="5"/>
        <v>0.93642704813958666</v>
      </c>
      <c r="K74" s="21">
        <f t="shared" si="6"/>
        <v>0.31929505720772083</v>
      </c>
      <c r="L74" s="21">
        <f t="shared" si="1"/>
        <v>3.1670883909543424E-2</v>
      </c>
      <c r="M74" s="2">
        <f t="shared" si="12"/>
        <v>0.23082006015288162</v>
      </c>
      <c r="N74" s="19">
        <f t="shared" si="25"/>
        <v>220.11887438650695</v>
      </c>
      <c r="O74" s="1">
        <f t="shared" si="13"/>
        <v>48</v>
      </c>
      <c r="P74" s="19">
        <f t="shared" si="14"/>
        <v>25.555036341653956</v>
      </c>
      <c r="Q74" s="18">
        <f t="shared" si="15"/>
        <v>2.2026065954995699</v>
      </c>
      <c r="R74" s="2">
        <f t="shared" si="16"/>
        <v>0.90442266973549501</v>
      </c>
      <c r="S74" s="18">
        <f t="shared" si="17"/>
        <v>2.217680306661828</v>
      </c>
      <c r="T74" s="18">
        <f t="shared" si="18"/>
        <v>0.37754939459449022</v>
      </c>
      <c r="U74" s="1">
        <f t="shared" si="7"/>
        <v>0</v>
      </c>
      <c r="V74" s="2">
        <f t="shared" si="19"/>
        <v>59.409683343815132</v>
      </c>
      <c r="W74" s="19">
        <f t="shared" si="20"/>
        <v>25.718477638015209</v>
      </c>
      <c r="X74" s="20"/>
      <c r="Y74" s="2">
        <f t="shared" si="21"/>
        <v>5.7197928878719448</v>
      </c>
      <c r="Z74" s="21">
        <f t="shared" si="22"/>
        <v>0.28828080202772099</v>
      </c>
      <c r="AA74" s="2">
        <f t="shared" si="23"/>
        <v>4.3419013711225443</v>
      </c>
      <c r="AB74" s="19">
        <f t="shared" si="26"/>
        <v>19.472844916317637</v>
      </c>
      <c r="AC74" s="2"/>
      <c r="AD74" s="18"/>
      <c r="AE74" s="118"/>
      <c r="AG74" s="2"/>
      <c r="AH74" s="19"/>
      <c r="AI74" s="20"/>
      <c r="AJ74" s="21"/>
      <c r="AK74" s="21"/>
      <c r="AM74" s="19"/>
      <c r="AN74" s="18"/>
      <c r="AO74" s="2"/>
      <c r="AP74" s="18"/>
      <c r="AQ74" s="118"/>
      <c r="AS74" s="2"/>
      <c r="AT74" s="19"/>
      <c r="AU74" s="20"/>
      <c r="AV74" s="21"/>
      <c r="AW74" s="21"/>
      <c r="AY74" s="19"/>
      <c r="AZ74" s="18"/>
      <c r="BA74" s="2"/>
      <c r="BB74" s="18"/>
      <c r="BC74" s="118"/>
      <c r="BE74" s="2"/>
      <c r="BF74" s="19"/>
      <c r="BG74" s="20"/>
      <c r="BH74" s="21"/>
      <c r="BI74" s="21"/>
      <c r="BK74" s="19"/>
      <c r="BL74" s="18"/>
      <c r="BM74" s="2"/>
      <c r="BN74" s="18"/>
      <c r="BO74" s="118"/>
      <c r="BQ74" s="2"/>
      <c r="BR74" s="19"/>
      <c r="BS74" s="20"/>
      <c r="BT74" s="21"/>
      <c r="BU74" s="21"/>
      <c r="BW74" s="19"/>
      <c r="BX74" s="18"/>
      <c r="BY74" s="2"/>
      <c r="BZ74" s="18"/>
      <c r="CA74" s="118"/>
      <c r="CC74" s="2"/>
      <c r="CD74" s="19"/>
      <c r="CE74" s="20"/>
      <c r="CF74" s="21"/>
      <c r="CG74" s="21"/>
      <c r="CI74" s="19"/>
      <c r="CJ74" s="18"/>
      <c r="CK74" s="2"/>
      <c r="CL74" s="18"/>
      <c r="CM74" s="118"/>
      <c r="CO74" s="2"/>
      <c r="CP74" s="19"/>
      <c r="CQ74" s="20"/>
      <c r="CR74" s="21"/>
      <c r="CS74" s="21"/>
    </row>
    <row r="75" spans="1:97" x14ac:dyDescent="0.25">
      <c r="A75" s="1">
        <f t="shared" si="8"/>
        <v>49</v>
      </c>
      <c r="B75" s="19">
        <f t="shared" si="9"/>
        <v>20.319221636231383</v>
      </c>
      <c r="C75" s="18">
        <f t="shared" si="24"/>
        <v>0.73505725979136383</v>
      </c>
      <c r="D75" s="2">
        <f t="shared" si="2"/>
        <v>0.90028507591565443</v>
      </c>
      <c r="E75" s="18">
        <f t="shared" si="10"/>
        <v>0.75006201105662473</v>
      </c>
      <c r="F75" s="21">
        <f t="shared" si="3"/>
        <v>4.4965826184254425E-2</v>
      </c>
      <c r="G75" s="1">
        <f t="shared" si="4"/>
        <v>0</v>
      </c>
      <c r="H75" s="2">
        <f t="shared" si="0"/>
        <v>46.982367805878745</v>
      </c>
      <c r="I75" s="19">
        <f t="shared" si="11"/>
        <v>20.338687361852269</v>
      </c>
      <c r="J75" s="20">
        <f t="shared" si="5"/>
        <v>0.93642257526221429</v>
      </c>
      <c r="K75" s="21">
        <f t="shared" si="6"/>
        <v>0.33876525994550299</v>
      </c>
      <c r="L75" s="21">
        <f t="shared" si="1"/>
        <v>3.2977078785856276E-2</v>
      </c>
      <c r="M75" s="2">
        <f t="shared" si="12"/>
        <v>0.24509585183507049</v>
      </c>
      <c r="N75" s="19">
        <f t="shared" si="25"/>
        <v>221.12629804775693</v>
      </c>
      <c r="O75" s="1">
        <f t="shared" si="13"/>
        <v>49</v>
      </c>
      <c r="P75" s="19">
        <f t="shared" si="14"/>
        <v>25.718477638015209</v>
      </c>
      <c r="Q75" s="18">
        <f t="shared" si="15"/>
        <v>2.217680306661828</v>
      </c>
      <c r="R75" s="2">
        <f t="shared" si="16"/>
        <v>0.904537996286916</v>
      </c>
      <c r="S75" s="18">
        <f t="shared" si="17"/>
        <v>2.2327559399332766</v>
      </c>
      <c r="T75" s="18">
        <f t="shared" si="18"/>
        <v>0.38260926553531349</v>
      </c>
      <c r="U75" s="1">
        <f t="shared" si="7"/>
        <v>0</v>
      </c>
      <c r="V75" s="2">
        <f t="shared" si="19"/>
        <v>59.792292609350447</v>
      </c>
      <c r="W75" s="19">
        <f t="shared" si="20"/>
        <v>25.884109354697163</v>
      </c>
      <c r="X75" s="20"/>
      <c r="Y75" s="2">
        <f t="shared" si="21"/>
        <v>5.8854626998487358</v>
      </c>
      <c r="Z75" s="21">
        <f t="shared" si="22"/>
        <v>0.29221354886267642</v>
      </c>
      <c r="AA75" s="2">
        <f t="shared" si="23"/>
        <v>4.4684007429245689</v>
      </c>
      <c r="AB75" s="19">
        <f t="shared" si="26"/>
        <v>19.806758724210919</v>
      </c>
      <c r="AC75" s="2"/>
      <c r="AD75" s="18"/>
      <c r="AE75" s="118"/>
      <c r="AG75" s="2"/>
      <c r="AH75" s="19"/>
      <c r="AI75" s="20"/>
      <c r="AJ75" s="21"/>
      <c r="AK75" s="21"/>
      <c r="AM75" s="19"/>
      <c r="AN75" s="18"/>
      <c r="AO75" s="2"/>
      <c r="AP75" s="18"/>
      <c r="AQ75" s="118"/>
      <c r="AS75" s="2"/>
      <c r="AT75" s="19"/>
      <c r="AU75" s="20"/>
      <c r="AV75" s="21"/>
      <c r="AW75" s="21"/>
      <c r="AY75" s="19"/>
      <c r="AZ75" s="18"/>
      <c r="BA75" s="2"/>
      <c r="BB75" s="18"/>
      <c r="BC75" s="118"/>
      <c r="BE75" s="2"/>
      <c r="BF75" s="19"/>
      <c r="BG75" s="20"/>
      <c r="BH75" s="21"/>
      <c r="BI75" s="21"/>
      <c r="BK75" s="19"/>
      <c r="BL75" s="18"/>
      <c r="BM75" s="2"/>
      <c r="BN75" s="18"/>
      <c r="BO75" s="118"/>
      <c r="BQ75" s="2"/>
      <c r="BR75" s="19"/>
      <c r="BS75" s="20"/>
      <c r="BT75" s="21"/>
      <c r="BU75" s="21"/>
      <c r="BW75" s="19"/>
      <c r="BX75" s="18"/>
      <c r="BY75" s="2"/>
      <c r="BZ75" s="18"/>
      <c r="CA75" s="118"/>
      <c r="CC75" s="2"/>
      <c r="CD75" s="19"/>
      <c r="CE75" s="20"/>
      <c r="CF75" s="21"/>
      <c r="CG75" s="21"/>
      <c r="CI75" s="19"/>
      <c r="CJ75" s="18"/>
      <c r="CK75" s="2"/>
      <c r="CL75" s="18"/>
      <c r="CM75" s="118"/>
      <c r="CO75" s="2"/>
      <c r="CP75" s="19"/>
      <c r="CQ75" s="20"/>
      <c r="CR75" s="21"/>
      <c r="CS75" s="21"/>
    </row>
    <row r="76" spans="1:97" x14ac:dyDescent="0.25">
      <c r="A76" s="1">
        <f t="shared" si="8"/>
        <v>50</v>
      </c>
      <c r="B76" s="19">
        <f t="shared" si="9"/>
        <v>20.338687361852269</v>
      </c>
      <c r="C76" s="18">
        <f t="shared" si="24"/>
        <v>0.75006201105662473</v>
      </c>
      <c r="D76" s="2">
        <f t="shared" si="2"/>
        <v>0.90030231720704967</v>
      </c>
      <c r="E76" s="18">
        <f t="shared" si="10"/>
        <v>0.76506704967674222</v>
      </c>
      <c r="F76" s="21">
        <f t="shared" si="3"/>
        <v>4.6746398110475561E-2</v>
      </c>
      <c r="G76" s="1">
        <f t="shared" si="4"/>
        <v>0</v>
      </c>
      <c r="H76" s="2">
        <f t="shared" si="0"/>
        <v>47.029114203989224</v>
      </c>
      <c r="I76" s="19">
        <f t="shared" si="11"/>
        <v>20.358923897830831</v>
      </c>
      <c r="J76" s="20">
        <f t="shared" si="5"/>
        <v>0.93641792611863828</v>
      </c>
      <c r="K76" s="21">
        <f t="shared" si="6"/>
        <v>0.35900645032733891</v>
      </c>
      <c r="L76" s="21">
        <f t="shared" si="1"/>
        <v>3.4309693448961766E-2</v>
      </c>
      <c r="M76" s="2">
        <f t="shared" si="12"/>
        <v>0.2599485329818072</v>
      </c>
      <c r="N76" s="19">
        <f t="shared" si="25"/>
        <v>222.11356852002658</v>
      </c>
      <c r="O76" s="1">
        <f t="shared" si="13"/>
        <v>50</v>
      </c>
      <c r="P76" s="19">
        <f t="shared" si="14"/>
        <v>25.884109354697163</v>
      </c>
      <c r="Q76" s="18">
        <f t="shared" si="15"/>
        <v>2.2327559399332766</v>
      </c>
      <c r="R76" s="2">
        <f t="shared" si="16"/>
        <v>0.90465413799420291</v>
      </c>
      <c r="S76" s="18">
        <f t="shared" si="17"/>
        <v>2.2478335088998467</v>
      </c>
      <c r="T76" s="18">
        <f t="shared" si="18"/>
        <v>0.38770293926807975</v>
      </c>
      <c r="U76" s="1">
        <f t="shared" si="7"/>
        <v>0</v>
      </c>
      <c r="V76" s="2">
        <f t="shared" si="19"/>
        <v>60.179995548618528</v>
      </c>
      <c r="W76" s="19">
        <f t="shared" si="20"/>
        <v>26.051946124943086</v>
      </c>
      <c r="X76" s="20"/>
      <c r="Y76" s="2">
        <f t="shared" si="21"/>
        <v>6.0533380725518144</v>
      </c>
      <c r="Z76" s="21">
        <f t="shared" si="22"/>
        <v>0.29617344976175586</v>
      </c>
      <c r="AA76" s="2">
        <f t="shared" si="23"/>
        <v>4.596614357540048</v>
      </c>
      <c r="AB76" s="19">
        <f t="shared" si="26"/>
        <v>20.138417936327727</v>
      </c>
      <c r="AC76" s="2"/>
      <c r="AD76" s="18"/>
      <c r="AE76" s="118"/>
      <c r="AG76" s="2"/>
      <c r="AH76" s="19"/>
      <c r="AI76" s="20"/>
      <c r="AJ76" s="21"/>
      <c r="AK76" s="21"/>
      <c r="AM76" s="19"/>
      <c r="AN76" s="18"/>
      <c r="AO76" s="2"/>
      <c r="AP76" s="18"/>
      <c r="AQ76" s="118"/>
      <c r="AS76" s="2"/>
      <c r="AT76" s="19"/>
      <c r="AU76" s="20"/>
      <c r="AV76" s="21"/>
      <c r="AW76" s="21"/>
      <c r="AY76" s="19"/>
      <c r="AZ76" s="18"/>
      <c r="BA76" s="2"/>
      <c r="BB76" s="18"/>
      <c r="BC76" s="118"/>
      <c r="BE76" s="2"/>
      <c r="BF76" s="19"/>
      <c r="BG76" s="20"/>
      <c r="BH76" s="21"/>
      <c r="BI76" s="21"/>
      <c r="BK76" s="19"/>
      <c r="BL76" s="18"/>
      <c r="BM76" s="2"/>
      <c r="BN76" s="18"/>
      <c r="BO76" s="118"/>
      <c r="BQ76" s="2"/>
      <c r="BR76" s="19"/>
      <c r="BS76" s="20"/>
      <c r="BT76" s="21"/>
      <c r="BU76" s="21"/>
      <c r="BW76" s="19"/>
      <c r="BX76" s="18"/>
      <c r="BY76" s="2"/>
      <c r="BZ76" s="18"/>
      <c r="CA76" s="118"/>
      <c r="CC76" s="2"/>
      <c r="CD76" s="19"/>
      <c r="CE76" s="20"/>
      <c r="CF76" s="21"/>
      <c r="CG76" s="21"/>
      <c r="CI76" s="19"/>
      <c r="CJ76" s="18"/>
      <c r="CK76" s="2"/>
      <c r="CL76" s="18"/>
      <c r="CM76" s="118"/>
      <c r="CO76" s="2"/>
      <c r="CP76" s="19"/>
      <c r="CQ76" s="20"/>
      <c r="CR76" s="21"/>
      <c r="CS76" s="21"/>
    </row>
    <row r="77" spans="1:97" x14ac:dyDescent="0.25">
      <c r="A77" s="1">
        <f t="shared" si="8"/>
        <v>51</v>
      </c>
      <c r="B77" s="19">
        <f t="shared" si="9"/>
        <v>20.358923897830831</v>
      </c>
      <c r="C77" s="18">
        <f t="shared" si="24"/>
        <v>0.76506704967674222</v>
      </c>
      <c r="D77" s="2">
        <f t="shared" si="2"/>
        <v>0.90032022408891066</v>
      </c>
      <c r="E77" s="18">
        <f t="shared" si="10"/>
        <v>0.78007238674489077</v>
      </c>
      <c r="F77" s="21">
        <f t="shared" si="3"/>
        <v>4.856095003869141E-2</v>
      </c>
      <c r="G77" s="1">
        <f t="shared" si="4"/>
        <v>0</v>
      </c>
      <c r="H77" s="2">
        <f t="shared" si="0"/>
        <v>47.077675154027915</v>
      </c>
      <c r="I77" s="19">
        <f t="shared" si="11"/>
        <v>20.379945954124636</v>
      </c>
      <c r="J77" s="20">
        <f t="shared" si="5"/>
        <v>0.93641309756922297</v>
      </c>
      <c r="K77" s="21">
        <f t="shared" si="6"/>
        <v>0.38003334169409231</v>
      </c>
      <c r="L77" s="21">
        <f t="shared" si="1"/>
        <v>3.5668730429766766E-2</v>
      </c>
      <c r="M77" s="2">
        <f t="shared" si="12"/>
        <v>0.27538954182586206</v>
      </c>
      <c r="N77" s="19">
        <f t="shared" si="25"/>
        <v>223.08147594225875</v>
      </c>
      <c r="O77" s="1">
        <f t="shared" si="13"/>
        <v>51</v>
      </c>
      <c r="P77" s="19">
        <f t="shared" si="14"/>
        <v>26.051946124943086</v>
      </c>
      <c r="Q77" s="18">
        <f t="shared" si="15"/>
        <v>2.2478335088998467</v>
      </c>
      <c r="R77" s="2">
        <f t="shared" si="16"/>
        <v>0.90477108532084394</v>
      </c>
      <c r="S77" s="18">
        <f t="shared" si="17"/>
        <v>2.2629130269885276</v>
      </c>
      <c r="T77" s="18">
        <f t="shared" si="18"/>
        <v>0.39283042666584733</v>
      </c>
      <c r="U77" s="1">
        <f t="shared" si="7"/>
        <v>0</v>
      </c>
      <c r="V77" s="2">
        <f t="shared" si="19"/>
        <v>60.572825975284374</v>
      </c>
      <c r="W77" s="19">
        <f t="shared" si="20"/>
        <v>26.222002586703191</v>
      </c>
      <c r="X77" s="20"/>
      <c r="Y77" s="2">
        <f t="shared" si="21"/>
        <v>6.2234336472981262</v>
      </c>
      <c r="Z77" s="21">
        <f t="shared" si="22"/>
        <v>0.30016051855145254</v>
      </c>
      <c r="AA77" s="2">
        <f t="shared" si="23"/>
        <v>4.7265539759605906</v>
      </c>
      <c r="AB77" s="19">
        <f t="shared" si="26"/>
        <v>20.467852510977263</v>
      </c>
      <c r="AC77" s="2"/>
      <c r="AD77" s="18"/>
      <c r="AE77" s="118"/>
      <c r="AG77" s="2"/>
      <c r="AH77" s="19"/>
      <c r="AI77" s="20"/>
      <c r="AJ77" s="21"/>
      <c r="AK77" s="21"/>
      <c r="AM77" s="19"/>
      <c r="AN77" s="18"/>
      <c r="AO77" s="2"/>
      <c r="AP77" s="18"/>
      <c r="AQ77" s="118"/>
      <c r="AS77" s="2"/>
      <c r="AT77" s="19"/>
      <c r="AU77" s="20"/>
      <c r="AV77" s="21"/>
      <c r="AW77" s="21"/>
      <c r="AY77" s="19"/>
      <c r="AZ77" s="18"/>
      <c r="BA77" s="2"/>
      <c r="BB77" s="18"/>
      <c r="BC77" s="118"/>
      <c r="BE77" s="2"/>
      <c r="BF77" s="19"/>
      <c r="BG77" s="20"/>
      <c r="BH77" s="21"/>
      <c r="BI77" s="21"/>
      <c r="BK77" s="19"/>
      <c r="BL77" s="18"/>
      <c r="BM77" s="2"/>
      <c r="BN77" s="18"/>
      <c r="BO77" s="118"/>
      <c r="BQ77" s="2"/>
      <c r="BR77" s="19"/>
      <c r="BS77" s="20"/>
      <c r="BT77" s="21"/>
      <c r="BU77" s="21"/>
      <c r="BW77" s="19"/>
      <c r="BX77" s="18"/>
      <c r="BY77" s="2"/>
      <c r="BZ77" s="18"/>
      <c r="CA77" s="118"/>
      <c r="CC77" s="2"/>
      <c r="CD77" s="19"/>
      <c r="CE77" s="20"/>
      <c r="CF77" s="21"/>
      <c r="CG77" s="21"/>
      <c r="CI77" s="19"/>
      <c r="CJ77" s="18"/>
      <c r="CK77" s="2"/>
      <c r="CL77" s="18"/>
      <c r="CM77" s="118"/>
      <c r="CO77" s="2"/>
      <c r="CP77" s="19"/>
      <c r="CQ77" s="20"/>
      <c r="CR77" s="21"/>
      <c r="CS77" s="21"/>
    </row>
    <row r="78" spans="1:97" x14ac:dyDescent="0.25">
      <c r="A78" s="1">
        <f t="shared" si="8"/>
        <v>52</v>
      </c>
      <c r="B78" s="19">
        <f t="shared" si="9"/>
        <v>20.379945954124636</v>
      </c>
      <c r="C78" s="18">
        <f t="shared" si="24"/>
        <v>0.78007238674489077</v>
      </c>
      <c r="D78" s="2">
        <f t="shared" si="2"/>
        <v>0.90033880759848073</v>
      </c>
      <c r="E78" s="18">
        <f t="shared" si="10"/>
        <v>0.79507803353819873</v>
      </c>
      <c r="F78" s="21">
        <f t="shared" si="3"/>
        <v>5.040946372502024E-2</v>
      </c>
      <c r="G78" s="1">
        <f t="shared" si="4"/>
        <v>0</v>
      </c>
      <c r="H78" s="2">
        <f t="shared" si="0"/>
        <v>47.128084617752926</v>
      </c>
      <c r="I78" s="19">
        <f t="shared" si="11"/>
        <v>20.401768232793472</v>
      </c>
      <c r="J78" s="20">
        <f t="shared" si="5"/>
        <v>0.93640808649536222</v>
      </c>
      <c r="K78" s="21">
        <f t="shared" si="6"/>
        <v>0.40186063948702605</v>
      </c>
      <c r="L78" s="21">
        <f t="shared" si="1"/>
        <v>3.7054192354411424E-2</v>
      </c>
      <c r="M78" s="2">
        <f t="shared" si="12"/>
        <v>0.29143031773686268</v>
      </c>
      <c r="N78" s="19">
        <f t="shared" si="25"/>
        <v>224.03076486527451</v>
      </c>
      <c r="O78" s="1">
        <f t="shared" si="13"/>
        <v>52</v>
      </c>
      <c r="P78" s="19">
        <f t="shared" si="14"/>
        <v>26.222002586703191</v>
      </c>
      <c r="Q78" s="18">
        <f t="shared" si="15"/>
        <v>2.2629130269885276</v>
      </c>
      <c r="R78" s="2">
        <f t="shared" si="16"/>
        <v>0.90488882865371001</v>
      </c>
      <c r="S78" s="18">
        <f t="shared" si="17"/>
        <v>2.2779945074660892</v>
      </c>
      <c r="T78" s="18">
        <f t="shared" si="18"/>
        <v>0.3979917387110995</v>
      </c>
      <c r="U78" s="1">
        <f t="shared" si="7"/>
        <v>0</v>
      </c>
      <c r="V78" s="2">
        <f t="shared" si="19"/>
        <v>60.970817713995473</v>
      </c>
      <c r="W78" s="19">
        <f t="shared" si="20"/>
        <v>26.394293382682022</v>
      </c>
      <c r="X78" s="20"/>
      <c r="Y78" s="2">
        <f t="shared" si="21"/>
        <v>6.3957640701600322</v>
      </c>
      <c r="Z78" s="21">
        <f t="shared" si="22"/>
        <v>0.30417476911174801</v>
      </c>
      <c r="AA78" s="2">
        <f t="shared" si="23"/>
        <v>4.8582313651864553</v>
      </c>
      <c r="AB78" s="19">
        <f t="shared" si="26"/>
        <v>20.795091811408028</v>
      </c>
      <c r="AC78" s="2"/>
      <c r="AD78" s="18"/>
      <c r="AE78" s="118"/>
      <c r="AG78" s="2"/>
      <c r="AH78" s="19"/>
      <c r="AI78" s="20"/>
      <c r="AJ78" s="21"/>
      <c r="AK78" s="21"/>
      <c r="AM78" s="19"/>
      <c r="AN78" s="18"/>
      <c r="AO78" s="2"/>
      <c r="AP78" s="18"/>
      <c r="AQ78" s="118"/>
      <c r="AS78" s="2"/>
      <c r="AT78" s="19"/>
      <c r="AU78" s="20"/>
      <c r="AV78" s="21"/>
      <c r="AW78" s="21"/>
      <c r="AY78" s="19"/>
      <c r="AZ78" s="18"/>
      <c r="BA78" s="2"/>
      <c r="BB78" s="18"/>
      <c r="BC78" s="118"/>
      <c r="BE78" s="2"/>
      <c r="BF78" s="19"/>
      <c r="BG78" s="20"/>
      <c r="BH78" s="21"/>
      <c r="BI78" s="21"/>
      <c r="BK78" s="19"/>
      <c r="BL78" s="18"/>
      <c r="BM78" s="2"/>
      <c r="BN78" s="18"/>
      <c r="BO78" s="118"/>
      <c r="BQ78" s="2"/>
      <c r="BR78" s="19"/>
      <c r="BS78" s="20"/>
      <c r="BT78" s="21"/>
      <c r="BU78" s="21"/>
      <c r="BW78" s="19"/>
      <c r="BX78" s="18"/>
      <c r="BY78" s="2"/>
      <c r="BZ78" s="18"/>
      <c r="CA78" s="118"/>
      <c r="CC78" s="2"/>
      <c r="CD78" s="19"/>
      <c r="CE78" s="20"/>
      <c r="CF78" s="21"/>
      <c r="CG78" s="21"/>
      <c r="CI78" s="19"/>
      <c r="CJ78" s="18"/>
      <c r="CK78" s="2"/>
      <c r="CL78" s="18"/>
      <c r="CM78" s="118"/>
      <c r="CO78" s="2"/>
      <c r="CP78" s="19"/>
      <c r="CQ78" s="20"/>
      <c r="CR78" s="21"/>
      <c r="CS78" s="21"/>
    </row>
    <row r="79" spans="1:97" x14ac:dyDescent="0.25">
      <c r="A79" s="1">
        <f t="shared" si="8"/>
        <v>53</v>
      </c>
      <c r="B79" s="19">
        <f t="shared" si="9"/>
        <v>20.401768232793472</v>
      </c>
      <c r="C79" s="18">
        <f t="shared" si="24"/>
        <v>0.79507803353819873</v>
      </c>
      <c r="D79" s="2">
        <f t="shared" si="2"/>
        <v>0.90035807864374318</v>
      </c>
      <c r="E79" s="18">
        <f t="shared" si="10"/>
        <v>0.81008400151559445</v>
      </c>
      <c r="F79" s="21">
        <f t="shared" si="3"/>
        <v>5.2291921521389534E-2</v>
      </c>
      <c r="G79" s="1">
        <f t="shared" si="4"/>
        <v>0</v>
      </c>
      <c r="H79" s="2">
        <f t="shared" si="0"/>
        <v>47.180376539274306</v>
      </c>
      <c r="I79" s="19">
        <f t="shared" si="11"/>
        <v>20.424405428257273</v>
      </c>
      <c r="J79" s="20">
        <f t="shared" si="5"/>
        <v>0.93640288980006159</v>
      </c>
      <c r="K79" s="21">
        <f t="shared" si="6"/>
        <v>0.42450304150578771</v>
      </c>
      <c r="L79" s="21">
        <f t="shared" si="1"/>
        <v>3.8466081945686556E-2</v>
      </c>
      <c r="M79" s="2">
        <f t="shared" si="12"/>
        <v>0.30808230126313391</v>
      </c>
      <c r="N79" s="19">
        <f t="shared" si="25"/>
        <v>224.96213769240697</v>
      </c>
      <c r="O79" s="1">
        <f t="shared" si="13"/>
        <v>53</v>
      </c>
      <c r="P79" s="19">
        <f t="shared" si="14"/>
        <v>26.394293382682022</v>
      </c>
      <c r="Q79" s="18">
        <f t="shared" si="15"/>
        <v>2.2779945074660892</v>
      </c>
      <c r="R79" s="2">
        <f t="shared" si="16"/>
        <v>0.90500735830806989</v>
      </c>
      <c r="S79" s="18">
        <f t="shared" si="17"/>
        <v>2.2930779634378906</v>
      </c>
      <c r="T79" s="18">
        <f t="shared" si="18"/>
        <v>0.40318688649290607</v>
      </c>
      <c r="U79" s="1">
        <f t="shared" si="7"/>
        <v>0</v>
      </c>
      <c r="V79" s="2">
        <f t="shared" si="19"/>
        <v>61.374004600488377</v>
      </c>
      <c r="W79" s="19">
        <f t="shared" si="20"/>
        <v>26.568833160384578</v>
      </c>
      <c r="X79" s="20"/>
      <c r="Y79" s="2">
        <f t="shared" si="21"/>
        <v>6.5703439920114608</v>
      </c>
      <c r="Z79" s="21">
        <f t="shared" si="22"/>
        <v>0.30821621537440558</v>
      </c>
      <c r="AA79" s="2">
        <f t="shared" si="23"/>
        <v>4.9916582982489688</v>
      </c>
      <c r="AB79" s="19">
        <f t="shared" si="26"/>
        <v>21.120164621487408</v>
      </c>
      <c r="AC79" s="2"/>
      <c r="AD79" s="18"/>
      <c r="AE79" s="118"/>
      <c r="AG79" s="2"/>
      <c r="AH79" s="19"/>
      <c r="AI79" s="20"/>
      <c r="AJ79" s="21"/>
      <c r="AK79" s="21"/>
      <c r="AM79" s="19"/>
      <c r="AN79" s="18"/>
      <c r="AO79" s="2"/>
      <c r="AP79" s="18"/>
      <c r="AQ79" s="118"/>
      <c r="AS79" s="2"/>
      <c r="AT79" s="19"/>
      <c r="AU79" s="20"/>
      <c r="AV79" s="21"/>
      <c r="AW79" s="21"/>
      <c r="AY79" s="19"/>
      <c r="AZ79" s="18"/>
      <c r="BA79" s="2"/>
      <c r="BB79" s="18"/>
      <c r="BC79" s="118"/>
      <c r="BE79" s="2"/>
      <c r="BF79" s="19"/>
      <c r="BG79" s="20"/>
      <c r="BH79" s="21"/>
      <c r="BI79" s="21"/>
      <c r="BK79" s="19"/>
      <c r="BL79" s="18"/>
      <c r="BM79" s="2"/>
      <c r="BN79" s="18"/>
      <c r="BO79" s="118"/>
      <c r="BQ79" s="2"/>
      <c r="BR79" s="19"/>
      <c r="BS79" s="20"/>
      <c r="BT79" s="21"/>
      <c r="BU79" s="21"/>
      <c r="BW79" s="19"/>
      <c r="BX79" s="18"/>
      <c r="BY79" s="2"/>
      <c r="BZ79" s="18"/>
      <c r="CA79" s="118"/>
      <c r="CC79" s="2"/>
      <c r="CD79" s="19"/>
      <c r="CE79" s="20"/>
      <c r="CF79" s="21"/>
      <c r="CG79" s="21"/>
      <c r="CI79" s="19"/>
      <c r="CJ79" s="18"/>
      <c r="CK79" s="2"/>
      <c r="CL79" s="18"/>
      <c r="CM79" s="118"/>
      <c r="CO79" s="2"/>
      <c r="CP79" s="19"/>
      <c r="CQ79" s="20"/>
      <c r="CR79" s="21"/>
      <c r="CS79" s="21"/>
    </row>
    <row r="80" spans="1:97" x14ac:dyDescent="0.25">
      <c r="A80" s="1">
        <f t="shared" si="8"/>
        <v>54</v>
      </c>
      <c r="B80" s="19">
        <f t="shared" si="9"/>
        <v>20.424405428257273</v>
      </c>
      <c r="C80" s="18">
        <f t="shared" si="24"/>
        <v>0.81008400151559445</v>
      </c>
      <c r="D80" s="2">
        <f t="shared" si="2"/>
        <v>0.90037804799977039</v>
      </c>
      <c r="E80" s="18">
        <f t="shared" si="10"/>
        <v>0.82509030231559066</v>
      </c>
      <c r="F80" s="21">
        <f t="shared" si="3"/>
        <v>5.42083063582533E-2</v>
      </c>
      <c r="G80" s="1">
        <f t="shared" si="4"/>
        <v>0</v>
      </c>
      <c r="H80" s="2">
        <f t="shared" si="0"/>
        <v>47.234584845632561</v>
      </c>
      <c r="I80" s="19">
        <f t="shared" si="11"/>
        <v>20.447872227546561</v>
      </c>
      <c r="J80" s="20">
        <f t="shared" si="5"/>
        <v>0.93639750440853164</v>
      </c>
      <c r="K80" s="21">
        <f t="shared" si="6"/>
        <v>0.44797523815891138</v>
      </c>
      <c r="L80" s="21">
        <f t="shared" si="1"/>
        <v>3.9904402024422789E-2</v>
      </c>
      <c r="M80" s="2">
        <f t="shared" si="12"/>
        <v>0.32535693417413947</v>
      </c>
      <c r="N80" s="19">
        <f t="shared" si="25"/>
        <v>225.87625780155855</v>
      </c>
      <c r="O80" s="1">
        <f t="shared" si="13"/>
        <v>54</v>
      </c>
      <c r="P80" s="19">
        <f t="shared" si="14"/>
        <v>26.568833160384578</v>
      </c>
      <c r="Q80" s="18">
        <f t="shared" si="15"/>
        <v>2.2930779634378906</v>
      </c>
      <c r="R80" s="2">
        <f t="shared" si="16"/>
        <v>0.90512666453255664</v>
      </c>
      <c r="S80" s="18">
        <f t="shared" si="17"/>
        <v>2.3081634078467665</v>
      </c>
      <c r="T80" s="18">
        <f t="shared" si="18"/>
        <v>0.40841588120411193</v>
      </c>
      <c r="U80" s="1">
        <f t="shared" si="7"/>
        <v>0</v>
      </c>
      <c r="V80" s="2">
        <f t="shared" si="19"/>
        <v>61.78242048169249</v>
      </c>
      <c r="W80" s="19">
        <f t="shared" si="20"/>
        <v>26.745636572161249</v>
      </c>
      <c r="X80" s="20"/>
      <c r="Y80" s="2">
        <f t="shared" si="21"/>
        <v>6.7471880685728411</v>
      </c>
      <c r="Z80" s="21">
        <f t="shared" si="22"/>
        <v>0.31228487132127275</v>
      </c>
      <c r="AA80" s="2">
        <f t="shared" si="23"/>
        <v>5.1268465542322037</v>
      </c>
      <c r="AB80" s="19">
        <f t="shared" si="26"/>
        <v>21.443099160868346</v>
      </c>
      <c r="AC80" s="2"/>
      <c r="AD80" s="18"/>
      <c r="AE80" s="118"/>
      <c r="AG80" s="2"/>
      <c r="AH80" s="19"/>
      <c r="AI80" s="20"/>
      <c r="AJ80" s="21"/>
      <c r="AK80" s="21"/>
      <c r="AM80" s="19"/>
      <c r="AN80" s="18"/>
      <c r="AO80" s="2"/>
      <c r="AP80" s="18"/>
      <c r="AQ80" s="118"/>
      <c r="AS80" s="2"/>
      <c r="AT80" s="19"/>
      <c r="AU80" s="20"/>
      <c r="AV80" s="21"/>
      <c r="AW80" s="21"/>
      <c r="AY80" s="19"/>
      <c r="AZ80" s="18"/>
      <c r="BA80" s="2"/>
      <c r="BB80" s="18"/>
      <c r="BC80" s="118"/>
      <c r="BE80" s="2"/>
      <c r="BF80" s="19"/>
      <c r="BG80" s="20"/>
      <c r="BH80" s="21"/>
      <c r="BI80" s="21"/>
      <c r="BK80" s="19"/>
      <c r="BL80" s="18"/>
      <c r="BM80" s="2"/>
      <c r="BN80" s="18"/>
      <c r="BO80" s="118"/>
      <c r="BQ80" s="2"/>
      <c r="BR80" s="19"/>
      <c r="BS80" s="20"/>
      <c r="BT80" s="21"/>
      <c r="BU80" s="21"/>
      <c r="BW80" s="19"/>
      <c r="BX80" s="18"/>
      <c r="BY80" s="2"/>
      <c r="BZ80" s="18"/>
      <c r="CA80" s="118"/>
      <c r="CC80" s="2"/>
      <c r="CD80" s="19"/>
      <c r="CE80" s="20"/>
      <c r="CF80" s="21"/>
      <c r="CG80" s="21"/>
      <c r="CI80" s="19"/>
      <c r="CJ80" s="18"/>
      <c r="CK80" s="2"/>
      <c r="CL80" s="18"/>
      <c r="CM80" s="118"/>
      <c r="CO80" s="2"/>
      <c r="CP80" s="19"/>
      <c r="CQ80" s="20"/>
      <c r="CR80" s="21"/>
      <c r="CS80" s="21"/>
    </row>
    <row r="81" spans="1:97" x14ac:dyDescent="0.25">
      <c r="A81" s="1">
        <f t="shared" si="8"/>
        <v>55</v>
      </c>
      <c r="B81" s="19">
        <f t="shared" si="9"/>
        <v>20.447872227546561</v>
      </c>
      <c r="C81" s="18">
        <f t="shared" si="24"/>
        <v>0.82509030231559066</v>
      </c>
      <c r="D81" s="2">
        <f t="shared" si="2"/>
        <v>0.90039872630506324</v>
      </c>
      <c r="E81" s="18">
        <f t="shared" si="10"/>
        <v>0.84009694775400834</v>
      </c>
      <c r="F81" s="21">
        <f t="shared" si="3"/>
        <v>5.6158601728365024E-2</v>
      </c>
      <c r="G81" s="1">
        <f t="shared" si="4"/>
        <v>0</v>
      </c>
      <c r="H81" s="2">
        <f t="shared" si="0"/>
        <v>47.290743447360924</v>
      </c>
      <c r="I81" s="19">
        <f t="shared" si="11"/>
        <v>20.472183310545855</v>
      </c>
      <c r="J81" s="20">
        <f t="shared" si="5"/>
        <v>0.93639192726878551</v>
      </c>
      <c r="K81" s="21">
        <f t="shared" si="6"/>
        <v>0.47229191270729343</v>
      </c>
      <c r="L81" s="21">
        <f t="shared" si="1"/>
        <v>4.1369155510850304E-2</v>
      </c>
      <c r="M81" s="2">
        <f t="shared" si="12"/>
        <v>0.3432656595035119</v>
      </c>
      <c r="N81" s="19">
        <f t="shared" si="25"/>
        <v>226.77375238343544</v>
      </c>
      <c r="O81" s="1">
        <f t="shared" si="13"/>
        <v>55</v>
      </c>
      <c r="P81" s="19">
        <f t="shared" si="14"/>
        <v>26.745636572161249</v>
      </c>
      <c r="Q81" s="18">
        <f t="shared" si="15"/>
        <v>2.3081634078467665</v>
      </c>
      <c r="R81" s="2">
        <f t="shared" si="16"/>
        <v>0.90524673751408247</v>
      </c>
      <c r="S81" s="18">
        <f t="shared" si="17"/>
        <v>2.3232508534720013</v>
      </c>
      <c r="T81" s="18">
        <f t="shared" si="18"/>
        <v>0.41367873413855522</v>
      </c>
      <c r="U81" s="1">
        <f t="shared" si="7"/>
        <v>0</v>
      </c>
      <c r="V81" s="2">
        <f t="shared" si="19"/>
        <v>62.196099215831048</v>
      </c>
      <c r="W81" s="19">
        <f t="shared" si="20"/>
        <v>26.924718275251536</v>
      </c>
      <c r="X81" s="20"/>
      <c r="Y81" s="2">
        <f t="shared" si="21"/>
        <v>6.9263109604548356</v>
      </c>
      <c r="Z81" s="21">
        <f t="shared" si="22"/>
        <v>0.31638075098259461</v>
      </c>
      <c r="AA81" s="2">
        <f t="shared" si="23"/>
        <v>5.2638079182939332</v>
      </c>
      <c r="AB81" s="19">
        <f t="shared" si="26"/>
        <v>21.763923099663131</v>
      </c>
      <c r="AC81" s="2"/>
      <c r="AD81" s="18"/>
      <c r="AE81" s="118"/>
      <c r="AG81" s="2"/>
      <c r="AH81" s="19"/>
      <c r="AI81" s="20"/>
      <c r="AJ81" s="21"/>
      <c r="AK81" s="21"/>
      <c r="AM81" s="19"/>
      <c r="AN81" s="18"/>
      <c r="AO81" s="2"/>
      <c r="AP81" s="18"/>
      <c r="AQ81" s="118"/>
      <c r="AS81" s="2"/>
      <c r="AT81" s="19"/>
      <c r="AU81" s="20"/>
      <c r="AV81" s="21"/>
      <c r="AW81" s="21"/>
      <c r="AY81" s="19"/>
      <c r="AZ81" s="18"/>
      <c r="BA81" s="2"/>
      <c r="BB81" s="18"/>
      <c r="BC81" s="118"/>
      <c r="BE81" s="2"/>
      <c r="BF81" s="19"/>
      <c r="BG81" s="20"/>
      <c r="BH81" s="21"/>
      <c r="BI81" s="21"/>
      <c r="BK81" s="19"/>
      <c r="BL81" s="18"/>
      <c r="BM81" s="2"/>
      <c r="BN81" s="18"/>
      <c r="BO81" s="118"/>
      <c r="BQ81" s="2"/>
      <c r="BR81" s="19"/>
      <c r="BS81" s="20"/>
      <c r="BT81" s="21"/>
      <c r="BU81" s="21"/>
      <c r="BW81" s="19"/>
      <c r="BX81" s="18"/>
      <c r="BY81" s="2"/>
      <c r="BZ81" s="18"/>
      <c r="CA81" s="118"/>
      <c r="CC81" s="2"/>
      <c r="CD81" s="19"/>
      <c r="CE81" s="20"/>
      <c r="CF81" s="21"/>
      <c r="CG81" s="21"/>
      <c r="CI81" s="19"/>
      <c r="CJ81" s="18"/>
      <c r="CK81" s="2"/>
      <c r="CL81" s="18"/>
      <c r="CM81" s="118"/>
      <c r="CO81" s="2"/>
      <c r="CP81" s="19"/>
      <c r="CQ81" s="20"/>
      <c r="CR81" s="21"/>
      <c r="CS81" s="21"/>
    </row>
    <row r="82" spans="1:97" x14ac:dyDescent="0.25">
      <c r="A82" s="1">
        <f t="shared" si="8"/>
        <v>56</v>
      </c>
      <c r="B82" s="19">
        <f t="shared" si="9"/>
        <v>20.472183310545855</v>
      </c>
      <c r="C82" s="18">
        <f t="shared" si="24"/>
        <v>0.84009694775400834</v>
      </c>
      <c r="D82" s="2">
        <f t="shared" si="2"/>
        <v>0.90042012405788219</v>
      </c>
      <c r="E82" s="18">
        <f t="shared" si="10"/>
        <v>0.85510394982163973</v>
      </c>
      <c r="F82" s="21">
        <f t="shared" si="3"/>
        <v>5.8142791671524238E-2</v>
      </c>
      <c r="G82" s="1">
        <f t="shared" si="4"/>
        <v>0</v>
      </c>
      <c r="H82" s="2">
        <f t="shared" si="0"/>
        <v>47.348886239032446</v>
      </c>
      <c r="I82" s="19">
        <f t="shared" si="11"/>
        <v>20.497353350230494</v>
      </c>
      <c r="J82" s="20">
        <f t="shared" si="5"/>
        <v>0.93638615535224023</v>
      </c>
      <c r="K82" s="21">
        <f t="shared" si="6"/>
        <v>0.49746774150106343</v>
      </c>
      <c r="L82" s="21">
        <f t="shared" si="1"/>
        <v>4.2860345425928988E-2</v>
      </c>
      <c r="M82" s="2">
        <f t="shared" si="12"/>
        <v>0.36181992159265863</v>
      </c>
      <c r="N82" s="19">
        <f t="shared" si="25"/>
        <v>227.65521502636867</v>
      </c>
      <c r="O82" s="1">
        <f t="shared" si="13"/>
        <v>56</v>
      </c>
      <c r="P82" s="19">
        <f t="shared" si="14"/>
        <v>26.924718275251536</v>
      </c>
      <c r="Q82" s="18">
        <f t="shared" si="15"/>
        <v>2.3232508534720013</v>
      </c>
      <c r="R82" s="2">
        <f t="shared" si="16"/>
        <v>0.90536756738269497</v>
      </c>
      <c r="S82" s="18">
        <f t="shared" si="17"/>
        <v>2.3383403129283797</v>
      </c>
      <c r="T82" s="18">
        <f t="shared" si="18"/>
        <v>0.41897545668831332</v>
      </c>
      <c r="U82" s="1">
        <f t="shared" si="7"/>
        <v>0</v>
      </c>
      <c r="V82" s="2">
        <f t="shared" si="19"/>
        <v>62.615074672519363</v>
      </c>
      <c r="W82" s="19">
        <f t="shared" si="20"/>
        <v>27.106092931826563</v>
      </c>
      <c r="X82" s="20"/>
      <c r="Y82" s="2">
        <f t="shared" si="21"/>
        <v>7.1077273332008755</v>
      </c>
      <c r="Z82" s="21">
        <f t="shared" si="22"/>
        <v>0.32050386843533762</v>
      </c>
      <c r="AA82" s="2">
        <f t="shared" si="23"/>
        <v>5.4025541816858542</v>
      </c>
      <c r="AB82" s="19">
        <f t="shared" si="26"/>
        <v>22.082663572643362</v>
      </c>
      <c r="AC82" s="2"/>
      <c r="AD82" s="18"/>
      <c r="AE82" s="118"/>
      <c r="AG82" s="2"/>
      <c r="AH82" s="19"/>
      <c r="AI82" s="20"/>
      <c r="AJ82" s="21"/>
      <c r="AK82" s="21"/>
      <c r="AM82" s="19"/>
      <c r="AN82" s="18"/>
      <c r="AO82" s="2"/>
      <c r="AP82" s="18"/>
      <c r="AQ82" s="118"/>
      <c r="AS82" s="2"/>
      <c r="AT82" s="19"/>
      <c r="AU82" s="20"/>
      <c r="AV82" s="21"/>
      <c r="AW82" s="21"/>
      <c r="AY82" s="19"/>
      <c r="AZ82" s="18"/>
      <c r="BA82" s="2"/>
      <c r="BB82" s="18"/>
      <c r="BC82" s="118"/>
      <c r="BE82" s="2"/>
      <c r="BF82" s="19"/>
      <c r="BG82" s="20"/>
      <c r="BH82" s="21"/>
      <c r="BI82" s="21"/>
      <c r="BK82" s="19"/>
      <c r="BL82" s="18"/>
      <c r="BM82" s="2"/>
      <c r="BN82" s="18"/>
      <c r="BO82" s="118"/>
      <c r="BQ82" s="2"/>
      <c r="BR82" s="19"/>
      <c r="BS82" s="20"/>
      <c r="BT82" s="21"/>
      <c r="BU82" s="21"/>
      <c r="BW82" s="19"/>
      <c r="BX82" s="18"/>
      <c r="BY82" s="2"/>
      <c r="BZ82" s="18"/>
      <c r="CA82" s="118"/>
      <c r="CC82" s="2"/>
      <c r="CD82" s="19"/>
      <c r="CE82" s="20"/>
      <c r="CF82" s="21"/>
      <c r="CG82" s="21"/>
      <c r="CI82" s="19"/>
      <c r="CJ82" s="18"/>
      <c r="CK82" s="2"/>
      <c r="CL82" s="18"/>
      <c r="CM82" s="118"/>
      <c r="CO82" s="2"/>
      <c r="CP82" s="19"/>
      <c r="CQ82" s="20"/>
      <c r="CR82" s="21"/>
      <c r="CS82" s="21"/>
    </row>
    <row r="83" spans="1:97" x14ac:dyDescent="0.25">
      <c r="A83" s="1">
        <f t="shared" si="8"/>
        <v>57</v>
      </c>
      <c r="B83" s="19">
        <f t="shared" si="9"/>
        <v>20.497353350230494</v>
      </c>
      <c r="C83" s="18">
        <f t="shared" si="24"/>
        <v>0.85510394982163973</v>
      </c>
      <c r="D83" s="2">
        <f t="shared" si="2"/>
        <v>0.90044225161257618</v>
      </c>
      <c r="E83" s="18">
        <f t="shared" si="10"/>
        <v>0.87011132068184938</v>
      </c>
      <c r="F83" s="21">
        <f t="shared" si="3"/>
        <v>6.0160860760220855E-2</v>
      </c>
      <c r="G83" s="1">
        <f t="shared" si="4"/>
        <v>0</v>
      </c>
      <c r="H83" s="2">
        <f t="shared" si="0"/>
        <v>47.409047099792659</v>
      </c>
      <c r="I83" s="19">
        <f t="shared" si="11"/>
        <v>20.523397012897256</v>
      </c>
      <c r="J83" s="20">
        <f t="shared" si="5"/>
        <v>0.93638018565432501</v>
      </c>
      <c r="K83" s="21">
        <f t="shared" si="6"/>
        <v>0.52351739421023902</v>
      </c>
      <c r="L83" s="21">
        <f t="shared" si="1"/>
        <v>4.4377974892647672E-2</v>
      </c>
      <c r="M83" s="2">
        <f t="shared" si="12"/>
        <v>0.38103116613493038</v>
      </c>
      <c r="N83" s="19">
        <f t="shared" si="25"/>
        <v>228.52120807439732</v>
      </c>
      <c r="O83" s="1">
        <f t="shared" si="13"/>
        <v>57</v>
      </c>
      <c r="P83" s="19">
        <f t="shared" si="14"/>
        <v>27.106092931826563</v>
      </c>
      <c r="Q83" s="18">
        <f t="shared" si="15"/>
        <v>2.3383403129283797</v>
      </c>
      <c r="R83" s="2">
        <f t="shared" si="16"/>
        <v>0.90548914421637572</v>
      </c>
      <c r="S83" s="18">
        <f t="shared" si="17"/>
        <v>2.3534317986653193</v>
      </c>
      <c r="T83" s="18">
        <f t="shared" si="18"/>
        <v>0.42430606034097873</v>
      </c>
      <c r="U83" s="1">
        <f t="shared" si="7"/>
        <v>0</v>
      </c>
      <c r="V83" s="2">
        <f t="shared" si="19"/>
        <v>63.039380732860344</v>
      </c>
      <c r="W83" s="19">
        <f t="shared" si="20"/>
        <v>27.289775209030452</v>
      </c>
      <c r="X83" s="20"/>
      <c r="Y83" s="2">
        <f t="shared" si="21"/>
        <v>7.2914518573285196</v>
      </c>
      <c r="Z83" s="21">
        <f t="shared" si="22"/>
        <v>0.32465423780152469</v>
      </c>
      <c r="AA83" s="2">
        <f t="shared" si="23"/>
        <v>5.5430971417730941</v>
      </c>
      <c r="AB83" s="19">
        <f t="shared" si="26"/>
        <v>22.39934719298433</v>
      </c>
      <c r="AC83" s="2"/>
      <c r="AD83" s="18"/>
      <c r="AE83" s="118"/>
      <c r="AG83" s="2"/>
      <c r="AH83" s="19"/>
      <c r="AI83" s="20"/>
      <c r="AJ83" s="21"/>
      <c r="AK83" s="21"/>
      <c r="AM83" s="19"/>
      <c r="AN83" s="18"/>
      <c r="AO83" s="2"/>
      <c r="AP83" s="18"/>
      <c r="AQ83" s="118"/>
      <c r="AS83" s="2"/>
      <c r="AT83" s="19"/>
      <c r="AU83" s="20"/>
      <c r="AV83" s="21"/>
      <c r="AW83" s="21"/>
      <c r="AY83" s="19"/>
      <c r="AZ83" s="18"/>
      <c r="BA83" s="2"/>
      <c r="BB83" s="18"/>
      <c r="BC83" s="118"/>
      <c r="BE83" s="2"/>
      <c r="BF83" s="19"/>
      <c r="BG83" s="20"/>
      <c r="BH83" s="21"/>
      <c r="BI83" s="21"/>
      <c r="BK83" s="19"/>
      <c r="BL83" s="18"/>
      <c r="BM83" s="2"/>
      <c r="BN83" s="18"/>
      <c r="BO83" s="118"/>
      <c r="BQ83" s="2"/>
      <c r="BR83" s="19"/>
      <c r="BS83" s="20"/>
      <c r="BT83" s="21"/>
      <c r="BU83" s="21"/>
      <c r="BW83" s="19"/>
      <c r="BX83" s="18"/>
      <c r="BY83" s="2"/>
      <c r="BZ83" s="18"/>
      <c r="CA83" s="118"/>
      <c r="CC83" s="2"/>
      <c r="CD83" s="19"/>
      <c r="CE83" s="20"/>
      <c r="CF83" s="21"/>
      <c r="CG83" s="21"/>
      <c r="CI83" s="19"/>
      <c r="CJ83" s="18"/>
      <c r="CK83" s="2"/>
      <c r="CL83" s="18"/>
      <c r="CM83" s="118"/>
      <c r="CO83" s="2"/>
      <c r="CP83" s="19"/>
      <c r="CQ83" s="20"/>
      <c r="CR83" s="21"/>
      <c r="CS83" s="21"/>
    </row>
    <row r="84" spans="1:97" x14ac:dyDescent="0.25">
      <c r="A84" s="1">
        <f t="shared" si="8"/>
        <v>58</v>
      </c>
      <c r="B84" s="19">
        <f t="shared" si="9"/>
        <v>20.523397012897256</v>
      </c>
      <c r="C84" s="18">
        <f t="shared" si="24"/>
        <v>0.87011132068184938</v>
      </c>
      <c r="D84" s="2">
        <f t="shared" si="2"/>
        <v>0.90046511917591576</v>
      </c>
      <c r="E84" s="18">
        <f t="shared" si="10"/>
        <v>0.88511907266811463</v>
      </c>
      <c r="F84" s="21">
        <f t="shared" si="3"/>
        <v>6.221279408610951E-2</v>
      </c>
      <c r="G84" s="1">
        <f t="shared" si="4"/>
        <v>0</v>
      </c>
      <c r="H84" s="2">
        <f t="shared" si="0"/>
        <v>47.471259893878766</v>
      </c>
      <c r="I84" s="19">
        <f t="shared" si="11"/>
        <v>20.550328958389077</v>
      </c>
      <c r="J84" s="20">
        <f t="shared" si="5"/>
        <v>0.93637401519509333</v>
      </c>
      <c r="K84" s="21">
        <f t="shared" si="6"/>
        <v>0.55045553404952441</v>
      </c>
      <c r="L84" s="21">
        <f t="shared" si="1"/>
        <v>4.5922047137292282E-2</v>
      </c>
      <c r="M84" s="2">
        <f t="shared" si="12"/>
        <v>0.40091084022033829</v>
      </c>
      <c r="N84" s="19">
        <f t="shared" si="25"/>
        <v>229.37226478206904</v>
      </c>
      <c r="O84" s="1">
        <f t="shared" si="13"/>
        <v>58</v>
      </c>
      <c r="P84" s="19">
        <f t="shared" si="14"/>
        <v>27.289775209030452</v>
      </c>
      <c r="Q84" s="18">
        <f t="shared" si="15"/>
        <v>2.3534317986653193</v>
      </c>
      <c r="R84" s="2">
        <f t="shared" si="16"/>
        <v>0.90561145804577547</v>
      </c>
      <c r="S84" s="18">
        <f t="shared" si="17"/>
        <v>2.3685253229660823</v>
      </c>
      <c r="T84" s="18">
        <f t="shared" si="18"/>
        <v>0.4296705566769653</v>
      </c>
      <c r="U84" s="1">
        <f t="shared" si="7"/>
        <v>0</v>
      </c>
      <c r="V84" s="2">
        <f t="shared" si="19"/>
        <v>63.469051289537312</v>
      </c>
      <c r="W84" s="19">
        <f t="shared" si="20"/>
        <v>27.475779779020481</v>
      </c>
      <c r="X84" s="20"/>
      <c r="Y84" s="2">
        <f t="shared" si="21"/>
        <v>7.4774992083696459</v>
      </c>
      <c r="Z84" s="21">
        <f t="shared" si="22"/>
        <v>0.32883187324658375</v>
      </c>
      <c r="AA84" s="2">
        <f t="shared" si="23"/>
        <v>5.6854486020530004</v>
      </c>
      <c r="AB84" s="19">
        <f t="shared" si="26"/>
        <v>22.714000065571227</v>
      </c>
      <c r="AC84" s="2"/>
      <c r="AD84" s="18"/>
      <c r="AE84" s="118"/>
      <c r="AG84" s="2"/>
      <c r="AH84" s="19"/>
      <c r="AI84" s="20"/>
      <c r="AJ84" s="21"/>
      <c r="AK84" s="21"/>
      <c r="AM84" s="19"/>
      <c r="AN84" s="18"/>
      <c r="AO84" s="2"/>
      <c r="AP84" s="18"/>
      <c r="AQ84" s="118"/>
      <c r="AS84" s="2"/>
      <c r="AT84" s="19"/>
      <c r="AU84" s="20"/>
      <c r="AV84" s="21"/>
      <c r="AW84" s="21"/>
      <c r="AY84" s="19"/>
      <c r="AZ84" s="18"/>
      <c r="BA84" s="2"/>
      <c r="BB84" s="18"/>
      <c r="BC84" s="118"/>
      <c r="BE84" s="2"/>
      <c r="BF84" s="19"/>
      <c r="BG84" s="20"/>
      <c r="BH84" s="21"/>
      <c r="BI84" s="21"/>
      <c r="BK84" s="19"/>
      <c r="BL84" s="18"/>
      <c r="BM84" s="2"/>
      <c r="BN84" s="18"/>
      <c r="BO84" s="118"/>
      <c r="BQ84" s="2"/>
      <c r="BR84" s="19"/>
      <c r="BS84" s="20"/>
      <c r="BT84" s="21"/>
      <c r="BU84" s="21"/>
      <c r="BW84" s="19"/>
      <c r="BX84" s="18"/>
      <c r="BY84" s="2"/>
      <c r="BZ84" s="18"/>
      <c r="CA84" s="118"/>
      <c r="CC84" s="2"/>
      <c r="CD84" s="19"/>
      <c r="CE84" s="20"/>
      <c r="CF84" s="21"/>
      <c r="CG84" s="21"/>
      <c r="CI84" s="19"/>
      <c r="CJ84" s="18"/>
      <c r="CK84" s="2"/>
      <c r="CL84" s="18"/>
      <c r="CM84" s="118"/>
      <c r="CO84" s="2"/>
      <c r="CP84" s="19"/>
      <c r="CQ84" s="20"/>
      <c r="CR84" s="21"/>
      <c r="CS84" s="21"/>
    </row>
    <row r="85" spans="1:97" x14ac:dyDescent="0.25">
      <c r="A85" s="1">
        <f t="shared" si="8"/>
        <v>59</v>
      </c>
      <c r="B85" s="19">
        <f t="shared" si="9"/>
        <v>20.550328958389077</v>
      </c>
      <c r="C85" s="18">
        <f t="shared" si="24"/>
        <v>0.88511907266811463</v>
      </c>
      <c r="D85" s="2">
        <f t="shared" si="2"/>
        <v>0.90048873680343011</v>
      </c>
      <c r="E85" s="18">
        <f t="shared" si="10"/>
        <v>0.9001272182815051</v>
      </c>
      <c r="F85" s="21">
        <f t="shared" si="3"/>
        <v>6.4298577247250591E-2</v>
      </c>
      <c r="G85" s="1">
        <f t="shared" si="4"/>
        <v>0</v>
      </c>
      <c r="H85" s="2">
        <f t="shared" si="0"/>
        <v>47.535558471126016</v>
      </c>
      <c r="I85" s="19">
        <f t="shared" si="11"/>
        <v>20.578163840314293</v>
      </c>
      <c r="J85" s="20">
        <f t="shared" si="5"/>
        <v>0.93636764101983616</v>
      </c>
      <c r="K85" s="21">
        <f t="shared" si="6"/>
        <v>0.57829681799758392</v>
      </c>
      <c r="L85" s="21">
        <f t="shared" si="1"/>
        <v>4.7492565490681579E-2</v>
      </c>
      <c r="M85" s="2">
        <f t="shared" si="12"/>
        <v>0.42147039238080652</v>
      </c>
      <c r="N85" s="19">
        <f t="shared" si="25"/>
        <v>230.20889128663094</v>
      </c>
      <c r="O85" s="1">
        <f t="shared" si="13"/>
        <v>59</v>
      </c>
      <c r="P85" s="19">
        <f t="shared" si="14"/>
        <v>27.475779779020481</v>
      </c>
      <c r="Q85" s="18">
        <f t="shared" si="15"/>
        <v>2.3685253229660823</v>
      </c>
      <c r="R85" s="2">
        <f t="shared" si="16"/>
        <v>0.90573449885888413</v>
      </c>
      <c r="S85" s="18">
        <f t="shared" si="17"/>
        <v>2.3836208979470639</v>
      </c>
      <c r="T85" s="18">
        <f t="shared" si="18"/>
        <v>0.43506895736684381</v>
      </c>
      <c r="U85" s="1">
        <f t="shared" si="7"/>
        <v>0</v>
      </c>
      <c r="V85" s="2">
        <f t="shared" si="19"/>
        <v>63.904120246904156</v>
      </c>
      <c r="W85" s="19">
        <f t="shared" si="20"/>
        <v>27.664121319006128</v>
      </c>
      <c r="X85" s="20"/>
      <c r="Y85" s="2">
        <f t="shared" si="21"/>
        <v>7.6658840669094896</v>
      </c>
      <c r="Z85" s="21">
        <f t="shared" si="22"/>
        <v>0.33303678897770772</v>
      </c>
      <c r="AA85" s="2">
        <f t="shared" si="23"/>
        <v>5.8296203721732205</v>
      </c>
      <c r="AB85" s="19">
        <f t="shared" si="26"/>
        <v>23.02664779988384</v>
      </c>
      <c r="AC85" s="2"/>
      <c r="AD85" s="18"/>
      <c r="AE85" s="118"/>
      <c r="AG85" s="2"/>
      <c r="AH85" s="19"/>
      <c r="AI85" s="20"/>
      <c r="AJ85" s="21"/>
      <c r="AK85" s="21"/>
      <c r="AM85" s="19"/>
      <c r="AN85" s="18"/>
      <c r="AO85" s="2"/>
      <c r="AP85" s="18"/>
      <c r="AQ85" s="118"/>
      <c r="AS85" s="2"/>
      <c r="AT85" s="19"/>
      <c r="AU85" s="20"/>
      <c r="AV85" s="21"/>
      <c r="AW85" s="21"/>
      <c r="AY85" s="19"/>
      <c r="AZ85" s="18"/>
      <c r="BA85" s="2"/>
      <c r="BB85" s="18"/>
      <c r="BC85" s="118"/>
      <c r="BE85" s="2"/>
      <c r="BF85" s="19"/>
      <c r="BG85" s="20"/>
      <c r="BH85" s="21"/>
      <c r="BI85" s="21"/>
      <c r="BK85" s="19"/>
      <c r="BL85" s="18"/>
      <c r="BM85" s="2"/>
      <c r="BN85" s="18"/>
      <c r="BO85" s="118"/>
      <c r="BQ85" s="2"/>
      <c r="BR85" s="19"/>
      <c r="BS85" s="20"/>
      <c r="BT85" s="21"/>
      <c r="BU85" s="21"/>
      <c r="BW85" s="19"/>
      <c r="BX85" s="18"/>
      <c r="BY85" s="2"/>
      <c r="BZ85" s="18"/>
      <c r="CA85" s="118"/>
      <c r="CC85" s="2"/>
      <c r="CD85" s="19"/>
      <c r="CE85" s="20"/>
      <c r="CF85" s="21"/>
      <c r="CG85" s="21"/>
      <c r="CI85" s="19"/>
      <c r="CJ85" s="18"/>
      <c r="CK85" s="2"/>
      <c r="CL85" s="18"/>
      <c r="CM85" s="118"/>
      <c r="CO85" s="2"/>
      <c r="CP85" s="19"/>
      <c r="CQ85" s="20"/>
      <c r="CR85" s="21"/>
      <c r="CS85" s="21"/>
    </row>
    <row r="86" spans="1:97" x14ac:dyDescent="0.25">
      <c r="A86" s="1">
        <f t="shared" si="8"/>
        <v>60</v>
      </c>
      <c r="B86" s="19">
        <f t="shared" si="9"/>
        <v>20.578163840314293</v>
      </c>
      <c r="C86" s="18">
        <f t="shared" si="24"/>
        <v>0.9001272182815051</v>
      </c>
      <c r="D86" s="2">
        <f t="shared" si="2"/>
        <v>0.90051311439575832</v>
      </c>
      <c r="E86" s="18">
        <f t="shared" si="10"/>
        <v>0.91513577018810111</v>
      </c>
      <c r="F86" s="21">
        <f t="shared" si="3"/>
        <v>6.6418196336061247E-2</v>
      </c>
      <c r="G86" s="1">
        <f t="shared" si="4"/>
        <v>0</v>
      </c>
      <c r="H86" s="2">
        <f t="shared" si="0"/>
        <v>47.601976667462075</v>
      </c>
      <c r="I86" s="19">
        <f t="shared" si="11"/>
        <v>20.60691630626064</v>
      </c>
      <c r="J86" s="20">
        <f t="shared" si="5"/>
        <v>0.93636106019970089</v>
      </c>
      <c r="K86" s="21">
        <f t="shared" si="6"/>
        <v>0.60705589701109841</v>
      </c>
      <c r="L86" s="21">
        <f t="shared" si="1"/>
        <v>4.9089533389370207E-2</v>
      </c>
      <c r="M86" s="2">
        <f t="shared" si="12"/>
        <v>0.44272127263594513</v>
      </c>
      <c r="N86" s="19">
        <f t="shared" si="25"/>
        <v>231.03156841587182</v>
      </c>
      <c r="O86" s="1">
        <f t="shared" si="13"/>
        <v>60</v>
      </c>
      <c r="P86" s="19">
        <f t="shared" si="14"/>
        <v>27.664121319006128</v>
      </c>
      <c r="Q86" s="18">
        <f t="shared" si="15"/>
        <v>2.3836208979470639</v>
      </c>
      <c r="R86" s="2">
        <f t="shared" si="16"/>
        <v>0.90585825660563302</v>
      </c>
      <c r="S86" s="18">
        <f t="shared" si="17"/>
        <v>2.3987185355571579</v>
      </c>
      <c r="T86" s="18">
        <f t="shared" si="18"/>
        <v>0.44050127416870949</v>
      </c>
      <c r="U86" s="1">
        <f t="shared" si="7"/>
        <v>0</v>
      </c>
      <c r="V86" s="2">
        <f t="shared" si="19"/>
        <v>64.344621521072867</v>
      </c>
      <c r="W86" s="19">
        <f t="shared" si="20"/>
        <v>27.854814511286953</v>
      </c>
      <c r="X86" s="20"/>
      <c r="Y86" s="2">
        <f t="shared" si="21"/>
        <v>7.8566211186245409</v>
      </c>
      <c r="Z86" s="21">
        <f t="shared" si="22"/>
        <v>0.33726899924222925</v>
      </c>
      <c r="AA86" s="2">
        <f t="shared" si="23"/>
        <v>5.975624267949077</v>
      </c>
      <c r="AB86" s="19">
        <f t="shared" si="26"/>
        <v>23.33731552247562</v>
      </c>
      <c r="AC86" s="2"/>
      <c r="AD86" s="18"/>
      <c r="AE86" s="118"/>
      <c r="AG86" s="2"/>
      <c r="AH86" s="19"/>
      <c r="AI86" s="20"/>
      <c r="AJ86" s="21"/>
      <c r="AK86" s="21"/>
      <c r="AM86" s="19"/>
      <c r="AN86" s="18"/>
      <c r="AO86" s="2"/>
      <c r="AP86" s="18"/>
      <c r="AQ86" s="118"/>
      <c r="AS86" s="2"/>
      <c r="AT86" s="19"/>
      <c r="AU86" s="20"/>
      <c r="AV86" s="21"/>
      <c r="AW86" s="21"/>
      <c r="AY86" s="19"/>
      <c r="AZ86" s="18"/>
      <c r="BA86" s="2"/>
      <c r="BB86" s="18"/>
      <c r="BC86" s="118"/>
      <c r="BE86" s="2"/>
      <c r="BF86" s="19"/>
      <c r="BG86" s="20"/>
      <c r="BH86" s="21"/>
      <c r="BI86" s="21"/>
      <c r="BK86" s="19"/>
      <c r="BL86" s="18"/>
      <c r="BM86" s="2"/>
      <c r="BN86" s="18"/>
      <c r="BO86" s="118"/>
      <c r="BQ86" s="2"/>
      <c r="BR86" s="19"/>
      <c r="BS86" s="20"/>
      <c r="BT86" s="21"/>
      <c r="BU86" s="21"/>
      <c r="BW86" s="19"/>
      <c r="BX86" s="18"/>
      <c r="BY86" s="2"/>
      <c r="BZ86" s="18"/>
      <c r="CA86" s="118"/>
      <c r="CC86" s="2"/>
      <c r="CD86" s="19"/>
      <c r="CE86" s="20"/>
      <c r="CF86" s="21"/>
      <c r="CG86" s="21"/>
      <c r="CI86" s="19"/>
      <c r="CJ86" s="18"/>
      <c r="CK86" s="2"/>
      <c r="CL86" s="18"/>
      <c r="CM86" s="118"/>
      <c r="CO86" s="2"/>
      <c r="CP86" s="19"/>
      <c r="CQ86" s="20"/>
      <c r="CR86" s="21"/>
      <c r="CS86" s="21"/>
    </row>
    <row r="87" spans="1:97" x14ac:dyDescent="0.25">
      <c r="A87" s="1">
        <f t="shared" si="8"/>
        <v>61</v>
      </c>
      <c r="B87" s="19">
        <f t="shared" si="9"/>
        <v>20.60691630626064</v>
      </c>
      <c r="C87" s="18">
        <f t="shared" si="24"/>
        <v>0.91513577018810111</v>
      </c>
      <c r="D87" s="2">
        <f t="shared" si="2"/>
        <v>0.90053826169501539</v>
      </c>
      <c r="E87" s="18">
        <f t="shared" si="10"/>
        <v>0.93014474121635138</v>
      </c>
      <c r="F87" s="21">
        <f t="shared" si="3"/>
        <v>6.8571637927923937E-2</v>
      </c>
      <c r="G87" s="1">
        <f t="shared" si="4"/>
        <v>0</v>
      </c>
      <c r="H87" s="2">
        <f t="shared" si="0"/>
        <v>47.670548305390007</v>
      </c>
      <c r="I87" s="19">
        <f t="shared" si="11"/>
        <v>20.636600998004333</v>
      </c>
      <c r="J87" s="20">
        <f t="shared" si="5"/>
        <v>0.9363542698323104</v>
      </c>
      <c r="K87" s="21">
        <f t="shared" si="6"/>
        <v>0.63674741623388953</v>
      </c>
      <c r="L87" s="21">
        <f t="shared" si="1"/>
        <v>5.071295437681822E-2</v>
      </c>
      <c r="M87" s="2">
        <f t="shared" si="12"/>
        <v>0.46467493253932962</v>
      </c>
      <c r="N87" s="19">
        <f t="shared" si="25"/>
        <v>231.84075334778109</v>
      </c>
      <c r="O87" s="1">
        <f t="shared" si="13"/>
        <v>61</v>
      </c>
      <c r="P87" s="19">
        <f t="shared" si="14"/>
        <v>27.854814511286953</v>
      </c>
      <c r="Q87" s="18">
        <f t="shared" si="15"/>
        <v>2.3987185355571579</v>
      </c>
      <c r="R87" s="2">
        <f t="shared" si="16"/>
        <v>0.90598272120242618</v>
      </c>
      <c r="S87" s="18">
        <f t="shared" si="17"/>
        <v>2.4138182475771983</v>
      </c>
      <c r="T87" s="18">
        <f t="shared" si="18"/>
        <v>0.44596751892558018</v>
      </c>
      <c r="U87" s="1">
        <f t="shared" si="7"/>
        <v>0</v>
      </c>
      <c r="V87" s="2">
        <f t="shared" si="19"/>
        <v>64.790589039998451</v>
      </c>
      <c r="W87" s="19">
        <f t="shared" si="20"/>
        <v>28.047874043289372</v>
      </c>
      <c r="X87" s="20"/>
      <c r="Y87" s="2">
        <f t="shared" si="21"/>
        <v>8.0497250543193175</v>
      </c>
      <c r="Z87" s="21">
        <f t="shared" si="22"/>
        <v>0.34152851832600956</v>
      </c>
      <c r="AA87" s="2">
        <f t="shared" si="23"/>
        <v>6.1234721113802504</v>
      </c>
      <c r="AB87" s="19">
        <f t="shared" si="26"/>
        <v>23.646027889062388</v>
      </c>
      <c r="AC87" s="2"/>
      <c r="AD87" s="18"/>
      <c r="AE87" s="118"/>
      <c r="AG87" s="2"/>
      <c r="AH87" s="19"/>
      <c r="AI87" s="20"/>
      <c r="AJ87" s="21"/>
      <c r="AK87" s="21"/>
      <c r="AM87" s="19"/>
      <c r="AN87" s="18"/>
      <c r="AO87" s="2"/>
      <c r="AP87" s="18"/>
      <c r="AQ87" s="118"/>
      <c r="AS87" s="2"/>
      <c r="AT87" s="19"/>
      <c r="AU87" s="20"/>
      <c r="AV87" s="21"/>
      <c r="AW87" s="21"/>
      <c r="AY87" s="19"/>
      <c r="AZ87" s="18"/>
      <c r="BA87" s="2"/>
      <c r="BB87" s="18"/>
      <c r="BC87" s="118"/>
      <c r="BE87" s="2"/>
      <c r="BF87" s="19"/>
      <c r="BG87" s="20"/>
      <c r="BH87" s="21"/>
      <c r="BI87" s="21"/>
      <c r="BK87" s="19"/>
      <c r="BL87" s="18"/>
      <c r="BM87" s="2"/>
      <c r="BN87" s="18"/>
      <c r="BO87" s="118"/>
      <c r="BQ87" s="2"/>
      <c r="BR87" s="19"/>
      <c r="BS87" s="20"/>
      <c r="BT87" s="21"/>
      <c r="BU87" s="21"/>
      <c r="BW87" s="19"/>
      <c r="BX87" s="18"/>
      <c r="BY87" s="2"/>
      <c r="BZ87" s="18"/>
      <c r="CA87" s="118"/>
      <c r="CC87" s="2"/>
      <c r="CD87" s="19"/>
      <c r="CE87" s="20"/>
      <c r="CF87" s="21"/>
      <c r="CG87" s="21"/>
      <c r="CI87" s="19"/>
      <c r="CJ87" s="18"/>
      <c r="CK87" s="2"/>
      <c r="CL87" s="18"/>
      <c r="CM87" s="118"/>
      <c r="CO87" s="2"/>
      <c r="CP87" s="19"/>
      <c r="CQ87" s="20"/>
      <c r="CR87" s="21"/>
      <c r="CS87" s="21"/>
    </row>
    <row r="88" spans="1:97" x14ac:dyDescent="0.25">
      <c r="A88" s="1">
        <f t="shared" si="8"/>
        <v>62</v>
      </c>
      <c r="B88" s="19">
        <f t="shared" si="9"/>
        <v>20.636600998004333</v>
      </c>
      <c r="C88" s="18">
        <f t="shared" si="24"/>
        <v>0.93014474121635138</v>
      </c>
      <c r="D88" s="2">
        <f t="shared" si="2"/>
        <v>0.90056418828117923</v>
      </c>
      <c r="E88" s="18">
        <f t="shared" si="10"/>
        <v>0.94515414435437106</v>
      </c>
      <c r="F88" s="21">
        <f t="shared" si="3"/>
        <v>7.0758889070404077E-2</v>
      </c>
      <c r="G88" s="1">
        <f t="shared" si="4"/>
        <v>0</v>
      </c>
      <c r="H88" s="2">
        <f t="shared" si="0"/>
        <v>47.741307194460418</v>
      </c>
      <c r="I88" s="19">
        <f t="shared" si="11"/>
        <v>20.667232551714466</v>
      </c>
      <c r="J88" s="20">
        <f t="shared" si="5"/>
        <v>0.93634726704238602</v>
      </c>
      <c r="K88" s="21">
        <f t="shared" si="6"/>
        <v>0.66738601520137453</v>
      </c>
      <c r="L88" s="21">
        <f t="shared" si="1"/>
        <v>5.2362832104526233E-2</v>
      </c>
      <c r="M88" s="2">
        <f t="shared" si="12"/>
        <v>0.48734282522527173</v>
      </c>
      <c r="N88" s="19">
        <f t="shared" si="25"/>
        <v>232.63688113636485</v>
      </c>
      <c r="O88" s="1">
        <f t="shared" si="13"/>
        <v>62</v>
      </c>
      <c r="P88" s="19">
        <f t="shared" si="14"/>
        <v>28.047874043289372</v>
      </c>
      <c r="Q88" s="18">
        <f t="shared" si="15"/>
        <v>2.4138182475771983</v>
      </c>
      <c r="R88" s="2">
        <f t="shared" si="16"/>
        <v>0.90610788253659835</v>
      </c>
      <c r="S88" s="18">
        <f t="shared" si="17"/>
        <v>2.4289200456194751</v>
      </c>
      <c r="T88" s="18">
        <f t="shared" si="18"/>
        <v>0.45146770356282589</v>
      </c>
      <c r="U88" s="1">
        <f t="shared" si="7"/>
        <v>0</v>
      </c>
      <c r="V88" s="2">
        <f t="shared" si="19"/>
        <v>65.242056743561278</v>
      </c>
      <c r="W88" s="19">
        <f t="shared" si="20"/>
        <v>28.243314607602283</v>
      </c>
      <c r="X88" s="20"/>
      <c r="Y88" s="2">
        <f t="shared" si="21"/>
        <v>8.2452105699620208</v>
      </c>
      <c r="Z88" s="21">
        <f t="shared" si="22"/>
        <v>0.34581536055184103</v>
      </c>
      <c r="AA88" s="2">
        <f t="shared" si="23"/>
        <v>6.2731757306667619</v>
      </c>
      <c r="AB88" s="19">
        <f t="shared" si="26"/>
        <v>23.952809096235157</v>
      </c>
      <c r="AC88" s="2"/>
      <c r="AD88" s="18"/>
      <c r="AE88" s="118"/>
      <c r="AG88" s="2"/>
      <c r="AH88" s="19"/>
      <c r="AI88" s="20"/>
      <c r="AJ88" s="21"/>
      <c r="AK88" s="21"/>
      <c r="AM88" s="19"/>
      <c r="AN88" s="18"/>
      <c r="AO88" s="2"/>
      <c r="AP88" s="18"/>
      <c r="AQ88" s="118"/>
      <c r="AS88" s="2"/>
      <c r="AT88" s="19"/>
      <c r="AU88" s="20"/>
      <c r="AV88" s="21"/>
      <c r="AW88" s="21"/>
      <c r="AY88" s="19"/>
      <c r="AZ88" s="18"/>
      <c r="BA88" s="2"/>
      <c r="BB88" s="18"/>
      <c r="BC88" s="118"/>
      <c r="BE88" s="2"/>
      <c r="BF88" s="19"/>
      <c r="BG88" s="20"/>
      <c r="BH88" s="21"/>
      <c r="BI88" s="21"/>
      <c r="BK88" s="19"/>
      <c r="BL88" s="18"/>
      <c r="BM88" s="2"/>
      <c r="BN88" s="18"/>
      <c r="BO88" s="118"/>
      <c r="BQ88" s="2"/>
      <c r="BR88" s="19"/>
      <c r="BS88" s="20"/>
      <c r="BT88" s="21"/>
      <c r="BU88" s="21"/>
      <c r="BW88" s="19"/>
      <c r="BX88" s="18"/>
      <c r="BY88" s="2"/>
      <c r="BZ88" s="18"/>
      <c r="CA88" s="118"/>
      <c r="CC88" s="2"/>
      <c r="CD88" s="19"/>
      <c r="CE88" s="20"/>
      <c r="CF88" s="21"/>
      <c r="CG88" s="21"/>
      <c r="CI88" s="19"/>
      <c r="CJ88" s="18"/>
      <c r="CK88" s="2"/>
      <c r="CL88" s="18"/>
      <c r="CM88" s="118"/>
      <c r="CO88" s="2"/>
      <c r="CP88" s="19"/>
      <c r="CQ88" s="20"/>
      <c r="CR88" s="21"/>
      <c r="CS88" s="21"/>
    </row>
    <row r="89" spans="1:97" x14ac:dyDescent="0.25">
      <c r="A89" s="1">
        <f t="shared" si="8"/>
        <v>63</v>
      </c>
      <c r="B89" s="19">
        <f t="shared" si="9"/>
        <v>20.667232551714466</v>
      </c>
      <c r="C89" s="18">
        <f t="shared" si="24"/>
        <v>0.94515414435437106</v>
      </c>
      <c r="D89" s="2">
        <f t="shared" si="2"/>
        <v>0.90059090356850513</v>
      </c>
      <c r="E89" s="18">
        <f t="shared" si="10"/>
        <v>0.96016399274717945</v>
      </c>
      <c r="F89" s="21">
        <f t="shared" si="3"/>
        <v>7.2979937273033216E-2</v>
      </c>
      <c r="G89" s="1">
        <f t="shared" si="4"/>
        <v>0</v>
      </c>
      <c r="H89" s="2">
        <f t="shared" si="0"/>
        <v>47.814287131733451</v>
      </c>
      <c r="I89" s="19">
        <f t="shared" si="11"/>
        <v>20.698825598153007</v>
      </c>
      <c r="J89" s="20">
        <f t="shared" si="5"/>
        <v>0.93634004898236811</v>
      </c>
      <c r="K89" s="21">
        <f t="shared" si="6"/>
        <v>0.6989863280405979</v>
      </c>
      <c r="L89" s="21">
        <f t="shared" si="1"/>
        <v>5.4039170333135815E-2</v>
      </c>
      <c r="M89" s="2">
        <f t="shared" si="12"/>
        <v>0.51073640545606647</v>
      </c>
      <c r="N89" s="19">
        <f t="shared" si="25"/>
        <v>233.4203661163659</v>
      </c>
      <c r="O89" s="1">
        <f t="shared" si="13"/>
        <v>63</v>
      </c>
      <c r="P89" s="19">
        <f t="shared" si="14"/>
        <v>28.243314607602283</v>
      </c>
      <c r="Q89" s="18">
        <f t="shared" si="15"/>
        <v>2.4289200456194751</v>
      </c>
      <c r="R89" s="2">
        <f t="shared" si="16"/>
        <v>0.90623373047079803</v>
      </c>
      <c r="S89" s="18">
        <f t="shared" si="17"/>
        <v>2.4440239411273219</v>
      </c>
      <c r="T89" s="18">
        <f t="shared" si="18"/>
        <v>0.45700184008563138</v>
      </c>
      <c r="U89" s="1">
        <f t="shared" si="7"/>
        <v>0</v>
      </c>
      <c r="V89" s="2">
        <f t="shared" si="19"/>
        <v>65.699058583646917</v>
      </c>
      <c r="W89" s="19">
        <f t="shared" si="20"/>
        <v>28.44115090201165</v>
      </c>
      <c r="X89" s="20"/>
      <c r="Y89" s="2">
        <f t="shared" si="21"/>
        <v>8.4430923667190996</v>
      </c>
      <c r="Z89" s="21">
        <f t="shared" si="22"/>
        <v>0.35012954027786658</v>
      </c>
      <c r="AA89" s="2">
        <f t="shared" si="23"/>
        <v>6.4247469602242795</v>
      </c>
      <c r="AB89" s="19">
        <f t="shared" si="26"/>
        <v>24.257682892811086</v>
      </c>
      <c r="AC89" s="2"/>
      <c r="AD89" s="18"/>
      <c r="AE89" s="118"/>
      <c r="AG89" s="2"/>
      <c r="AH89" s="19"/>
      <c r="AI89" s="20"/>
      <c r="AJ89" s="21"/>
      <c r="AK89" s="21"/>
      <c r="AM89" s="19"/>
      <c r="AN89" s="18"/>
      <c r="AO89" s="2"/>
      <c r="AP89" s="18"/>
      <c r="AQ89" s="118"/>
      <c r="AS89" s="2"/>
      <c r="AT89" s="19"/>
      <c r="AU89" s="20"/>
      <c r="AV89" s="21"/>
      <c r="AW89" s="21"/>
      <c r="AY89" s="19"/>
      <c r="AZ89" s="18"/>
      <c r="BA89" s="2"/>
      <c r="BB89" s="18"/>
      <c r="BC89" s="118"/>
      <c r="BE89" s="2"/>
      <c r="BF89" s="19"/>
      <c r="BG89" s="20"/>
      <c r="BH89" s="21"/>
      <c r="BI89" s="21"/>
      <c r="BK89" s="19"/>
      <c r="BL89" s="18"/>
      <c r="BM89" s="2"/>
      <c r="BN89" s="18"/>
      <c r="BO89" s="118"/>
      <c r="BQ89" s="2"/>
      <c r="BR89" s="19"/>
      <c r="BS89" s="20"/>
      <c r="BT89" s="21"/>
      <c r="BU89" s="21"/>
      <c r="BW89" s="19"/>
      <c r="BX89" s="18"/>
      <c r="BY89" s="2"/>
      <c r="BZ89" s="18"/>
      <c r="CA89" s="118"/>
      <c r="CC89" s="2"/>
      <c r="CD89" s="19"/>
      <c r="CE89" s="20"/>
      <c r="CF89" s="21"/>
      <c r="CG89" s="21"/>
      <c r="CI89" s="19"/>
      <c r="CJ89" s="18"/>
      <c r="CK89" s="2"/>
      <c r="CL89" s="18"/>
      <c r="CM89" s="118"/>
      <c r="CO89" s="2"/>
      <c r="CP89" s="19"/>
      <c r="CQ89" s="20"/>
      <c r="CR89" s="21"/>
      <c r="CS89" s="21"/>
    </row>
    <row r="90" spans="1:97" x14ac:dyDescent="0.25">
      <c r="A90" s="1">
        <f t="shared" si="8"/>
        <v>64</v>
      </c>
      <c r="B90" s="19">
        <f t="shared" si="9"/>
        <v>20.698825598153007</v>
      </c>
      <c r="C90" s="18">
        <f t="shared" si="24"/>
        <v>0.96016399274717945</v>
      </c>
      <c r="D90" s="2">
        <f t="shared" si="2"/>
        <v>0.90061841680196719</v>
      </c>
      <c r="E90" s="18">
        <f t="shared" si="10"/>
        <v>0.97517429969387892</v>
      </c>
      <c r="F90" s="21">
        <f t="shared" si="3"/>
        <v>7.523477049761626E-2</v>
      </c>
      <c r="G90" s="1">
        <f t="shared" si="4"/>
        <v>0</v>
      </c>
      <c r="H90" s="2">
        <f t="shared" ref="H90:H153" si="27">(B90*2.31)+F90-G90</f>
        <v>47.889521902231067</v>
      </c>
      <c r="I90" s="19">
        <f t="shared" si="11"/>
        <v>20.73139476287059</v>
      </c>
      <c r="J90" s="20">
        <f t="shared" si="5"/>
        <v>0.93633261283304048</v>
      </c>
      <c r="K90" s="21">
        <f t="shared" si="6"/>
        <v>0.73156298366606576</v>
      </c>
      <c r="L90" s="21">
        <f t="shared" ref="L90:L153" si="28">($C$11*((0.4085*E90/$C$5^2))^2)/64.4</f>
        <v>5.5741972933493915E-2</v>
      </c>
      <c r="M90" s="2">
        <f t="shared" si="12"/>
        <v>0.53486712966970018</v>
      </c>
      <c r="N90" s="19">
        <f t="shared" si="25"/>
        <v>234.1916031982405</v>
      </c>
      <c r="O90" s="1">
        <f t="shared" si="13"/>
        <v>64</v>
      </c>
      <c r="P90" s="19">
        <f t="shared" si="14"/>
        <v>28.44115090201165</v>
      </c>
      <c r="Q90" s="18">
        <f t="shared" si="15"/>
        <v>2.4440239411273219</v>
      </c>
      <c r="R90" s="2">
        <f t="shared" si="16"/>
        <v>0.9063602548472931</v>
      </c>
      <c r="S90" s="18">
        <f t="shared" si="17"/>
        <v>2.4591299453747766</v>
      </c>
      <c r="T90" s="18">
        <f t="shared" si="18"/>
        <v>0.46256994057648954</v>
      </c>
      <c r="U90" s="1">
        <f t="shared" si="7"/>
        <v>0</v>
      </c>
      <c r="V90" s="2">
        <f t="shared" si="19"/>
        <v>66.161628524223403</v>
      </c>
      <c r="W90" s="19">
        <f t="shared" si="20"/>
        <v>28.641397629533941</v>
      </c>
      <c r="X90" s="20"/>
      <c r="Y90" s="2">
        <f t="shared" si="21"/>
        <v>8.6433851509887187</v>
      </c>
      <c r="Z90" s="21">
        <f t="shared" si="22"/>
        <v>0.35447107189601362</v>
      </c>
      <c r="AA90" s="2">
        <f t="shared" si="23"/>
        <v>6.5781976406987441</v>
      </c>
      <c r="AB90" s="19">
        <f t="shared" si="26"/>
        <v>24.560672590835821</v>
      </c>
      <c r="AC90" s="2"/>
      <c r="AD90" s="18"/>
      <c r="AE90" s="118"/>
      <c r="AG90" s="2"/>
      <c r="AH90" s="19"/>
      <c r="AI90" s="20"/>
      <c r="AJ90" s="21"/>
      <c r="AK90" s="21"/>
      <c r="AM90" s="19"/>
      <c r="AN90" s="18"/>
      <c r="AO90" s="2"/>
      <c r="AP90" s="18"/>
      <c r="AQ90" s="118"/>
      <c r="AS90" s="2"/>
      <c r="AT90" s="19"/>
      <c r="AU90" s="20"/>
      <c r="AV90" s="21"/>
      <c r="AW90" s="21"/>
      <c r="AY90" s="19"/>
      <c r="AZ90" s="18"/>
      <c r="BA90" s="2"/>
      <c r="BB90" s="18"/>
      <c r="BC90" s="118"/>
      <c r="BE90" s="2"/>
      <c r="BF90" s="19"/>
      <c r="BG90" s="20"/>
      <c r="BH90" s="21"/>
      <c r="BI90" s="21"/>
      <c r="BK90" s="19"/>
      <c r="BL90" s="18"/>
      <c r="BM90" s="2"/>
      <c r="BN90" s="18"/>
      <c r="BO90" s="118"/>
      <c r="BQ90" s="2"/>
      <c r="BR90" s="19"/>
      <c r="BS90" s="20"/>
      <c r="BT90" s="21"/>
      <c r="BU90" s="21"/>
      <c r="BW90" s="19"/>
      <c r="BX90" s="18"/>
      <c r="BY90" s="2"/>
      <c r="BZ90" s="18"/>
      <c r="CA90" s="118"/>
      <c r="CC90" s="2"/>
      <c r="CD90" s="19"/>
      <c r="CE90" s="20"/>
      <c r="CF90" s="21"/>
      <c r="CG90" s="21"/>
      <c r="CI90" s="19"/>
      <c r="CJ90" s="18"/>
      <c r="CK90" s="2"/>
      <c r="CL90" s="18"/>
      <c r="CM90" s="118"/>
      <c r="CO90" s="2"/>
      <c r="CP90" s="19"/>
      <c r="CQ90" s="20"/>
      <c r="CR90" s="21"/>
      <c r="CS90" s="21"/>
    </row>
    <row r="91" spans="1:97" x14ac:dyDescent="0.25">
      <c r="A91" s="1">
        <f t="shared" si="8"/>
        <v>65</v>
      </c>
      <c r="B91" s="19">
        <f t="shared" si="9"/>
        <v>20.73139476287059</v>
      </c>
      <c r="C91" s="18">
        <f t="shared" si="24"/>
        <v>0.97517429969387892</v>
      </c>
      <c r="D91" s="2">
        <f t="shared" ref="D91:D154" si="29">$C$17*I90^$C$18</f>
        <v>0.90064673705373743</v>
      </c>
      <c r="E91" s="18">
        <f t="shared" si="10"/>
        <v>0.99018507864477456</v>
      </c>
      <c r="F91" s="21">
        <f t="shared" ref="F91:F154" si="30">(($C$7*($C$16/12)*(E91)^1.852)/($C$5^4.871)+L91)-G91</f>
        <v>7.7523377149026365E-2</v>
      </c>
      <c r="G91" s="1">
        <f t="shared" ref="G91:G154" si="31">$C$9*($C$16/12)/100</f>
        <v>0</v>
      </c>
      <c r="H91" s="2">
        <f t="shared" si="27"/>
        <v>47.967045279380088</v>
      </c>
      <c r="I91" s="19">
        <f t="shared" si="11"/>
        <v>20.764954666398307</v>
      </c>
      <c r="J91" s="20">
        <f t="shared" ref="J91:J154" si="32">(1-1.27*0.05)*($D$26/((E91*60)/((A91/($C$16/12)+1))))</f>
        <v>0.93632495580415287</v>
      </c>
      <c r="K91" s="21">
        <f t="shared" ref="K91:K154" si="33">K90+(F91*0.433)</f>
        <v>0.76513060597159421</v>
      </c>
      <c r="L91" s="21">
        <f t="shared" si="28"/>
        <v>5.7471243887681558E-2</v>
      </c>
      <c r="M91" s="2">
        <f t="shared" si="12"/>
        <v>0.55974645602800388</v>
      </c>
      <c r="N91" s="19">
        <f t="shared" si="25"/>
        <v>234.95096906352208</v>
      </c>
      <c r="O91" s="1">
        <f t="shared" si="13"/>
        <v>65</v>
      </c>
      <c r="P91" s="19">
        <f t="shared" si="14"/>
        <v>28.641397629533941</v>
      </c>
      <c r="Q91" s="18">
        <f t="shared" si="15"/>
        <v>2.4591299453747766</v>
      </c>
      <c r="R91" s="2">
        <f t="shared" si="16"/>
        <v>0.90648744549219706</v>
      </c>
      <c r="S91" s="18">
        <f t="shared" si="17"/>
        <v>2.4742380694663133</v>
      </c>
      <c r="T91" s="18">
        <f t="shared" si="18"/>
        <v>0.46817201719272938</v>
      </c>
      <c r="U91" s="1">
        <f t="shared" ref="U91:U154" si="34">$C$9*($C$16/12)/100</f>
        <v>0</v>
      </c>
      <c r="V91" s="2">
        <f t="shared" si="19"/>
        <v>66.629800541416131</v>
      </c>
      <c r="W91" s="19">
        <f t="shared" si="20"/>
        <v>28.84406949844854</v>
      </c>
      <c r="X91" s="20"/>
      <c r="Y91" s="2">
        <f t="shared" si="21"/>
        <v>8.8461036344331703</v>
      </c>
      <c r="Z91" s="21">
        <f t="shared" si="22"/>
        <v>0.35883996983044558</v>
      </c>
      <c r="AA91" s="2">
        <f t="shared" si="23"/>
        <v>6.7335396189803225</v>
      </c>
      <c r="AB91" s="19">
        <f t="shared" si="26"/>
        <v>24.861801076250014</v>
      </c>
      <c r="AC91" s="2"/>
      <c r="AD91" s="18"/>
      <c r="AE91" s="118"/>
      <c r="AG91" s="2"/>
      <c r="AH91" s="19"/>
      <c r="AI91" s="20"/>
      <c r="AJ91" s="21"/>
      <c r="AK91" s="21"/>
      <c r="AM91" s="19"/>
      <c r="AN91" s="18"/>
      <c r="AO91" s="2"/>
      <c r="AP91" s="18"/>
      <c r="AQ91" s="118"/>
      <c r="AS91" s="2"/>
      <c r="AT91" s="19"/>
      <c r="AU91" s="20"/>
      <c r="AV91" s="21"/>
      <c r="AW91" s="21"/>
      <c r="AY91" s="19"/>
      <c r="AZ91" s="18"/>
      <c r="BA91" s="2"/>
      <c r="BB91" s="18"/>
      <c r="BC91" s="118"/>
      <c r="BE91" s="2"/>
      <c r="BF91" s="19"/>
      <c r="BG91" s="20"/>
      <c r="BH91" s="21"/>
      <c r="BI91" s="21"/>
      <c r="BK91" s="19"/>
      <c r="BL91" s="18"/>
      <c r="BM91" s="2"/>
      <c r="BN91" s="18"/>
      <c r="BO91" s="118"/>
      <c r="BQ91" s="2"/>
      <c r="BR91" s="19"/>
      <c r="BS91" s="20"/>
      <c r="BT91" s="21"/>
      <c r="BU91" s="21"/>
      <c r="BW91" s="19"/>
      <c r="BX91" s="18"/>
      <c r="BY91" s="2"/>
      <c r="BZ91" s="18"/>
      <c r="CA91" s="118"/>
      <c r="CC91" s="2"/>
      <c r="CD91" s="19"/>
      <c r="CE91" s="20"/>
      <c r="CF91" s="21"/>
      <c r="CG91" s="21"/>
      <c r="CI91" s="19"/>
      <c r="CJ91" s="18"/>
      <c r="CK91" s="2"/>
      <c r="CL91" s="18"/>
      <c r="CM91" s="118"/>
      <c r="CO91" s="2"/>
      <c r="CP91" s="19"/>
      <c r="CQ91" s="20"/>
      <c r="CR91" s="21"/>
      <c r="CS91" s="21"/>
    </row>
    <row r="92" spans="1:97" x14ac:dyDescent="0.25">
      <c r="A92" s="1">
        <f t="shared" ref="A92:A155" si="35">A91+$C$16/12</f>
        <v>66</v>
      </c>
      <c r="B92" s="19">
        <f t="shared" ref="B92:B155" si="36">I91</f>
        <v>20.764954666398307</v>
      </c>
      <c r="C92" s="18">
        <f t="shared" si="24"/>
        <v>0.99018507864477456</v>
      </c>
      <c r="D92" s="2">
        <f t="shared" si="29"/>
        <v>0.90067587321970333</v>
      </c>
      <c r="E92" s="18">
        <f t="shared" ref="E92:E155" si="37">C92+D92/60</f>
        <v>1.0051963431984363</v>
      </c>
      <c r="F92" s="21">
        <f t="shared" si="30"/>
        <v>7.9845746066451825E-2</v>
      </c>
      <c r="G92" s="1">
        <f t="shared" si="31"/>
        <v>0</v>
      </c>
      <c r="H92" s="2">
        <f t="shared" si="27"/>
        <v>48.046891025446541</v>
      </c>
      <c r="I92" s="19">
        <f>H92/2.31</f>
        <v>20.799519924435732</v>
      </c>
      <c r="J92" s="20">
        <f t="shared" si="32"/>
        <v>0.93631707513504248</v>
      </c>
      <c r="K92" s="21">
        <f t="shared" si="33"/>
        <v>0.79970381401836788</v>
      </c>
      <c r="L92" s="21">
        <f t="shared" si="28"/>
        <v>5.9226987290005022E-2</v>
      </c>
      <c r="M92" s="2">
        <f t="shared" ref="M92:M155" si="38">(L92/2.31)+M91</f>
        <v>0.58538584446523545</v>
      </c>
      <c r="N92" s="19">
        <f t="shared" si="25"/>
        <v>235.69882326962758</v>
      </c>
      <c r="O92" s="1">
        <f t="shared" ref="O92:O155" si="39">O91+$C$16/12</f>
        <v>66</v>
      </c>
      <c r="P92" s="19">
        <f t="shared" ref="P92:P155" si="40">W91</f>
        <v>28.84406949844854</v>
      </c>
      <c r="Q92" s="18">
        <f t="shared" ref="Q92:Q155" si="41">S91</f>
        <v>2.4742380694663133</v>
      </c>
      <c r="R92" s="2">
        <f t="shared" ref="R92:R155" si="42">$C$17*W91^$C$18</f>
        <v>0.90661529221961379</v>
      </c>
      <c r="S92" s="18">
        <f t="shared" ref="S92:S155" si="43">Q92+R92/60</f>
        <v>2.4893483243366403</v>
      </c>
      <c r="T92" s="18">
        <f t="shared" ref="T92:T155" si="44">(($C$7*($C$16/12)*(S92)^1.852)/($C$5^4.871)+Z92)-U92</f>
        <v>0.47380808216407494</v>
      </c>
      <c r="U92" s="1">
        <f t="shared" si="34"/>
        <v>0</v>
      </c>
      <c r="V92" s="2">
        <f t="shared" ref="V92:V155" si="45">(P92*2.31)+T92-U92</f>
        <v>67.1036086235802</v>
      </c>
      <c r="W92" s="19">
        <f t="shared" ref="W92:W155" si="46">V92/2.31</f>
        <v>29.049181222329089</v>
      </c>
      <c r="X92" s="20"/>
      <c r="Y92" s="2">
        <f t="shared" ref="Y92:Y155" si="47">Y91+(T92*0.433)</f>
        <v>9.0512625340102151</v>
      </c>
      <c r="Z92" s="21">
        <f t="shared" ref="Z92:Z155" si="48">($C$11*((0.4085*S92/$C$5^2))^2)/64.4</f>
        <v>0.36323624853602882</v>
      </c>
      <c r="AA92" s="2">
        <f t="shared" ref="AA92:AA155" si="49">(Z92/2.31)+AA91</f>
        <v>6.8907847482166984</v>
      </c>
      <c r="AB92" s="19">
        <f t="shared" si="26"/>
        <v>25.161090819232232</v>
      </c>
      <c r="AC92" s="2"/>
      <c r="AD92" s="18"/>
      <c r="AE92" s="118"/>
      <c r="AG92" s="2"/>
      <c r="AH92" s="19"/>
      <c r="AI92" s="20"/>
      <c r="AJ92" s="21"/>
      <c r="AK92" s="21"/>
      <c r="AM92" s="19"/>
      <c r="AN92" s="18"/>
      <c r="AO92" s="2"/>
      <c r="AP92" s="18"/>
      <c r="AQ92" s="118"/>
      <c r="AS92" s="2"/>
      <c r="AT92" s="19"/>
      <c r="AU92" s="20"/>
      <c r="AV92" s="21"/>
      <c r="AW92" s="21"/>
      <c r="AY92" s="19"/>
      <c r="AZ92" s="18"/>
      <c r="BA92" s="2"/>
      <c r="BB92" s="18"/>
      <c r="BC92" s="118"/>
      <c r="BE92" s="2"/>
      <c r="BF92" s="19"/>
      <c r="BG92" s="20"/>
      <c r="BH92" s="21"/>
      <c r="BI92" s="21"/>
      <c r="BK92" s="19"/>
      <c r="BL92" s="18"/>
      <c r="BM92" s="2"/>
      <c r="BN92" s="18"/>
      <c r="BO92" s="118"/>
      <c r="BQ92" s="2"/>
      <c r="BR92" s="19"/>
      <c r="BS92" s="20"/>
      <c r="BT92" s="21"/>
      <c r="BU92" s="21"/>
      <c r="BW92" s="19"/>
      <c r="BX92" s="18"/>
      <c r="BY92" s="2"/>
      <c r="BZ92" s="18"/>
      <c r="CA92" s="118"/>
      <c r="CC92" s="2"/>
      <c r="CD92" s="19"/>
      <c r="CE92" s="20"/>
      <c r="CF92" s="21"/>
      <c r="CG92" s="21"/>
      <c r="CI92" s="19"/>
      <c r="CJ92" s="18"/>
      <c r="CK92" s="2"/>
      <c r="CL92" s="18"/>
      <c r="CM92" s="118"/>
      <c r="CO92" s="2"/>
      <c r="CP92" s="19"/>
      <c r="CQ92" s="20"/>
      <c r="CR92" s="21"/>
      <c r="CS92" s="21"/>
    </row>
    <row r="93" spans="1:97" x14ac:dyDescent="0.25">
      <c r="A93" s="1">
        <f t="shared" si="35"/>
        <v>67</v>
      </c>
      <c r="B93" s="19">
        <f t="shared" si="36"/>
        <v>20.799519924435732</v>
      </c>
      <c r="C93" s="18">
        <f t="shared" ref="C93:C156" si="50">E92</f>
        <v>1.0051963431984363</v>
      </c>
      <c r="D93" s="2">
        <f t="shared" si="29"/>
        <v>0.90070583401603022</v>
      </c>
      <c r="E93" s="18">
        <f t="shared" si="37"/>
        <v>1.0202081070987035</v>
      </c>
      <c r="F93" s="21">
        <f t="shared" si="30"/>
        <v>8.2201866515063934E-2</v>
      </c>
      <c r="G93" s="1">
        <f t="shared" si="31"/>
        <v>0</v>
      </c>
      <c r="H93" s="2">
        <f t="shared" si="27"/>
        <v>48.129092891961605</v>
      </c>
      <c r="I93" s="19">
        <f>H93/2.31</f>
        <v>20.835105148035325</v>
      </c>
      <c r="J93" s="20">
        <f t="shared" si="32"/>
        <v>0.93630896809525477</v>
      </c>
      <c r="K93" s="21">
        <f t="shared" si="33"/>
        <v>0.83529722221939051</v>
      </c>
      <c r="L93" s="21">
        <f t="shared" si="28"/>
        <v>6.1009207347949887E-2</v>
      </c>
      <c r="M93" s="2">
        <f t="shared" si="38"/>
        <v>0.61179675673707523</v>
      </c>
      <c r="N93" s="19">
        <f t="shared" ref="N93:N156" si="51">($C$16/12)/(0.4085*E92/$C$5^2)+N92</f>
        <v>236.43550927221605</v>
      </c>
      <c r="O93" s="1">
        <f t="shared" si="39"/>
        <v>67</v>
      </c>
      <c r="P93" s="19">
        <f t="shared" si="40"/>
        <v>29.049181222329089</v>
      </c>
      <c r="Q93" s="18">
        <f t="shared" si="41"/>
        <v>2.4893483243366403</v>
      </c>
      <c r="R93" s="2">
        <f t="shared" si="42"/>
        <v>0.90674378483570062</v>
      </c>
      <c r="S93" s="18">
        <f t="shared" si="43"/>
        <v>2.5044607207505685</v>
      </c>
      <c r="T93" s="18">
        <f t="shared" si="44"/>
        <v>0.47947814779023884</v>
      </c>
      <c r="U93" s="1">
        <f t="shared" si="34"/>
        <v>0</v>
      </c>
      <c r="V93" s="2">
        <f t="shared" si="45"/>
        <v>67.583086771370432</v>
      </c>
      <c r="W93" s="19">
        <f t="shared" si="46"/>
        <v>29.25674752007378</v>
      </c>
      <c r="X93" s="20"/>
      <c r="Y93" s="2">
        <f t="shared" si="47"/>
        <v>9.2588765720033877</v>
      </c>
      <c r="Z93" s="21">
        <f t="shared" si="48"/>
        <v>0.36765992249681834</v>
      </c>
      <c r="AA93" s="2">
        <f t="shared" si="49"/>
        <v>7.0499448878257107</v>
      </c>
      <c r="AB93" s="19">
        <f t="shared" ref="AB93:AB156" si="52">($C$16/12)/(0.4085*S92/$C$5^2)+AB92</f>
        <v>25.458563884229967</v>
      </c>
      <c r="AC93" s="2"/>
      <c r="AD93" s="18"/>
      <c r="AE93" s="118"/>
      <c r="AG93" s="2"/>
      <c r="AH93" s="19"/>
      <c r="AI93" s="20"/>
      <c r="AJ93" s="21"/>
      <c r="AK93" s="21"/>
      <c r="AM93" s="19"/>
      <c r="AN93" s="18"/>
      <c r="AO93" s="2"/>
      <c r="AP93" s="18"/>
      <c r="AQ93" s="118"/>
      <c r="AS93" s="2"/>
      <c r="AT93" s="19"/>
      <c r="AU93" s="20"/>
      <c r="AV93" s="21"/>
      <c r="AW93" s="21"/>
      <c r="AY93" s="19"/>
      <c r="AZ93" s="18"/>
      <c r="BA93" s="2"/>
      <c r="BB93" s="18"/>
      <c r="BC93" s="118"/>
      <c r="BE93" s="2"/>
      <c r="BF93" s="19"/>
      <c r="BG93" s="20"/>
      <c r="BH93" s="21"/>
      <c r="BI93" s="21"/>
      <c r="BK93" s="19"/>
      <c r="BL93" s="18"/>
      <c r="BM93" s="2"/>
      <c r="BN93" s="18"/>
      <c r="BO93" s="118"/>
      <c r="BQ93" s="2"/>
      <c r="BR93" s="19"/>
      <c r="BS93" s="20"/>
      <c r="BT93" s="21"/>
      <c r="BU93" s="21"/>
      <c r="BW93" s="19"/>
      <c r="BX93" s="18"/>
      <c r="BY93" s="2"/>
      <c r="BZ93" s="18"/>
      <c r="CA93" s="118"/>
      <c r="CC93" s="2"/>
      <c r="CD93" s="19"/>
      <c r="CE93" s="20"/>
      <c r="CF93" s="21"/>
      <c r="CG93" s="21"/>
      <c r="CI93" s="19"/>
      <c r="CJ93" s="18"/>
      <c r="CK93" s="2"/>
      <c r="CL93" s="18"/>
      <c r="CM93" s="118"/>
      <c r="CO93" s="2"/>
      <c r="CP93" s="19"/>
      <c r="CQ93" s="20"/>
      <c r="CR93" s="21"/>
      <c r="CS93" s="21"/>
    </row>
    <row r="94" spans="1:97" x14ac:dyDescent="0.25">
      <c r="A94" s="1">
        <f t="shared" si="35"/>
        <v>68</v>
      </c>
      <c r="B94" s="19">
        <f t="shared" si="36"/>
        <v>20.835105148035325</v>
      </c>
      <c r="C94" s="18">
        <f t="shared" si="50"/>
        <v>1.0202081070987035</v>
      </c>
      <c r="D94" s="2">
        <f t="shared" si="29"/>
        <v>0.90073662797577103</v>
      </c>
      <c r="E94" s="18">
        <f t="shared" si="37"/>
        <v>1.035220384231633</v>
      </c>
      <c r="F94" s="21">
        <f t="shared" si="30"/>
        <v>8.4591728178075934E-2</v>
      </c>
      <c r="G94" s="1">
        <f t="shared" si="31"/>
        <v>0</v>
      </c>
      <c r="H94" s="2">
        <f t="shared" si="27"/>
        <v>48.213684620139681</v>
      </c>
      <c r="I94" s="19">
        <f>H94/2.31</f>
        <v>20.871724943783413</v>
      </c>
      <c r="J94" s="20">
        <f t="shared" si="32"/>
        <v>0.936300631985162</v>
      </c>
      <c r="K94" s="21">
        <f t="shared" si="33"/>
        <v>0.87192544052049736</v>
      </c>
      <c r="L94" s="21">
        <f t="shared" si="28"/>
        <v>6.2817908383096893E-2</v>
      </c>
      <c r="M94" s="2">
        <f t="shared" si="38"/>
        <v>0.63899065647001763</v>
      </c>
      <c r="N94" s="19">
        <f t="shared" si="51"/>
        <v>237.16135537237426</v>
      </c>
      <c r="O94" s="1">
        <f t="shared" si="39"/>
        <v>68</v>
      </c>
      <c r="P94" s="19">
        <f t="shared" si="40"/>
        <v>29.25674752007378</v>
      </c>
      <c r="Q94" s="18">
        <f t="shared" si="41"/>
        <v>2.5044607207505685</v>
      </c>
      <c r="R94" s="2">
        <f t="shared" si="42"/>
        <v>0.90687291314264551</v>
      </c>
      <c r="S94" s="18">
        <f t="shared" si="43"/>
        <v>2.5195752693029458</v>
      </c>
      <c r="T94" s="18">
        <f t="shared" si="44"/>
        <v>0.48518222643854847</v>
      </c>
      <c r="U94" s="1">
        <f t="shared" si="34"/>
        <v>0</v>
      </c>
      <c r="V94" s="2">
        <f t="shared" si="45"/>
        <v>68.068268997808985</v>
      </c>
      <c r="W94" s="19">
        <f t="shared" si="46"/>
        <v>29.466783115934625</v>
      </c>
      <c r="X94" s="20"/>
      <c r="Y94" s="2">
        <f t="shared" si="47"/>
        <v>9.4689604760512793</v>
      </c>
      <c r="Z94" s="21">
        <f t="shared" si="48"/>
        <v>0.37211100622455962</v>
      </c>
      <c r="AA94" s="2">
        <f t="shared" si="49"/>
        <v>7.2110319035073385</v>
      </c>
      <c r="AB94" s="19">
        <f t="shared" si="52"/>
        <v>25.754241939689933</v>
      </c>
      <c r="AC94" s="2"/>
      <c r="AD94" s="18"/>
      <c r="AE94" s="118"/>
      <c r="AG94" s="2"/>
      <c r="AH94" s="19"/>
      <c r="AI94" s="20"/>
      <c r="AJ94" s="21"/>
      <c r="AK94" s="21"/>
      <c r="AM94" s="19"/>
      <c r="AN94" s="18"/>
      <c r="AO94" s="2"/>
      <c r="AP94" s="18"/>
      <c r="AQ94" s="118"/>
      <c r="AS94" s="2"/>
      <c r="AT94" s="19"/>
      <c r="AU94" s="20"/>
      <c r="AV94" s="21"/>
      <c r="AW94" s="21"/>
      <c r="AY94" s="19"/>
      <c r="AZ94" s="18"/>
      <c r="BA94" s="2"/>
      <c r="BB94" s="18"/>
      <c r="BC94" s="118"/>
      <c r="BE94" s="2"/>
      <c r="BF94" s="19"/>
      <c r="BG94" s="20"/>
      <c r="BH94" s="21"/>
      <c r="BI94" s="21"/>
      <c r="BK94" s="19"/>
      <c r="BL94" s="18"/>
      <c r="BM94" s="2"/>
      <c r="BN94" s="18"/>
      <c r="BO94" s="118"/>
      <c r="BQ94" s="2"/>
      <c r="BR94" s="19"/>
      <c r="BS94" s="20"/>
      <c r="BT94" s="21"/>
      <c r="BU94" s="21"/>
      <c r="BW94" s="19"/>
      <c r="BX94" s="18"/>
      <c r="BY94" s="2"/>
      <c r="BZ94" s="18"/>
      <c r="CA94" s="118"/>
      <c r="CC94" s="2"/>
      <c r="CD94" s="19"/>
      <c r="CE94" s="20"/>
      <c r="CF94" s="21"/>
      <c r="CG94" s="21"/>
      <c r="CI94" s="19"/>
      <c r="CJ94" s="18"/>
      <c r="CK94" s="2"/>
      <c r="CL94" s="18"/>
      <c r="CM94" s="118"/>
      <c r="CO94" s="2"/>
      <c r="CP94" s="19"/>
      <c r="CQ94" s="20"/>
      <c r="CR94" s="21"/>
      <c r="CS94" s="21"/>
    </row>
    <row r="95" spans="1:97" x14ac:dyDescent="0.25">
      <c r="A95" s="1">
        <f t="shared" si="35"/>
        <v>69</v>
      </c>
      <c r="B95" s="19">
        <f t="shared" si="36"/>
        <v>20.871724943783413</v>
      </c>
      <c r="C95" s="18">
        <f t="shared" si="50"/>
        <v>1.035220384231633</v>
      </c>
      <c r="D95" s="2">
        <f t="shared" si="29"/>
        <v>0.90076826344553174</v>
      </c>
      <c r="E95" s="18">
        <f t="shared" si="37"/>
        <v>1.0502331886223919</v>
      </c>
      <c r="F95" s="21">
        <f t="shared" si="30"/>
        <v>8.7015321149165645E-2</v>
      </c>
      <c r="G95" s="1">
        <f t="shared" si="31"/>
        <v>0</v>
      </c>
      <c r="H95" s="2">
        <f t="shared" si="27"/>
        <v>48.300699941288855</v>
      </c>
      <c r="I95" s="19">
        <f>H95/2.31</f>
        <v>20.909393913977858</v>
      </c>
      <c r="J95" s="20">
        <f t="shared" si="32"/>
        <v>0.93629206413657873</v>
      </c>
      <c r="K95" s="21">
        <f t="shared" si="33"/>
        <v>0.90960307457808609</v>
      </c>
      <c r="L95" s="21">
        <f t="shared" si="28"/>
        <v>6.4653094831998867E-2</v>
      </c>
      <c r="M95" s="2">
        <f t="shared" si="38"/>
        <v>0.66697900921114273</v>
      </c>
      <c r="N95" s="19">
        <f t="shared" si="51"/>
        <v>237.87667559516626</v>
      </c>
      <c r="O95" s="1">
        <f t="shared" si="39"/>
        <v>69</v>
      </c>
      <c r="P95" s="19">
        <f t="shared" si="40"/>
        <v>29.466783115934625</v>
      </c>
      <c r="Q95" s="18">
        <f t="shared" si="41"/>
        <v>2.5195752693029458</v>
      </c>
      <c r="R95" s="2">
        <f t="shared" si="42"/>
        <v>0.90700266694256027</v>
      </c>
      <c r="S95" s="18">
        <f t="shared" si="43"/>
        <v>2.5346919804186552</v>
      </c>
      <c r="T95" s="18">
        <f t="shared" si="44"/>
        <v>0.49092033054160689</v>
      </c>
      <c r="U95" s="1">
        <f t="shared" si="34"/>
        <v>0</v>
      </c>
      <c r="V95" s="2">
        <f t="shared" si="45"/>
        <v>68.559189328350598</v>
      </c>
      <c r="W95" s="19">
        <f t="shared" si="46"/>
        <v>29.679302739545712</v>
      </c>
      <c r="X95" s="20"/>
      <c r="Y95" s="2">
        <f t="shared" si="47"/>
        <v>9.6815289791757948</v>
      </c>
      <c r="Z95" s="21">
        <f t="shared" si="48"/>
        <v>0.37658951425721021</v>
      </c>
      <c r="AA95" s="2">
        <f t="shared" si="49"/>
        <v>7.3740576672550482</v>
      </c>
      <c r="AB95" s="19">
        <f t="shared" si="52"/>
        <v>26.048146267498428</v>
      </c>
      <c r="AC95" s="2"/>
      <c r="AD95" s="18"/>
      <c r="AE95" s="118"/>
      <c r="AG95" s="2"/>
      <c r="AH95" s="19"/>
      <c r="AI95" s="20"/>
      <c r="AJ95" s="21"/>
      <c r="AK95" s="21"/>
      <c r="AM95" s="19"/>
      <c r="AN95" s="18"/>
      <c r="AO95" s="2"/>
      <c r="AP95" s="18"/>
      <c r="AQ95" s="118"/>
      <c r="AS95" s="2"/>
      <c r="AT95" s="19"/>
      <c r="AU95" s="20"/>
      <c r="AV95" s="21"/>
      <c r="AW95" s="21"/>
      <c r="AY95" s="19"/>
      <c r="AZ95" s="18"/>
      <c r="BA95" s="2"/>
      <c r="BB95" s="18"/>
      <c r="BC95" s="118"/>
      <c r="BE95" s="2"/>
      <c r="BF95" s="19"/>
      <c r="BG95" s="20"/>
      <c r="BH95" s="21"/>
      <c r="BI95" s="21"/>
      <c r="BK95" s="19"/>
      <c r="BL95" s="18"/>
      <c r="BM95" s="2"/>
      <c r="BN95" s="18"/>
      <c r="BO95" s="118"/>
      <c r="BQ95" s="2"/>
      <c r="BR95" s="19"/>
      <c r="BS95" s="20"/>
      <c r="BT95" s="21"/>
      <c r="BU95" s="21"/>
      <c r="BW95" s="19"/>
      <c r="BX95" s="18"/>
      <c r="BY95" s="2"/>
      <c r="BZ95" s="18"/>
      <c r="CA95" s="118"/>
      <c r="CC95" s="2"/>
      <c r="CD95" s="19"/>
      <c r="CE95" s="20"/>
      <c r="CF95" s="21"/>
      <c r="CG95" s="21"/>
      <c r="CI95" s="19"/>
      <c r="CJ95" s="18"/>
      <c r="CK95" s="2"/>
      <c r="CL95" s="18"/>
      <c r="CM95" s="118"/>
      <c r="CO95" s="2"/>
      <c r="CP95" s="19"/>
      <c r="CQ95" s="20"/>
      <c r="CR95" s="21"/>
      <c r="CS95" s="21"/>
    </row>
    <row r="96" spans="1:97" x14ac:dyDescent="0.25">
      <c r="A96" s="1">
        <f t="shared" si="35"/>
        <v>70</v>
      </c>
      <c r="B96" s="19">
        <f t="shared" si="36"/>
        <v>20.909393913977858</v>
      </c>
      <c r="C96" s="18">
        <f t="shared" si="50"/>
        <v>1.0502331886223919</v>
      </c>
      <c r="D96" s="2">
        <f t="shared" si="29"/>
        <v>0.90080074858219283</v>
      </c>
      <c r="E96" s="18">
        <f t="shared" si="37"/>
        <v>1.0652465344320952</v>
      </c>
      <c r="F96" s="21">
        <f t="shared" si="30"/>
        <v>8.9472635925236674E-2</v>
      </c>
      <c r="G96" s="1">
        <f t="shared" si="31"/>
        <v>0</v>
      </c>
      <c r="H96" s="2">
        <f t="shared" si="27"/>
        <v>48.390172577214088</v>
      </c>
      <c r="I96" s="19">
        <f>H96/2.31</f>
        <v>20.948126656802636</v>
      </c>
      <c r="J96" s="20">
        <f t="shared" si="32"/>
        <v>0.93628326191337474</v>
      </c>
      <c r="K96" s="21">
        <f t="shared" si="33"/>
        <v>0.94834472593371355</v>
      </c>
      <c r="L96" s="21">
        <f t="shared" si="28"/>
        <v>6.6514771247018573E-2</v>
      </c>
      <c r="M96" s="2">
        <f t="shared" si="38"/>
        <v>0.69577328247825032</v>
      </c>
      <c r="N96" s="19">
        <f t="shared" si="51"/>
        <v>238.58177050542972</v>
      </c>
      <c r="O96" s="1">
        <f t="shared" si="39"/>
        <v>70</v>
      </c>
      <c r="P96" s="19">
        <f t="shared" si="40"/>
        <v>29.679302739545712</v>
      </c>
      <c r="Q96" s="18">
        <f t="shared" si="41"/>
        <v>2.5346919804186552</v>
      </c>
      <c r="R96" s="2">
        <f t="shared" si="42"/>
        <v>0.90713303604128614</v>
      </c>
      <c r="S96" s="18">
        <f t="shared" si="43"/>
        <v>2.5498108643526765</v>
      </c>
      <c r="T96" s="18">
        <f t="shared" si="44"/>
        <v>0.49669247259498583</v>
      </c>
      <c r="U96" s="1">
        <f t="shared" si="34"/>
        <v>0</v>
      </c>
      <c r="V96" s="2">
        <f t="shared" si="45"/>
        <v>69.055881800945585</v>
      </c>
      <c r="W96" s="19">
        <f t="shared" si="46"/>
        <v>29.894321125950469</v>
      </c>
      <c r="X96" s="20"/>
      <c r="Y96" s="2">
        <f t="shared" si="47"/>
        <v>9.8965968198094245</v>
      </c>
      <c r="Z96" s="21">
        <f t="shared" si="48"/>
        <v>0.38109546115747817</v>
      </c>
      <c r="AA96" s="2">
        <f t="shared" si="49"/>
        <v>7.5390340573665107</v>
      </c>
      <c r="AB96" s="19">
        <f t="shared" si="52"/>
        <v>26.340297772142033</v>
      </c>
      <c r="AC96" s="2"/>
      <c r="AD96" s="18"/>
      <c r="AE96" s="118"/>
      <c r="AG96" s="2"/>
      <c r="AH96" s="19"/>
      <c r="AI96" s="20"/>
      <c r="AJ96" s="21"/>
      <c r="AK96" s="21"/>
      <c r="AM96" s="19"/>
      <c r="AN96" s="18"/>
      <c r="AO96" s="2"/>
      <c r="AP96" s="18"/>
      <c r="AQ96" s="118"/>
      <c r="AS96" s="2"/>
      <c r="AT96" s="19"/>
      <c r="AU96" s="20"/>
      <c r="AV96" s="21"/>
      <c r="AW96" s="21"/>
      <c r="AY96" s="19"/>
      <c r="AZ96" s="18"/>
      <c r="BA96" s="2"/>
      <c r="BB96" s="18"/>
      <c r="BC96" s="118"/>
      <c r="BE96" s="2"/>
      <c r="BF96" s="19"/>
      <c r="BG96" s="20"/>
      <c r="BH96" s="21"/>
      <c r="BI96" s="21"/>
      <c r="BK96" s="19"/>
      <c r="BL96" s="18"/>
      <c r="BM96" s="2"/>
      <c r="BN96" s="18"/>
      <c r="BO96" s="118"/>
      <c r="BQ96" s="2"/>
      <c r="BR96" s="19"/>
      <c r="BS96" s="20"/>
      <c r="BT96" s="21"/>
      <c r="BU96" s="21"/>
      <c r="BW96" s="19"/>
      <c r="BX96" s="18"/>
      <c r="BY96" s="2"/>
      <c r="BZ96" s="18"/>
      <c r="CA96" s="118"/>
      <c r="CC96" s="2"/>
      <c r="CD96" s="19"/>
      <c r="CE96" s="20"/>
      <c r="CF96" s="21"/>
      <c r="CG96" s="21"/>
      <c r="CI96" s="19"/>
      <c r="CJ96" s="18"/>
      <c r="CK96" s="2"/>
      <c r="CL96" s="18"/>
      <c r="CM96" s="118"/>
      <c r="CO96" s="2"/>
      <c r="CP96" s="19"/>
      <c r="CQ96" s="20"/>
      <c r="CR96" s="21"/>
      <c r="CS96" s="21"/>
    </row>
    <row r="97" spans="1:97" x14ac:dyDescent="0.25">
      <c r="A97" s="1">
        <f t="shared" si="35"/>
        <v>71</v>
      </c>
      <c r="B97" s="19">
        <f t="shared" si="36"/>
        <v>20.948126656802636</v>
      </c>
      <c r="C97" s="18">
        <f t="shared" si="50"/>
        <v>1.0652465344320952</v>
      </c>
      <c r="D97" s="2">
        <f t="shared" si="29"/>
        <v>0.90083409134969428</v>
      </c>
      <c r="E97" s="18">
        <f t="shared" si="37"/>
        <v>1.08026043595459</v>
      </c>
      <c r="F97" s="21">
        <f t="shared" si="30"/>
        <v>9.1963663399494744E-2</v>
      </c>
      <c r="G97" s="1">
        <f t="shared" si="31"/>
        <v>0</v>
      </c>
      <c r="H97" s="2">
        <f t="shared" si="27"/>
        <v>48.482136240613585</v>
      </c>
      <c r="I97" s="19">
        <f t="shared" ref="I97:I160" si="53">H97/2.31</f>
        <v>20.987937766499385</v>
      </c>
      <c r="J97" s="20">
        <f t="shared" si="32"/>
        <v>0.93627422271208338</v>
      </c>
      <c r="K97" s="21">
        <f t="shared" si="33"/>
        <v>0.98816499218569476</v>
      </c>
      <c r="L97" s="21">
        <f t="shared" si="28"/>
        <v>6.840294229712672E-2</v>
      </c>
      <c r="M97" s="2">
        <f t="shared" si="38"/>
        <v>0.72538494581033985</v>
      </c>
      <c r="N97" s="19">
        <f t="shared" si="51"/>
        <v>239.27692796612232</v>
      </c>
      <c r="O97" s="1">
        <f t="shared" si="39"/>
        <v>71</v>
      </c>
      <c r="P97" s="19">
        <f t="shared" si="40"/>
        <v>29.894321125950469</v>
      </c>
      <c r="Q97" s="18">
        <f t="shared" si="41"/>
        <v>2.5498108643526765</v>
      </c>
      <c r="R97" s="2">
        <f t="shared" si="42"/>
        <v>0.90726401025211201</v>
      </c>
      <c r="S97" s="18">
        <f t="shared" si="43"/>
        <v>2.5649319311902117</v>
      </c>
      <c r="T97" s="18">
        <f t="shared" si="44"/>
        <v>0.50249866515495434</v>
      </c>
      <c r="U97" s="1">
        <f t="shared" si="34"/>
        <v>0</v>
      </c>
      <c r="V97" s="2">
        <f t="shared" si="45"/>
        <v>69.558380466100544</v>
      </c>
      <c r="W97" s="19">
        <f t="shared" si="46"/>
        <v>30.11185301562794</v>
      </c>
      <c r="X97" s="20"/>
      <c r="Y97" s="2">
        <f t="shared" si="47"/>
        <v>10.114178741821521</v>
      </c>
      <c r="Z97" s="21">
        <f t="shared" si="48"/>
        <v>0.38562886151138004</v>
      </c>
      <c r="AA97" s="2">
        <f t="shared" si="49"/>
        <v>7.705972958453688</v>
      </c>
      <c r="AB97" s="19">
        <f t="shared" si="52"/>
        <v>26.630716989598536</v>
      </c>
      <c r="AC97" s="2"/>
      <c r="AD97" s="18"/>
      <c r="AE97" s="118"/>
      <c r="AG97" s="2"/>
      <c r="AH97" s="19"/>
      <c r="AI97" s="20"/>
      <c r="AJ97" s="21"/>
      <c r="AK97" s="21"/>
      <c r="AM97" s="19"/>
      <c r="AN97" s="18"/>
      <c r="AO97" s="2"/>
      <c r="AP97" s="18"/>
      <c r="AQ97" s="118"/>
      <c r="AS97" s="2"/>
      <c r="AT97" s="19"/>
      <c r="AU97" s="20"/>
      <c r="AV97" s="21"/>
      <c r="AW97" s="21"/>
      <c r="AY97" s="19"/>
      <c r="AZ97" s="18"/>
      <c r="BA97" s="2"/>
      <c r="BB97" s="18"/>
      <c r="BC97" s="118"/>
      <c r="BE97" s="2"/>
      <c r="BF97" s="19"/>
      <c r="BG97" s="20"/>
      <c r="BH97" s="21"/>
      <c r="BI97" s="21"/>
      <c r="BK97" s="19"/>
      <c r="BL97" s="18"/>
      <c r="BM97" s="2"/>
      <c r="BN97" s="18"/>
      <c r="BO97" s="118"/>
      <c r="BQ97" s="2"/>
      <c r="BR97" s="19"/>
      <c r="BS97" s="20"/>
      <c r="BT97" s="21"/>
      <c r="BU97" s="21"/>
      <c r="BW97" s="19"/>
      <c r="BX97" s="18"/>
      <c r="BY97" s="2"/>
      <c r="BZ97" s="18"/>
      <c r="CA97" s="118"/>
      <c r="CC97" s="2"/>
      <c r="CD97" s="19"/>
      <c r="CE97" s="20"/>
      <c r="CF97" s="21"/>
      <c r="CG97" s="21"/>
      <c r="CI97" s="19"/>
      <c r="CJ97" s="18"/>
      <c r="CK97" s="2"/>
      <c r="CL97" s="18"/>
      <c r="CM97" s="118"/>
      <c r="CO97" s="2"/>
      <c r="CP97" s="19"/>
      <c r="CQ97" s="20"/>
      <c r="CR97" s="21"/>
      <c r="CS97" s="21"/>
    </row>
    <row r="98" spans="1:97" x14ac:dyDescent="0.25">
      <c r="A98" s="1">
        <f t="shared" si="35"/>
        <v>72</v>
      </c>
      <c r="B98" s="19">
        <f t="shared" si="36"/>
        <v>20.987937766499385</v>
      </c>
      <c r="C98" s="18">
        <f t="shared" si="50"/>
        <v>1.08026043595459</v>
      </c>
      <c r="D98" s="2">
        <f t="shared" si="29"/>
        <v>0.90086829951588676</v>
      </c>
      <c r="E98" s="18">
        <f t="shared" si="37"/>
        <v>1.095274907613188</v>
      </c>
      <c r="F98" s="21">
        <f t="shared" si="30"/>
        <v>9.4488394854817054E-2</v>
      </c>
      <c r="G98" s="1">
        <f t="shared" si="31"/>
        <v>0</v>
      </c>
      <c r="H98" s="2">
        <f t="shared" si="27"/>
        <v>48.576624635468399</v>
      </c>
      <c r="I98" s="19">
        <f t="shared" si="53"/>
        <v>21.028841833536102</v>
      </c>
      <c r="J98" s="20">
        <f t="shared" si="32"/>
        <v>0.9362649439625057</v>
      </c>
      <c r="K98" s="21">
        <f t="shared" si="33"/>
        <v>1.0290784671578306</v>
      </c>
      <c r="L98" s="21">
        <f t="shared" si="28"/>
        <v>7.0317612768659582E-2</v>
      </c>
      <c r="M98" s="2">
        <f t="shared" si="38"/>
        <v>0.75582547081841756</v>
      </c>
      <c r="N98" s="19">
        <f t="shared" si="51"/>
        <v>239.96242384400571</v>
      </c>
      <c r="O98" s="1">
        <f t="shared" si="39"/>
        <v>72</v>
      </c>
      <c r="P98" s="19">
        <f t="shared" si="40"/>
        <v>30.11185301562794</v>
      </c>
      <c r="Q98" s="18">
        <f t="shared" si="41"/>
        <v>2.5649319311902117</v>
      </c>
      <c r="R98" s="2">
        <f t="shared" si="42"/>
        <v>0.90739557939940374</v>
      </c>
      <c r="S98" s="18">
        <f t="shared" si="43"/>
        <v>2.5800551908468683</v>
      </c>
      <c r="T98" s="18">
        <f t="shared" si="44"/>
        <v>0.50833892083624099</v>
      </c>
      <c r="U98" s="1">
        <f t="shared" si="34"/>
        <v>0</v>
      </c>
      <c r="V98" s="2">
        <f t="shared" si="45"/>
        <v>70.066719386936782</v>
      </c>
      <c r="W98" s="19">
        <f t="shared" si="46"/>
        <v>30.331913154518087</v>
      </c>
      <c r="X98" s="20"/>
      <c r="Y98" s="2">
        <f t="shared" si="47"/>
        <v>10.334289494543613</v>
      </c>
      <c r="Z98" s="21">
        <f t="shared" si="48"/>
        <v>0.39018972992681816</v>
      </c>
      <c r="AA98" s="2">
        <f t="shared" si="49"/>
        <v>7.8748862614523105</v>
      </c>
      <c r="AB98" s="19">
        <f t="shared" si="52"/>
        <v>26.919424095967543</v>
      </c>
      <c r="AC98" s="2"/>
      <c r="AD98" s="18"/>
      <c r="AE98" s="118"/>
      <c r="AG98" s="2"/>
      <c r="AH98" s="19"/>
      <c r="AI98" s="20"/>
      <c r="AJ98" s="21"/>
      <c r="AK98" s="21"/>
      <c r="AM98" s="19"/>
      <c r="AN98" s="18"/>
      <c r="AO98" s="2"/>
      <c r="AP98" s="18"/>
      <c r="AQ98" s="118"/>
      <c r="AS98" s="2"/>
      <c r="AT98" s="19"/>
      <c r="AU98" s="20"/>
      <c r="AV98" s="21"/>
      <c r="AW98" s="21"/>
      <c r="AY98" s="19"/>
      <c r="AZ98" s="18"/>
      <c r="BA98" s="2"/>
      <c r="BB98" s="18"/>
      <c r="BC98" s="118"/>
      <c r="BE98" s="2"/>
      <c r="BF98" s="19"/>
      <c r="BG98" s="20"/>
      <c r="BH98" s="21"/>
      <c r="BI98" s="21"/>
      <c r="BK98" s="19"/>
      <c r="BL98" s="18"/>
      <c r="BM98" s="2"/>
      <c r="BN98" s="18"/>
      <c r="BO98" s="118"/>
      <c r="BQ98" s="2"/>
      <c r="BR98" s="19"/>
      <c r="BS98" s="20"/>
      <c r="BT98" s="21"/>
      <c r="BU98" s="21"/>
      <c r="BW98" s="19"/>
      <c r="BX98" s="18"/>
      <c r="BY98" s="2"/>
      <c r="BZ98" s="18"/>
      <c r="CA98" s="118"/>
      <c r="CC98" s="2"/>
      <c r="CD98" s="19"/>
      <c r="CE98" s="20"/>
      <c r="CF98" s="21"/>
      <c r="CG98" s="21"/>
      <c r="CI98" s="19"/>
      <c r="CJ98" s="18"/>
      <c r="CK98" s="2"/>
      <c r="CL98" s="18"/>
      <c r="CM98" s="118"/>
      <c r="CO98" s="2"/>
      <c r="CP98" s="19"/>
      <c r="CQ98" s="20"/>
      <c r="CR98" s="21"/>
      <c r="CS98" s="21"/>
    </row>
    <row r="99" spans="1:97" x14ac:dyDescent="0.25">
      <c r="A99" s="1">
        <f t="shared" si="35"/>
        <v>73</v>
      </c>
      <c r="B99" s="19">
        <f t="shared" si="36"/>
        <v>21.028841833536102</v>
      </c>
      <c r="C99" s="18">
        <f t="shared" si="50"/>
        <v>1.095274907613188</v>
      </c>
      <c r="D99" s="2">
        <f t="shared" si="29"/>
        <v>0.90090338064945541</v>
      </c>
      <c r="E99" s="18">
        <f t="shared" si="37"/>
        <v>1.1102899639573456</v>
      </c>
      <c r="F99" s="21">
        <f t="shared" si="30"/>
        <v>9.7046821957394475E-2</v>
      </c>
      <c r="G99" s="1">
        <f t="shared" si="31"/>
        <v>0</v>
      </c>
      <c r="H99" s="2">
        <f t="shared" si="27"/>
        <v>48.67367145742579</v>
      </c>
      <c r="I99" s="19">
        <f t="shared" si="53"/>
        <v>21.070853444773068</v>
      </c>
      <c r="J99" s="20">
        <f t="shared" si="32"/>
        <v>0.93625542312830956</v>
      </c>
      <c r="K99" s="21">
        <f t="shared" si="33"/>
        <v>1.0710997410653824</v>
      </c>
      <c r="L99" s="21">
        <f t="shared" si="28"/>
        <v>7.2258787566035668E-2</v>
      </c>
      <c r="M99" s="2">
        <f t="shared" si="38"/>
        <v>0.78710633123661478</v>
      </c>
      <c r="N99" s="19">
        <f t="shared" si="51"/>
        <v>240.63852266699539</v>
      </c>
      <c r="O99" s="1">
        <f t="shared" si="39"/>
        <v>73</v>
      </c>
      <c r="P99" s="19">
        <f t="shared" si="40"/>
        <v>30.331913154518087</v>
      </c>
      <c r="Q99" s="18">
        <f t="shared" si="41"/>
        <v>2.5800551908468683</v>
      </c>
      <c r="R99" s="2">
        <f t="shared" si="42"/>
        <v>0.90752773332214409</v>
      </c>
      <c r="S99" s="18">
        <f t="shared" si="43"/>
        <v>2.5951806530689039</v>
      </c>
      <c r="T99" s="18">
        <f t="shared" si="44"/>
        <v>0.51421325230983006</v>
      </c>
      <c r="U99" s="1">
        <f t="shared" si="34"/>
        <v>0</v>
      </c>
      <c r="V99" s="2">
        <f t="shared" si="45"/>
        <v>70.580932639246612</v>
      </c>
      <c r="W99" s="19">
        <f t="shared" si="46"/>
        <v>30.554516294046152</v>
      </c>
      <c r="X99" s="20"/>
      <c r="Y99" s="2">
        <f t="shared" si="47"/>
        <v>10.55694383279377</v>
      </c>
      <c r="Z99" s="21">
        <f t="shared" si="48"/>
        <v>0.39477808103217693</v>
      </c>
      <c r="AA99" s="2">
        <f t="shared" si="49"/>
        <v>8.0457858636307424</v>
      </c>
      <c r="AB99" s="19">
        <f t="shared" si="52"/>
        <v>27.206438915849876</v>
      </c>
      <c r="AC99" s="2"/>
      <c r="AD99" s="18"/>
      <c r="AE99" s="118"/>
      <c r="AG99" s="2"/>
      <c r="AH99" s="19"/>
      <c r="AI99" s="20"/>
      <c r="AJ99" s="21"/>
      <c r="AK99" s="21"/>
      <c r="AM99" s="19"/>
      <c r="AN99" s="18"/>
      <c r="AO99" s="2"/>
      <c r="AP99" s="18"/>
      <c r="AQ99" s="118"/>
      <c r="AS99" s="2"/>
      <c r="AT99" s="19"/>
      <c r="AU99" s="20"/>
      <c r="AV99" s="21"/>
      <c r="AW99" s="21"/>
      <c r="AY99" s="19"/>
      <c r="AZ99" s="18"/>
      <c r="BA99" s="2"/>
      <c r="BB99" s="18"/>
      <c r="BC99" s="118"/>
      <c r="BE99" s="2"/>
      <c r="BF99" s="19"/>
      <c r="BG99" s="20"/>
      <c r="BH99" s="21"/>
      <c r="BI99" s="21"/>
      <c r="BK99" s="19"/>
      <c r="BL99" s="18"/>
      <c r="BM99" s="2"/>
      <c r="BN99" s="18"/>
      <c r="BO99" s="118"/>
      <c r="BQ99" s="2"/>
      <c r="BR99" s="19"/>
      <c r="BS99" s="20"/>
      <c r="BT99" s="21"/>
      <c r="BU99" s="21"/>
      <c r="BW99" s="19"/>
      <c r="BX99" s="18"/>
      <c r="BY99" s="2"/>
      <c r="BZ99" s="18"/>
      <c r="CA99" s="118"/>
      <c r="CC99" s="2"/>
      <c r="CD99" s="19"/>
      <c r="CE99" s="20"/>
      <c r="CF99" s="21"/>
      <c r="CG99" s="21"/>
      <c r="CI99" s="19"/>
      <c r="CJ99" s="18"/>
      <c r="CK99" s="2"/>
      <c r="CL99" s="18"/>
      <c r="CM99" s="118"/>
      <c r="CO99" s="2"/>
      <c r="CP99" s="19"/>
      <c r="CQ99" s="20"/>
      <c r="CR99" s="21"/>
      <c r="CS99" s="21"/>
    </row>
    <row r="100" spans="1:97" x14ac:dyDescent="0.25">
      <c r="A100" s="1">
        <f t="shared" si="35"/>
        <v>74</v>
      </c>
      <c r="B100" s="19">
        <f t="shared" si="36"/>
        <v>21.070853444773068</v>
      </c>
      <c r="C100" s="18">
        <f t="shared" si="50"/>
        <v>1.1102899639573456</v>
      </c>
      <c r="D100" s="2">
        <f t="shared" si="29"/>
        <v>0.90093934211691773</v>
      </c>
      <c r="E100" s="18">
        <f t="shared" si="37"/>
        <v>1.1253056196592943</v>
      </c>
      <c r="F100" s="21">
        <f t="shared" si="30"/>
        <v>9.9638936750628265E-2</v>
      </c>
      <c r="G100" s="1">
        <f t="shared" si="31"/>
        <v>0</v>
      </c>
      <c r="H100" s="2">
        <f t="shared" si="27"/>
        <v>48.77331039417642</v>
      </c>
      <c r="I100" s="19">
        <f t="shared" si="53"/>
        <v>21.113987183626154</v>
      </c>
      <c r="J100" s="20">
        <f t="shared" si="32"/>
        <v>0.9362456577076228</v>
      </c>
      <c r="K100" s="21">
        <f t="shared" si="33"/>
        <v>1.1142434006784045</v>
      </c>
      <c r="L100" s="21">
        <f t="shared" si="28"/>
        <v>7.4226471712431574E-2</v>
      </c>
      <c r="M100" s="2">
        <f t="shared" si="38"/>
        <v>0.81923900297359808</v>
      </c>
      <c r="N100" s="19">
        <f t="shared" si="51"/>
        <v>241.30547823709531</v>
      </c>
      <c r="O100" s="1">
        <f t="shared" si="39"/>
        <v>74</v>
      </c>
      <c r="P100" s="19">
        <f t="shared" si="40"/>
        <v>30.554516294046152</v>
      </c>
      <c r="Q100" s="18">
        <f t="shared" si="41"/>
        <v>2.5951806530689039</v>
      </c>
      <c r="R100" s="2">
        <f t="shared" si="42"/>
        <v>0.90766046187738192</v>
      </c>
      <c r="S100" s="18">
        <f t="shared" si="43"/>
        <v>2.6103083274335268</v>
      </c>
      <c r="T100" s="18">
        <f t="shared" si="44"/>
        <v>0.52012167230079231</v>
      </c>
      <c r="U100" s="1">
        <f t="shared" si="34"/>
        <v>0</v>
      </c>
      <c r="V100" s="2">
        <f t="shared" si="45"/>
        <v>71.101054311547401</v>
      </c>
      <c r="W100" s="19">
        <f t="shared" si="46"/>
        <v>30.77967719114606</v>
      </c>
      <c r="X100" s="20"/>
      <c r="Y100" s="2">
        <f t="shared" si="47"/>
        <v>10.782156516900013</v>
      </c>
      <c r="Z100" s="21">
        <f t="shared" si="48"/>
        <v>0.39939392947493851</v>
      </c>
      <c r="AA100" s="2">
        <f t="shared" si="49"/>
        <v>8.2186836685982492</v>
      </c>
      <c r="AB100" s="19">
        <f t="shared" si="52"/>
        <v>27.491780930484467</v>
      </c>
      <c r="AC100" s="2"/>
      <c r="AD100" s="18"/>
      <c r="AE100" s="118"/>
      <c r="AG100" s="2"/>
      <c r="AH100" s="19"/>
      <c r="AI100" s="20"/>
      <c r="AJ100" s="21"/>
      <c r="AK100" s="21"/>
      <c r="AM100" s="19"/>
      <c r="AN100" s="18"/>
      <c r="AO100" s="2"/>
      <c r="AP100" s="18"/>
      <c r="AQ100" s="118"/>
      <c r="AS100" s="2"/>
      <c r="AT100" s="19"/>
      <c r="AU100" s="20"/>
      <c r="AV100" s="21"/>
      <c r="AW100" s="21"/>
      <c r="AY100" s="19"/>
      <c r="AZ100" s="18"/>
      <c r="BA100" s="2"/>
      <c r="BB100" s="18"/>
      <c r="BC100" s="118"/>
      <c r="BE100" s="2"/>
      <c r="BF100" s="19"/>
      <c r="BG100" s="20"/>
      <c r="BH100" s="21"/>
      <c r="BI100" s="21"/>
      <c r="BK100" s="19"/>
      <c r="BL100" s="18"/>
      <c r="BM100" s="2"/>
      <c r="BN100" s="18"/>
      <c r="BO100" s="118"/>
      <c r="BQ100" s="2"/>
      <c r="BR100" s="19"/>
      <c r="BS100" s="20"/>
      <c r="BT100" s="21"/>
      <c r="BU100" s="21"/>
      <c r="BW100" s="19"/>
      <c r="BX100" s="18"/>
      <c r="BY100" s="2"/>
      <c r="BZ100" s="18"/>
      <c r="CA100" s="118"/>
      <c r="CC100" s="2"/>
      <c r="CD100" s="19"/>
      <c r="CE100" s="20"/>
      <c r="CF100" s="21"/>
      <c r="CG100" s="21"/>
      <c r="CI100" s="19"/>
      <c r="CJ100" s="18"/>
      <c r="CK100" s="2"/>
      <c r="CL100" s="18"/>
      <c r="CM100" s="118"/>
      <c r="CO100" s="2"/>
      <c r="CP100" s="19"/>
      <c r="CQ100" s="20"/>
      <c r="CR100" s="21"/>
      <c r="CS100" s="21"/>
    </row>
    <row r="101" spans="1:97" x14ac:dyDescent="0.25">
      <c r="A101" s="1">
        <f t="shared" si="35"/>
        <v>75</v>
      </c>
      <c r="B101" s="19">
        <f t="shared" si="36"/>
        <v>21.113987183626154</v>
      </c>
      <c r="C101" s="18">
        <f t="shared" si="50"/>
        <v>1.1253056196592943</v>
      </c>
      <c r="D101" s="2">
        <f t="shared" si="29"/>
        <v>0.9009761910797025</v>
      </c>
      <c r="E101" s="18">
        <f t="shared" si="37"/>
        <v>1.1403218895106226</v>
      </c>
      <c r="F101" s="21">
        <f t="shared" si="30"/>
        <v>0.10226473164926254</v>
      </c>
      <c r="G101" s="1">
        <f t="shared" si="31"/>
        <v>0</v>
      </c>
      <c r="H101" s="2">
        <f t="shared" si="27"/>
        <v>48.875575125825684</v>
      </c>
      <c r="I101" s="19">
        <f t="shared" si="53"/>
        <v>21.158257630227567</v>
      </c>
      <c r="J101" s="20">
        <f t="shared" si="32"/>
        <v>0.93623564523362146</v>
      </c>
      <c r="K101" s="21">
        <f t="shared" si="33"/>
        <v>1.1585240294825352</v>
      </c>
      <c r="L101" s="21">
        <f t="shared" si="28"/>
        <v>7.6220670350415423E-2</v>
      </c>
      <c r="M101" s="2">
        <f t="shared" si="38"/>
        <v>0.85223496416425415</v>
      </c>
      <c r="N101" s="19">
        <f t="shared" si="51"/>
        <v>241.96353420247084</v>
      </c>
      <c r="O101" s="1">
        <f t="shared" si="39"/>
        <v>75</v>
      </c>
      <c r="P101" s="19">
        <f t="shared" si="40"/>
        <v>30.77967719114606</v>
      </c>
      <c r="Q101" s="18">
        <f t="shared" si="41"/>
        <v>2.6103083274335268</v>
      </c>
      <c r="R101" s="2">
        <f t="shared" si="42"/>
        <v>0.90779375494359194</v>
      </c>
      <c r="S101" s="18">
        <f t="shared" si="43"/>
        <v>2.6254382233492533</v>
      </c>
      <c r="T101" s="18">
        <f t="shared" si="44"/>
        <v>0.52606419358615064</v>
      </c>
      <c r="U101" s="1">
        <f t="shared" si="34"/>
        <v>0</v>
      </c>
      <c r="V101" s="2">
        <f t="shared" si="45"/>
        <v>71.627118505133552</v>
      </c>
      <c r="W101" s="19">
        <f t="shared" si="46"/>
        <v>31.007410608282921</v>
      </c>
      <c r="X101" s="20"/>
      <c r="Y101" s="2">
        <f t="shared" si="47"/>
        <v>11.009942312722817</v>
      </c>
      <c r="Z101" s="21">
        <f t="shared" si="48"/>
        <v>0.40403728992031918</v>
      </c>
      <c r="AA101" s="2">
        <f t="shared" si="49"/>
        <v>8.3935915863126738</v>
      </c>
      <c r="AB101" s="19">
        <f t="shared" si="52"/>
        <v>27.775469285651106</v>
      </c>
      <c r="AC101" s="2"/>
      <c r="AD101" s="18"/>
      <c r="AE101" s="118"/>
      <c r="AG101" s="2"/>
      <c r="AH101" s="19"/>
      <c r="AI101" s="20"/>
      <c r="AJ101" s="21"/>
      <c r="AK101" s="21"/>
      <c r="AM101" s="19"/>
      <c r="AN101" s="18"/>
      <c r="AO101" s="2"/>
      <c r="AP101" s="18"/>
      <c r="AQ101" s="118"/>
      <c r="AS101" s="2"/>
      <c r="AT101" s="19"/>
      <c r="AU101" s="20"/>
      <c r="AV101" s="21"/>
      <c r="AW101" s="21"/>
      <c r="AY101" s="19"/>
      <c r="AZ101" s="18"/>
      <c r="BA101" s="2"/>
      <c r="BB101" s="18"/>
      <c r="BC101" s="118"/>
      <c r="BE101" s="2"/>
      <c r="BF101" s="19"/>
      <c r="BG101" s="20"/>
      <c r="BH101" s="21"/>
      <c r="BI101" s="21"/>
      <c r="BK101" s="19"/>
      <c r="BL101" s="18"/>
      <c r="BM101" s="2"/>
      <c r="BN101" s="18"/>
      <c r="BO101" s="118"/>
      <c r="BQ101" s="2"/>
      <c r="BR101" s="19"/>
      <c r="BS101" s="20"/>
      <c r="BT101" s="21"/>
      <c r="BU101" s="21"/>
      <c r="BW101" s="19"/>
      <c r="BX101" s="18"/>
      <c r="BY101" s="2"/>
      <c r="BZ101" s="18"/>
      <c r="CA101" s="118"/>
      <c r="CC101" s="2"/>
      <c r="CD101" s="19"/>
      <c r="CE101" s="20"/>
      <c r="CF101" s="21"/>
      <c r="CG101" s="21"/>
      <c r="CI101" s="19"/>
      <c r="CJ101" s="18"/>
      <c r="CK101" s="2"/>
      <c r="CL101" s="18"/>
      <c r="CM101" s="118"/>
      <c r="CO101" s="2"/>
      <c r="CP101" s="19"/>
      <c r="CQ101" s="20"/>
      <c r="CR101" s="21"/>
      <c r="CS101" s="21"/>
    </row>
    <row r="102" spans="1:97" x14ac:dyDescent="0.25">
      <c r="A102" s="1">
        <f t="shared" si="35"/>
        <v>76</v>
      </c>
      <c r="B102" s="19">
        <f t="shared" si="36"/>
        <v>21.158257630227567</v>
      </c>
      <c r="C102" s="18">
        <f t="shared" si="50"/>
        <v>1.1403218895106226</v>
      </c>
      <c r="D102" s="2">
        <f t="shared" si="29"/>
        <v>0.90101393449131217</v>
      </c>
      <c r="E102" s="18">
        <f t="shared" si="37"/>
        <v>1.1553387884188111</v>
      </c>
      <c r="F102" s="21">
        <f t="shared" si="30"/>
        <v>0.10492419943373767</v>
      </c>
      <c r="G102" s="1">
        <f t="shared" si="31"/>
        <v>0</v>
      </c>
      <c r="H102" s="2">
        <f t="shared" si="27"/>
        <v>48.980499325259423</v>
      </c>
      <c r="I102" s="19">
        <f t="shared" si="53"/>
        <v>21.203679361584165</v>
      </c>
      <c r="J102" s="20">
        <f t="shared" si="32"/>
        <v>0.93622538327510785</v>
      </c>
      <c r="K102" s="21">
        <f t="shared" si="33"/>
        <v>1.2039562078373436</v>
      </c>
      <c r="L102" s="21">
        <f t="shared" si="28"/>
        <v>7.8241388742538817E-2</v>
      </c>
      <c r="M102" s="2">
        <f t="shared" si="38"/>
        <v>0.8861056952216303</v>
      </c>
      <c r="N102" s="19">
        <f t="shared" si="51"/>
        <v>242.61292459188553</v>
      </c>
      <c r="O102" s="1">
        <f t="shared" si="39"/>
        <v>76</v>
      </c>
      <c r="P102" s="19">
        <f t="shared" si="40"/>
        <v>31.007410608282921</v>
      </c>
      <c r="Q102" s="18">
        <f t="shared" si="41"/>
        <v>2.6254382233492533</v>
      </c>
      <c r="R102" s="2">
        <f t="shared" si="42"/>
        <v>0.90792760242394277</v>
      </c>
      <c r="S102" s="18">
        <f t="shared" si="43"/>
        <v>2.6405703500563189</v>
      </c>
      <c r="T102" s="18">
        <f t="shared" si="44"/>
        <v>0.53204082899277894</v>
      </c>
      <c r="U102" s="1">
        <f t="shared" si="34"/>
        <v>0</v>
      </c>
      <c r="V102" s="2">
        <f t="shared" si="45"/>
        <v>72.159159334126329</v>
      </c>
      <c r="W102" s="19">
        <f t="shared" si="46"/>
        <v>31.237731313474601</v>
      </c>
      <c r="X102" s="20"/>
      <c r="Y102" s="2">
        <f t="shared" si="47"/>
        <v>11.24031599167669</v>
      </c>
      <c r="Z102" s="21">
        <f t="shared" si="48"/>
        <v>0.4087081770499249</v>
      </c>
      <c r="AA102" s="2">
        <f t="shared" si="49"/>
        <v>8.5705215330875326</v>
      </c>
      <c r="AB102" s="19">
        <f t="shared" si="52"/>
        <v>28.057522799347087</v>
      </c>
      <c r="AC102" s="2"/>
      <c r="AD102" s="18"/>
      <c r="AE102" s="118"/>
      <c r="AG102" s="2"/>
      <c r="AH102" s="19"/>
      <c r="AI102" s="20"/>
      <c r="AJ102" s="21"/>
      <c r="AK102" s="21"/>
      <c r="AM102" s="19"/>
      <c r="AN102" s="18"/>
      <c r="AO102" s="2"/>
      <c r="AP102" s="18"/>
      <c r="AQ102" s="118"/>
      <c r="AS102" s="2"/>
      <c r="AT102" s="19"/>
      <c r="AU102" s="20"/>
      <c r="AV102" s="21"/>
      <c r="AW102" s="21"/>
      <c r="AY102" s="19"/>
      <c r="AZ102" s="18"/>
      <c r="BA102" s="2"/>
      <c r="BB102" s="18"/>
      <c r="BC102" s="118"/>
      <c r="BE102" s="2"/>
      <c r="BF102" s="19"/>
      <c r="BG102" s="20"/>
      <c r="BH102" s="21"/>
      <c r="BI102" s="21"/>
      <c r="BK102" s="19"/>
      <c r="BL102" s="18"/>
      <c r="BM102" s="2"/>
      <c r="BN102" s="18"/>
      <c r="BO102" s="118"/>
      <c r="BQ102" s="2"/>
      <c r="BR102" s="19"/>
      <c r="BS102" s="20"/>
      <c r="BT102" s="21"/>
      <c r="BU102" s="21"/>
      <c r="BW102" s="19"/>
      <c r="BX102" s="18"/>
      <c r="BY102" s="2"/>
      <c r="BZ102" s="18"/>
      <c r="CA102" s="118"/>
      <c r="CC102" s="2"/>
      <c r="CD102" s="19"/>
      <c r="CE102" s="20"/>
      <c r="CF102" s="21"/>
      <c r="CG102" s="21"/>
      <c r="CI102" s="19"/>
      <c r="CJ102" s="18"/>
      <c r="CK102" s="2"/>
      <c r="CL102" s="18"/>
      <c r="CM102" s="118"/>
      <c r="CO102" s="2"/>
      <c r="CP102" s="19"/>
      <c r="CQ102" s="20"/>
      <c r="CR102" s="21"/>
      <c r="CS102" s="21"/>
    </row>
    <row r="103" spans="1:97" x14ac:dyDescent="0.25">
      <c r="A103" s="1">
        <f t="shared" si="35"/>
        <v>77</v>
      </c>
      <c r="B103" s="19">
        <f t="shared" si="36"/>
        <v>21.203679361584165</v>
      </c>
      <c r="C103" s="18">
        <f t="shared" si="50"/>
        <v>1.1553387884188111</v>
      </c>
      <c r="D103" s="2">
        <f t="shared" si="29"/>
        <v>0.90105257909457404</v>
      </c>
      <c r="E103" s="18">
        <f t="shared" si="37"/>
        <v>1.1703563314037206</v>
      </c>
      <c r="F103" s="21">
        <f t="shared" si="30"/>
        <v>0.1076173332447479</v>
      </c>
      <c r="G103" s="1">
        <f t="shared" si="31"/>
        <v>0</v>
      </c>
      <c r="H103" s="2">
        <f t="shared" si="27"/>
        <v>49.08811665850417</v>
      </c>
      <c r="I103" s="19">
        <f t="shared" si="53"/>
        <v>21.250266951733405</v>
      </c>
      <c r="J103" s="20">
        <f t="shared" si="32"/>
        <v>0.93621486943708498</v>
      </c>
      <c r="K103" s="21">
        <f t="shared" si="33"/>
        <v>1.2505545131323195</v>
      </c>
      <c r="L103" s="21">
        <f t="shared" si="28"/>
        <v>8.0288632271885901E-2</v>
      </c>
      <c r="M103" s="2">
        <f t="shared" si="38"/>
        <v>0.92086267888911333</v>
      </c>
      <c r="N103" s="19">
        <f t="shared" si="51"/>
        <v>243.25387431443477</v>
      </c>
      <c r="O103" s="1">
        <f t="shared" si="39"/>
        <v>77</v>
      </c>
      <c r="P103" s="19">
        <f t="shared" si="40"/>
        <v>31.237731313474601</v>
      </c>
      <c r="Q103" s="18">
        <f t="shared" si="41"/>
        <v>2.6405703500563189</v>
      </c>
      <c r="R103" s="2">
        <f t="shared" si="42"/>
        <v>0.90806199424947398</v>
      </c>
      <c r="S103" s="18">
        <f t="shared" si="43"/>
        <v>2.6557047166271435</v>
      </c>
      <c r="T103" s="18">
        <f t="shared" si="44"/>
        <v>0.53805159139533743</v>
      </c>
      <c r="U103" s="1">
        <f t="shared" si="34"/>
        <v>0</v>
      </c>
      <c r="V103" s="2">
        <f t="shared" si="45"/>
        <v>72.697210925521659</v>
      </c>
      <c r="W103" s="19">
        <f t="shared" si="46"/>
        <v>31.470654080312407</v>
      </c>
      <c r="X103" s="20"/>
      <c r="Y103" s="2">
        <f t="shared" si="47"/>
        <v>11.473292330750871</v>
      </c>
      <c r="Z103" s="21">
        <f t="shared" si="48"/>
        <v>0.41340660556042841</v>
      </c>
      <c r="AA103" s="2">
        <f t="shared" si="49"/>
        <v>8.74948543159854</v>
      </c>
      <c r="AB103" s="19">
        <f t="shared" si="52"/>
        <v>28.337959969245475</v>
      </c>
      <c r="AC103" s="2"/>
      <c r="AD103" s="18"/>
      <c r="AE103" s="118"/>
      <c r="AG103" s="2"/>
      <c r="AH103" s="19"/>
      <c r="AI103" s="20"/>
      <c r="AJ103" s="21"/>
      <c r="AK103" s="21"/>
      <c r="AM103" s="19"/>
      <c r="AN103" s="18"/>
      <c r="AO103" s="2"/>
      <c r="AP103" s="18"/>
      <c r="AQ103" s="118"/>
      <c r="AS103" s="2"/>
      <c r="AT103" s="19"/>
      <c r="AU103" s="20"/>
      <c r="AV103" s="21"/>
      <c r="AW103" s="21"/>
      <c r="AY103" s="19"/>
      <c r="AZ103" s="18"/>
      <c r="BA103" s="2"/>
      <c r="BB103" s="18"/>
      <c r="BC103" s="118"/>
      <c r="BE103" s="2"/>
      <c r="BF103" s="19"/>
      <c r="BG103" s="20"/>
      <c r="BH103" s="21"/>
      <c r="BI103" s="21"/>
      <c r="BK103" s="19"/>
      <c r="BL103" s="18"/>
      <c r="BM103" s="2"/>
      <c r="BN103" s="18"/>
      <c r="BO103" s="118"/>
      <c r="BQ103" s="2"/>
      <c r="BR103" s="19"/>
      <c r="BS103" s="20"/>
      <c r="BT103" s="21"/>
      <c r="BU103" s="21"/>
      <c r="BW103" s="19"/>
      <c r="BX103" s="18"/>
      <c r="BY103" s="2"/>
      <c r="BZ103" s="18"/>
      <c r="CA103" s="118"/>
      <c r="CC103" s="2"/>
      <c r="CD103" s="19"/>
      <c r="CE103" s="20"/>
      <c r="CF103" s="21"/>
      <c r="CG103" s="21"/>
      <c r="CI103" s="19"/>
      <c r="CJ103" s="18"/>
      <c r="CK103" s="2"/>
      <c r="CL103" s="18"/>
      <c r="CM103" s="118"/>
      <c r="CO103" s="2"/>
      <c r="CP103" s="19"/>
      <c r="CQ103" s="20"/>
      <c r="CR103" s="21"/>
      <c r="CS103" s="21"/>
    </row>
    <row r="104" spans="1:97" x14ac:dyDescent="0.25">
      <c r="A104" s="1">
        <f t="shared" si="35"/>
        <v>78</v>
      </c>
      <c r="B104" s="19">
        <f t="shared" si="36"/>
        <v>21.250266951733405</v>
      </c>
      <c r="C104" s="18">
        <f t="shared" si="50"/>
        <v>1.1703563314037206</v>
      </c>
      <c r="D104" s="2">
        <f t="shared" si="29"/>
        <v>0.9010921314189827</v>
      </c>
      <c r="E104" s="18">
        <f t="shared" si="37"/>
        <v>1.1853745335940371</v>
      </c>
      <c r="F104" s="21">
        <f t="shared" si="30"/>
        <v>0.11034412657799014</v>
      </c>
      <c r="G104" s="1">
        <f t="shared" si="31"/>
        <v>0</v>
      </c>
      <c r="H104" s="2">
        <f t="shared" si="27"/>
        <v>49.198460785082162</v>
      </c>
      <c r="I104" s="19">
        <f t="shared" si="53"/>
        <v>21.298034971897039</v>
      </c>
      <c r="J104" s="20">
        <f t="shared" si="32"/>
        <v>0.9362041013613206</v>
      </c>
      <c r="K104" s="21">
        <f t="shared" si="33"/>
        <v>1.2983335199405892</v>
      </c>
      <c r="L104" s="21">
        <f t="shared" si="28"/>
        <v>8.2362406442579805E-2</v>
      </c>
      <c r="M104" s="2">
        <f t="shared" si="38"/>
        <v>0.9565174002928275</v>
      </c>
      <c r="N104" s="19">
        <f t="shared" si="51"/>
        <v>243.88659962724546</v>
      </c>
      <c r="O104" s="1">
        <f t="shared" si="39"/>
        <v>78</v>
      </c>
      <c r="P104" s="19">
        <f t="shared" si="40"/>
        <v>31.470654080312407</v>
      </c>
      <c r="Q104" s="18">
        <f t="shared" si="41"/>
        <v>2.6557047166271435</v>
      </c>
      <c r="R104" s="2">
        <f t="shared" si="42"/>
        <v>0.90819692038218025</v>
      </c>
      <c r="S104" s="18">
        <f t="shared" si="43"/>
        <v>2.6708413319668463</v>
      </c>
      <c r="T104" s="18">
        <f t="shared" si="44"/>
        <v>0.54409649371424007</v>
      </c>
      <c r="U104" s="1">
        <f t="shared" si="34"/>
        <v>0</v>
      </c>
      <c r="V104" s="2">
        <f t="shared" si="45"/>
        <v>73.241307419235895</v>
      </c>
      <c r="W104" s="19">
        <f t="shared" si="46"/>
        <v>31.706193687980907</v>
      </c>
      <c r="X104" s="20"/>
      <c r="Y104" s="2">
        <f t="shared" si="47"/>
        <v>11.708886112529138</v>
      </c>
      <c r="Z104" s="21">
        <f t="shared" si="48"/>
        <v>0.41813259016226484</v>
      </c>
      <c r="AA104" s="2">
        <f t="shared" si="49"/>
        <v>8.9304952108895641</v>
      </c>
      <c r="AB104" s="19">
        <f t="shared" si="52"/>
        <v>28.61679897994237</v>
      </c>
      <c r="AC104" s="2"/>
      <c r="AD104" s="18"/>
      <c r="AE104" s="118"/>
      <c r="AG104" s="2"/>
      <c r="AH104" s="19"/>
      <c r="AI104" s="20"/>
      <c r="AJ104" s="21"/>
      <c r="AK104" s="21"/>
      <c r="AM104" s="19"/>
      <c r="AN104" s="18"/>
      <c r="AO104" s="2"/>
      <c r="AP104" s="18"/>
      <c r="AQ104" s="118"/>
      <c r="AS104" s="2"/>
      <c r="AT104" s="19"/>
      <c r="AU104" s="20"/>
      <c r="AV104" s="21"/>
      <c r="AW104" s="21"/>
      <c r="AY104" s="19"/>
      <c r="AZ104" s="18"/>
      <c r="BA104" s="2"/>
      <c r="BB104" s="18"/>
      <c r="BC104" s="118"/>
      <c r="BE104" s="2"/>
      <c r="BF104" s="19"/>
      <c r="BG104" s="20"/>
      <c r="BH104" s="21"/>
      <c r="BI104" s="21"/>
      <c r="BK104" s="19"/>
      <c r="BL104" s="18"/>
      <c r="BM104" s="2"/>
      <c r="BN104" s="18"/>
      <c r="BO104" s="118"/>
      <c r="BQ104" s="2"/>
      <c r="BR104" s="19"/>
      <c r="BS104" s="20"/>
      <c r="BT104" s="21"/>
      <c r="BU104" s="21"/>
      <c r="BW104" s="19"/>
      <c r="BX104" s="18"/>
      <c r="BY104" s="2"/>
      <c r="BZ104" s="18"/>
      <c r="CA104" s="118"/>
      <c r="CC104" s="2"/>
      <c r="CD104" s="19"/>
      <c r="CE104" s="20"/>
      <c r="CF104" s="21"/>
      <c r="CG104" s="21"/>
      <c r="CI104" s="19"/>
      <c r="CJ104" s="18"/>
      <c r="CK104" s="2"/>
      <c r="CL104" s="18"/>
      <c r="CM104" s="118"/>
      <c r="CO104" s="2"/>
      <c r="CP104" s="19"/>
      <c r="CQ104" s="20"/>
      <c r="CR104" s="21"/>
      <c r="CS104" s="21"/>
    </row>
    <row r="105" spans="1:97" x14ac:dyDescent="0.25">
      <c r="A105" s="1">
        <f t="shared" si="35"/>
        <v>79</v>
      </c>
      <c r="B105" s="19">
        <f t="shared" si="36"/>
        <v>21.298034971897039</v>
      </c>
      <c r="C105" s="18">
        <f t="shared" si="50"/>
        <v>1.1853745335940371</v>
      </c>
      <c r="D105" s="2">
        <f t="shared" si="29"/>
        <v>0.90113259777813959</v>
      </c>
      <c r="E105" s="18">
        <f t="shared" si="37"/>
        <v>1.2003934102236729</v>
      </c>
      <c r="F105" s="21">
        <f t="shared" si="30"/>
        <v>0.1131045732790895</v>
      </c>
      <c r="G105" s="1">
        <f t="shared" si="31"/>
        <v>0</v>
      </c>
      <c r="H105" s="2">
        <f t="shared" si="27"/>
        <v>49.31156535836125</v>
      </c>
      <c r="I105" s="19">
        <f t="shared" si="53"/>
        <v>21.346997990632577</v>
      </c>
      <c r="J105" s="20">
        <f t="shared" si="32"/>
        <v>0.93619307672690333</v>
      </c>
      <c r="K105" s="21">
        <f t="shared" si="33"/>
        <v>1.3473078001704351</v>
      </c>
      <c r="L105" s="21">
        <f t="shared" si="28"/>
        <v>8.4462716880245592E-2</v>
      </c>
      <c r="M105" s="2">
        <f t="shared" si="38"/>
        <v>0.99308134699423256</v>
      </c>
      <c r="N105" s="19">
        <f t="shared" si="51"/>
        <v>244.51130857357498</v>
      </c>
      <c r="O105" s="1">
        <f t="shared" si="39"/>
        <v>79</v>
      </c>
      <c r="P105" s="19">
        <f t="shared" si="40"/>
        <v>31.706193687980907</v>
      </c>
      <c r="Q105" s="18">
        <f t="shared" si="41"/>
        <v>2.6708413319668463</v>
      </c>
      <c r="R105" s="2">
        <f t="shared" si="42"/>
        <v>0.90833237081800666</v>
      </c>
      <c r="S105" s="18">
        <f t="shared" si="43"/>
        <v>2.6859802048138128</v>
      </c>
      <c r="T105" s="18">
        <f t="shared" si="44"/>
        <v>0.55017554891365816</v>
      </c>
      <c r="U105" s="1">
        <f t="shared" si="34"/>
        <v>0</v>
      </c>
      <c r="V105" s="2">
        <f t="shared" si="45"/>
        <v>73.791482968149552</v>
      </c>
      <c r="W105" s="19">
        <f t="shared" si="46"/>
        <v>31.944364921276861</v>
      </c>
      <c r="X105" s="20"/>
      <c r="Y105" s="2">
        <f t="shared" si="47"/>
        <v>11.947112125208752</v>
      </c>
      <c r="Z105" s="21">
        <f t="shared" si="48"/>
        <v>0.42288614557835008</v>
      </c>
      <c r="AA105" s="2">
        <f t="shared" si="49"/>
        <v>9.1135628063780274</v>
      </c>
      <c r="AB105" s="19">
        <f t="shared" si="52"/>
        <v>28.894057710000315</v>
      </c>
      <c r="AC105" s="2"/>
      <c r="AD105" s="18"/>
      <c r="AE105" s="118"/>
      <c r="AG105" s="2"/>
      <c r="AH105" s="19"/>
      <c r="AI105" s="20"/>
      <c r="AJ105" s="21"/>
      <c r="AK105" s="21"/>
      <c r="AM105" s="19"/>
      <c r="AN105" s="18"/>
      <c r="AO105" s="2"/>
      <c r="AP105" s="18"/>
      <c r="AQ105" s="118"/>
      <c r="AS105" s="2"/>
      <c r="AT105" s="19"/>
      <c r="AU105" s="20"/>
      <c r="AV105" s="21"/>
      <c r="AW105" s="21"/>
      <c r="AY105" s="19"/>
      <c r="AZ105" s="18"/>
      <c r="BA105" s="2"/>
      <c r="BB105" s="18"/>
      <c r="BC105" s="118"/>
      <c r="BE105" s="2"/>
      <c r="BF105" s="19"/>
      <c r="BG105" s="20"/>
      <c r="BH105" s="21"/>
      <c r="BI105" s="21"/>
      <c r="BK105" s="19"/>
      <c r="BL105" s="18"/>
      <c r="BM105" s="2"/>
      <c r="BN105" s="18"/>
      <c r="BO105" s="118"/>
      <c r="BQ105" s="2"/>
      <c r="BR105" s="19"/>
      <c r="BS105" s="20"/>
      <c r="BT105" s="21"/>
      <c r="BU105" s="21"/>
      <c r="BW105" s="19"/>
      <c r="BX105" s="18"/>
      <c r="BY105" s="2"/>
      <c r="BZ105" s="18"/>
      <c r="CA105" s="118"/>
      <c r="CC105" s="2"/>
      <c r="CD105" s="19"/>
      <c r="CE105" s="20"/>
      <c r="CF105" s="21"/>
      <c r="CG105" s="21"/>
      <c r="CI105" s="19"/>
      <c r="CJ105" s="18"/>
      <c r="CK105" s="2"/>
      <c r="CL105" s="18"/>
      <c r="CM105" s="118"/>
      <c r="CO105" s="2"/>
      <c r="CP105" s="19"/>
      <c r="CQ105" s="20"/>
      <c r="CR105" s="21"/>
      <c r="CS105" s="21"/>
    </row>
    <row r="106" spans="1:97" x14ac:dyDescent="0.25">
      <c r="A106" s="1">
        <f t="shared" si="35"/>
        <v>80</v>
      </c>
      <c r="B106" s="19">
        <f t="shared" si="36"/>
        <v>21.346997990632577</v>
      </c>
      <c r="C106" s="18">
        <f t="shared" si="50"/>
        <v>1.2003934102236729</v>
      </c>
      <c r="D106" s="2">
        <f t="shared" si="29"/>
        <v>0.90117398426729201</v>
      </c>
      <c r="E106" s="18">
        <f t="shared" si="37"/>
        <v>1.2154129766281276</v>
      </c>
      <c r="F106" s="21">
        <f t="shared" si="30"/>
        <v>0.11589866753869035</v>
      </c>
      <c r="G106" s="1">
        <f t="shared" si="31"/>
        <v>0</v>
      </c>
      <c r="H106" s="2">
        <f t="shared" si="27"/>
        <v>49.427464025899944</v>
      </c>
      <c r="I106" s="19">
        <f t="shared" si="53"/>
        <v>21.39717057398266</v>
      </c>
      <c r="J106" s="20">
        <f t="shared" si="32"/>
        <v>0.93618179325078921</v>
      </c>
      <c r="K106" s="21">
        <f t="shared" si="33"/>
        <v>1.3974919232146881</v>
      </c>
      <c r="L106" s="21">
        <f t="shared" si="28"/>
        <v>8.658956933243013E-2</v>
      </c>
      <c r="M106" s="2">
        <f t="shared" si="38"/>
        <v>1.0305660090429036</v>
      </c>
      <c r="N106" s="19">
        <f t="shared" si="51"/>
        <v>245.12820139352925</v>
      </c>
      <c r="O106" s="1">
        <f t="shared" si="39"/>
        <v>80</v>
      </c>
      <c r="P106" s="19">
        <f t="shared" si="40"/>
        <v>31.944364921276861</v>
      </c>
      <c r="Q106" s="18">
        <f t="shared" si="41"/>
        <v>2.6859802048138128</v>
      </c>
      <c r="R106" s="2">
        <f t="shared" si="42"/>
        <v>0.90846833558975049</v>
      </c>
      <c r="S106" s="18">
        <f t="shared" si="43"/>
        <v>2.7011213437403088</v>
      </c>
      <c r="T106" s="18">
        <f t="shared" si="44"/>
        <v>0.55628876999955901</v>
      </c>
      <c r="U106" s="1">
        <f t="shared" si="34"/>
        <v>0</v>
      </c>
      <c r="V106" s="2">
        <f t="shared" si="45"/>
        <v>74.347771738149106</v>
      </c>
      <c r="W106" s="19">
        <f t="shared" si="46"/>
        <v>32.185182570627319</v>
      </c>
      <c r="X106" s="20"/>
      <c r="Y106" s="2">
        <f t="shared" si="47"/>
        <v>12.187985162618562</v>
      </c>
      <c r="Z106" s="21">
        <f t="shared" si="48"/>
        <v>0.42766728654281905</v>
      </c>
      <c r="AA106" s="2">
        <f t="shared" si="49"/>
        <v>9.2987001598597665</v>
      </c>
      <c r="AB106" s="19">
        <f t="shared" si="52"/>
        <v>29.169753738794661</v>
      </c>
      <c r="AC106" s="2"/>
      <c r="AD106" s="18"/>
      <c r="AE106" s="118"/>
      <c r="AG106" s="2"/>
      <c r="AH106" s="19"/>
      <c r="AI106" s="20"/>
      <c r="AJ106" s="21"/>
      <c r="AK106" s="21"/>
      <c r="AM106" s="19"/>
      <c r="AN106" s="18"/>
      <c r="AO106" s="2"/>
      <c r="AP106" s="18"/>
      <c r="AQ106" s="118"/>
      <c r="AS106" s="2"/>
      <c r="AT106" s="19"/>
      <c r="AU106" s="20"/>
      <c r="AV106" s="21"/>
      <c r="AW106" s="21"/>
      <c r="AY106" s="19"/>
      <c r="AZ106" s="18"/>
      <c r="BA106" s="2"/>
      <c r="BB106" s="18"/>
      <c r="BC106" s="118"/>
      <c r="BE106" s="2"/>
      <c r="BF106" s="19"/>
      <c r="BG106" s="20"/>
      <c r="BH106" s="21"/>
      <c r="BI106" s="21"/>
      <c r="BK106" s="19"/>
      <c r="BL106" s="18"/>
      <c r="BM106" s="2"/>
      <c r="BN106" s="18"/>
      <c r="BO106" s="118"/>
      <c r="BQ106" s="2"/>
      <c r="BR106" s="19"/>
      <c r="BS106" s="20"/>
      <c r="BT106" s="21"/>
      <c r="BU106" s="21"/>
      <c r="BW106" s="19"/>
      <c r="BX106" s="18"/>
      <c r="BY106" s="2"/>
      <c r="BZ106" s="18"/>
      <c r="CA106" s="118"/>
      <c r="CC106" s="2"/>
      <c r="CD106" s="19"/>
      <c r="CE106" s="20"/>
      <c r="CF106" s="21"/>
      <c r="CG106" s="21"/>
      <c r="CI106" s="19"/>
      <c r="CJ106" s="18"/>
      <c r="CK106" s="2"/>
      <c r="CL106" s="18"/>
      <c r="CM106" s="118"/>
      <c r="CO106" s="2"/>
      <c r="CP106" s="19"/>
      <c r="CQ106" s="20"/>
      <c r="CR106" s="21"/>
      <c r="CS106" s="21"/>
    </row>
    <row r="107" spans="1:97" x14ac:dyDescent="0.25">
      <c r="A107" s="1">
        <f t="shared" si="35"/>
        <v>81</v>
      </c>
      <c r="B107" s="19">
        <f t="shared" si="36"/>
        <v>21.39717057398266</v>
      </c>
      <c r="C107" s="18">
        <f t="shared" si="50"/>
        <v>1.2154129766281276</v>
      </c>
      <c r="D107" s="2">
        <f t="shared" si="29"/>
        <v>0.90121629676097514</v>
      </c>
      <c r="E107" s="18">
        <f t="shared" si="37"/>
        <v>1.2304332482408105</v>
      </c>
      <c r="F107" s="21">
        <f t="shared" si="30"/>
        <v>0.11872640388770046</v>
      </c>
      <c r="G107" s="1">
        <f t="shared" si="31"/>
        <v>0</v>
      </c>
      <c r="H107" s="2">
        <f t="shared" si="27"/>
        <v>49.546190429787643</v>
      </c>
      <c r="I107" s="19">
        <f t="shared" si="53"/>
        <v>21.448567285622357</v>
      </c>
      <c r="J107" s="20">
        <f t="shared" si="32"/>
        <v>0.93617024868833887</v>
      </c>
      <c r="K107" s="21">
        <f t="shared" si="33"/>
        <v>1.4489004560980623</v>
      </c>
      <c r="L107" s="21">
        <f t="shared" si="28"/>
        <v>8.8742969668978031E-2</v>
      </c>
      <c r="M107" s="2">
        <f t="shared" si="38"/>
        <v>1.0689828790294742</v>
      </c>
      <c r="N107" s="19">
        <f t="shared" si="51"/>
        <v>245.73747090942808</v>
      </c>
      <c r="O107" s="1">
        <f t="shared" si="39"/>
        <v>81</v>
      </c>
      <c r="P107" s="19">
        <f t="shared" si="40"/>
        <v>32.185182570627319</v>
      </c>
      <c r="Q107" s="18">
        <f t="shared" si="41"/>
        <v>2.7011213437403088</v>
      </c>
      <c r="R107" s="2">
        <f t="shared" si="42"/>
        <v>0.90860480476987227</v>
      </c>
      <c r="S107" s="18">
        <f t="shared" si="43"/>
        <v>2.71626475715314</v>
      </c>
      <c r="T107" s="18">
        <f t="shared" si="44"/>
        <v>0.56243617001777602</v>
      </c>
      <c r="U107" s="1">
        <f t="shared" si="34"/>
        <v>0</v>
      </c>
      <c r="V107" s="2">
        <f t="shared" si="45"/>
        <v>74.910207908166882</v>
      </c>
      <c r="W107" s="19">
        <f t="shared" si="46"/>
        <v>32.428661432106871</v>
      </c>
      <c r="X107" s="20"/>
      <c r="Y107" s="2">
        <f t="shared" si="47"/>
        <v>12.431520024236258</v>
      </c>
      <c r="Z107" s="21">
        <f t="shared" si="48"/>
        <v>0.43247602779978433</v>
      </c>
      <c r="AA107" s="2">
        <f t="shared" si="49"/>
        <v>9.4859192195133524</v>
      </c>
      <c r="AB107" s="19">
        <f t="shared" si="52"/>
        <v>29.443904353169501</v>
      </c>
      <c r="AC107" s="2"/>
      <c r="AD107" s="18"/>
      <c r="AE107" s="118"/>
      <c r="AG107" s="2"/>
      <c r="AH107" s="19"/>
      <c r="AI107" s="20"/>
      <c r="AJ107" s="21"/>
      <c r="AK107" s="21"/>
      <c r="AM107" s="19"/>
      <c r="AN107" s="18"/>
      <c r="AO107" s="2"/>
      <c r="AP107" s="18"/>
      <c r="AQ107" s="118"/>
      <c r="AS107" s="2"/>
      <c r="AT107" s="19"/>
      <c r="AU107" s="20"/>
      <c r="AV107" s="21"/>
      <c r="AW107" s="21"/>
      <c r="AY107" s="19"/>
      <c r="AZ107" s="18"/>
      <c r="BA107" s="2"/>
      <c r="BB107" s="18"/>
      <c r="BC107" s="118"/>
      <c r="BE107" s="2"/>
      <c r="BF107" s="19"/>
      <c r="BG107" s="20"/>
      <c r="BH107" s="21"/>
      <c r="BI107" s="21"/>
      <c r="BK107" s="19"/>
      <c r="BL107" s="18"/>
      <c r="BM107" s="2"/>
      <c r="BN107" s="18"/>
      <c r="BO107" s="118"/>
      <c r="BQ107" s="2"/>
      <c r="BR107" s="19"/>
      <c r="BS107" s="20"/>
      <c r="BT107" s="21"/>
      <c r="BU107" s="21"/>
      <c r="BW107" s="19"/>
      <c r="BX107" s="18"/>
      <c r="BY107" s="2"/>
      <c r="BZ107" s="18"/>
      <c r="CA107" s="118"/>
      <c r="CC107" s="2"/>
      <c r="CD107" s="19"/>
      <c r="CE107" s="20"/>
      <c r="CF107" s="21"/>
      <c r="CG107" s="21"/>
      <c r="CI107" s="19"/>
      <c r="CJ107" s="18"/>
      <c r="CK107" s="2"/>
      <c r="CL107" s="18"/>
      <c r="CM107" s="118"/>
      <c r="CO107" s="2"/>
      <c r="CP107" s="19"/>
      <c r="CQ107" s="20"/>
      <c r="CR107" s="21"/>
      <c r="CS107" s="21"/>
    </row>
    <row r="108" spans="1:97" x14ac:dyDescent="0.25">
      <c r="A108" s="1">
        <f t="shared" si="35"/>
        <v>82</v>
      </c>
      <c r="B108" s="19">
        <f t="shared" si="36"/>
        <v>21.448567285622357</v>
      </c>
      <c r="C108" s="18">
        <f t="shared" si="50"/>
        <v>1.2304332482408105</v>
      </c>
      <c r="D108" s="2">
        <f t="shared" si="29"/>
        <v>0.90125954091076133</v>
      </c>
      <c r="E108" s="18">
        <f t="shared" si="37"/>
        <v>1.2454542405893232</v>
      </c>
      <c r="F108" s="21">
        <f t="shared" si="30"/>
        <v>0.12158777719267755</v>
      </c>
      <c r="G108" s="1">
        <f t="shared" si="31"/>
        <v>0</v>
      </c>
      <c r="H108" s="2">
        <f t="shared" si="27"/>
        <v>49.667778206980323</v>
      </c>
      <c r="I108" s="19">
        <f t="shared" si="53"/>
        <v>21.501202687004469</v>
      </c>
      <c r="J108" s="20">
        <f t="shared" si="32"/>
        <v>0.93615844083384414</v>
      </c>
      <c r="K108" s="21">
        <f t="shared" si="33"/>
        <v>1.5015479636224918</v>
      </c>
      <c r="L108" s="21">
        <f t="shared" si="28"/>
        <v>9.0922923882363629E-2</v>
      </c>
      <c r="M108" s="2">
        <f t="shared" si="38"/>
        <v>1.1083434521387225</v>
      </c>
      <c r="N108" s="19">
        <f t="shared" si="51"/>
        <v>246.33930288767326</v>
      </c>
      <c r="O108" s="1">
        <f t="shared" si="39"/>
        <v>82</v>
      </c>
      <c r="P108" s="19">
        <f t="shared" si="40"/>
        <v>32.428661432106871</v>
      </c>
      <c r="Q108" s="18">
        <f t="shared" si="41"/>
        <v>2.71626475715314</v>
      </c>
      <c r="R108" s="2">
        <f t="shared" si="42"/>
        <v>0.90874176847321653</v>
      </c>
      <c r="S108" s="18">
        <f t="shared" si="43"/>
        <v>2.7314104532943602</v>
      </c>
      <c r="T108" s="18">
        <f t="shared" si="44"/>
        <v>0.56861776205211534</v>
      </c>
      <c r="U108" s="1">
        <f t="shared" si="34"/>
        <v>0</v>
      </c>
      <c r="V108" s="2">
        <f t="shared" si="45"/>
        <v>75.478825670218981</v>
      </c>
      <c r="W108" s="19">
        <f t="shared" si="46"/>
        <v>32.674816307454101</v>
      </c>
      <c r="X108" s="20"/>
      <c r="Y108" s="2">
        <f t="shared" si="47"/>
        <v>12.677731515204824</v>
      </c>
      <c r="Z108" s="21">
        <f t="shared" si="48"/>
        <v>0.43731238410211593</v>
      </c>
      <c r="AA108" s="2">
        <f t="shared" si="49"/>
        <v>9.6752319399038793</v>
      </c>
      <c r="AB108" s="19">
        <f t="shared" si="52"/>
        <v>29.716526553909429</v>
      </c>
      <c r="AC108" s="2"/>
      <c r="AD108" s="18"/>
      <c r="AE108" s="118"/>
      <c r="AG108" s="2"/>
      <c r="AH108" s="19"/>
      <c r="AI108" s="20"/>
      <c r="AJ108" s="21"/>
      <c r="AK108" s="21"/>
      <c r="AM108" s="19"/>
      <c r="AN108" s="18"/>
      <c r="AO108" s="2"/>
      <c r="AP108" s="18"/>
      <c r="AQ108" s="118"/>
      <c r="AS108" s="2"/>
      <c r="AT108" s="19"/>
      <c r="AU108" s="20"/>
      <c r="AV108" s="21"/>
      <c r="AW108" s="21"/>
      <c r="AY108" s="19"/>
      <c r="AZ108" s="18"/>
      <c r="BA108" s="2"/>
      <c r="BB108" s="18"/>
      <c r="BC108" s="118"/>
      <c r="BE108" s="2"/>
      <c r="BF108" s="19"/>
      <c r="BG108" s="20"/>
      <c r="BH108" s="21"/>
      <c r="BI108" s="21"/>
      <c r="BK108" s="19"/>
      <c r="BL108" s="18"/>
      <c r="BM108" s="2"/>
      <c r="BN108" s="18"/>
      <c r="BO108" s="118"/>
      <c r="BQ108" s="2"/>
      <c r="BR108" s="19"/>
      <c r="BS108" s="20"/>
      <c r="BT108" s="21"/>
      <c r="BU108" s="21"/>
      <c r="BW108" s="19"/>
      <c r="BX108" s="18"/>
      <c r="BY108" s="2"/>
      <c r="BZ108" s="18"/>
      <c r="CA108" s="118"/>
      <c r="CC108" s="2"/>
      <c r="CD108" s="19"/>
      <c r="CE108" s="20"/>
      <c r="CF108" s="21"/>
      <c r="CG108" s="21"/>
      <c r="CI108" s="19"/>
      <c r="CJ108" s="18"/>
      <c r="CK108" s="2"/>
      <c r="CL108" s="18"/>
      <c r="CM108" s="118"/>
      <c r="CO108" s="2"/>
      <c r="CP108" s="19"/>
      <c r="CQ108" s="20"/>
      <c r="CR108" s="21"/>
      <c r="CS108" s="21"/>
    </row>
    <row r="109" spans="1:97" x14ac:dyDescent="0.25">
      <c r="A109" s="1">
        <f t="shared" si="35"/>
        <v>83</v>
      </c>
      <c r="B109" s="19">
        <f t="shared" si="36"/>
        <v>21.501202687004469</v>
      </c>
      <c r="C109" s="18">
        <f t="shared" si="50"/>
        <v>1.2454542405893232</v>
      </c>
      <c r="D109" s="2">
        <f t="shared" si="29"/>
        <v>0.90130372214312071</v>
      </c>
      <c r="E109" s="18">
        <f t="shared" si="37"/>
        <v>1.2604759692917085</v>
      </c>
      <c r="F109" s="21">
        <f t="shared" si="30"/>
        <v>0.12448278265134827</v>
      </c>
      <c r="G109" s="1">
        <f t="shared" si="31"/>
        <v>0</v>
      </c>
      <c r="H109" s="2">
        <f t="shared" si="27"/>
        <v>49.792260989631671</v>
      </c>
      <c r="I109" s="19">
        <f t="shared" si="53"/>
        <v>21.555091337502887</v>
      </c>
      <c r="J109" s="20">
        <f t="shared" si="32"/>
        <v>0.9361463675210443</v>
      </c>
      <c r="K109" s="21">
        <f t="shared" si="33"/>
        <v>1.5554490085105255</v>
      </c>
      <c r="L109" s="21">
        <f t="shared" si="28"/>
        <v>9.3129438087978883E-2</v>
      </c>
      <c r="M109" s="2">
        <f t="shared" si="38"/>
        <v>1.1486592262027826</v>
      </c>
      <c r="N109" s="19">
        <f t="shared" si="51"/>
        <v>246.93387637881733</v>
      </c>
      <c r="O109" s="1">
        <f t="shared" si="39"/>
        <v>83</v>
      </c>
      <c r="P109" s="19">
        <f t="shared" si="40"/>
        <v>32.674816307454101</v>
      </c>
      <c r="Q109" s="18">
        <f t="shared" si="41"/>
        <v>2.7314104532943602</v>
      </c>
      <c r="R109" s="2">
        <f t="shared" si="42"/>
        <v>0.90887921685964124</v>
      </c>
      <c r="S109" s="18">
        <f t="shared" si="43"/>
        <v>2.7465584402420209</v>
      </c>
      <c r="T109" s="18">
        <f t="shared" si="44"/>
        <v>0.57483355922249779</v>
      </c>
      <c r="U109" s="1">
        <f t="shared" si="34"/>
        <v>0</v>
      </c>
      <c r="V109" s="2">
        <f t="shared" si="45"/>
        <v>76.053659229441479</v>
      </c>
      <c r="W109" s="19">
        <f t="shared" si="46"/>
        <v>32.92366200408722</v>
      </c>
      <c r="X109" s="20"/>
      <c r="Y109" s="2">
        <f t="shared" si="47"/>
        <v>12.926634446348165</v>
      </c>
      <c r="Z109" s="21">
        <f t="shared" si="48"/>
        <v>0.44217637021024375</v>
      </c>
      <c r="AA109" s="2">
        <f t="shared" si="49"/>
        <v>9.8666502819862352</v>
      </c>
      <c r="AB109" s="19">
        <f t="shared" si="52"/>
        <v>29.987637062033265</v>
      </c>
      <c r="AC109" s="2"/>
      <c r="AD109" s="18"/>
      <c r="AE109" s="118"/>
      <c r="AG109" s="2"/>
      <c r="AH109" s="19"/>
      <c r="AI109" s="20"/>
      <c r="AJ109" s="21"/>
      <c r="AK109" s="21"/>
      <c r="AM109" s="19"/>
      <c r="AN109" s="18"/>
      <c r="AO109" s="2"/>
      <c r="AP109" s="18"/>
      <c r="AQ109" s="118"/>
      <c r="AS109" s="2"/>
      <c r="AT109" s="19"/>
      <c r="AU109" s="20"/>
      <c r="AV109" s="21"/>
      <c r="AW109" s="21"/>
      <c r="AY109" s="19"/>
      <c r="AZ109" s="18"/>
      <c r="BA109" s="2"/>
      <c r="BB109" s="18"/>
      <c r="BC109" s="118"/>
      <c r="BE109" s="2"/>
      <c r="BF109" s="19"/>
      <c r="BG109" s="20"/>
      <c r="BH109" s="21"/>
      <c r="BI109" s="21"/>
      <c r="BK109" s="19"/>
      <c r="BL109" s="18"/>
      <c r="BM109" s="2"/>
      <c r="BN109" s="18"/>
      <c r="BO109" s="118"/>
      <c r="BQ109" s="2"/>
      <c r="BR109" s="19"/>
      <c r="BS109" s="20"/>
      <c r="BT109" s="21"/>
      <c r="BU109" s="21"/>
      <c r="BW109" s="19"/>
      <c r="BX109" s="18"/>
      <c r="BY109" s="2"/>
      <c r="BZ109" s="18"/>
      <c r="CA109" s="118"/>
      <c r="CC109" s="2"/>
      <c r="CD109" s="19"/>
      <c r="CE109" s="20"/>
      <c r="CF109" s="21"/>
      <c r="CG109" s="21"/>
      <c r="CI109" s="19"/>
      <c r="CJ109" s="18"/>
      <c r="CK109" s="2"/>
      <c r="CL109" s="18"/>
      <c r="CM109" s="118"/>
      <c r="CO109" s="2"/>
      <c r="CP109" s="19"/>
      <c r="CQ109" s="20"/>
      <c r="CR109" s="21"/>
      <c r="CS109" s="21"/>
    </row>
    <row r="110" spans="1:97" x14ac:dyDescent="0.25">
      <c r="A110" s="1">
        <f t="shared" si="35"/>
        <v>84</v>
      </c>
      <c r="B110" s="19">
        <f t="shared" si="36"/>
        <v>21.555091337502887</v>
      </c>
      <c r="C110" s="18">
        <f t="shared" si="50"/>
        <v>1.2604759692917085</v>
      </c>
      <c r="D110" s="2">
        <f t="shared" si="29"/>
        <v>0.90134884565739437</v>
      </c>
      <c r="E110" s="18">
        <f t="shared" si="37"/>
        <v>1.2754984500526649</v>
      </c>
      <c r="F110" s="21">
        <f t="shared" si="30"/>
        <v>0.12741141578825027</v>
      </c>
      <c r="G110" s="1">
        <f t="shared" si="31"/>
        <v>0</v>
      </c>
      <c r="H110" s="2">
        <f t="shared" si="27"/>
        <v>49.919672405419924</v>
      </c>
      <c r="I110" s="19">
        <f t="shared" si="53"/>
        <v>21.610247794554081</v>
      </c>
      <c r="J110" s="20">
        <f t="shared" si="32"/>
        <v>0.9361340266236301</v>
      </c>
      <c r="K110" s="21">
        <f t="shared" si="33"/>
        <v>1.6106181515468379</v>
      </c>
      <c r="L110" s="21">
        <f t="shared" si="28"/>
        <v>9.5362518524377105E-2</v>
      </c>
      <c r="M110" s="2">
        <f t="shared" si="38"/>
        <v>1.1899417017544609</v>
      </c>
      <c r="N110" s="19">
        <f t="shared" si="51"/>
        <v>247.52136403739087</v>
      </c>
      <c r="O110" s="1">
        <f t="shared" si="39"/>
        <v>84</v>
      </c>
      <c r="P110" s="19">
        <f t="shared" si="40"/>
        <v>32.92366200408722</v>
      </c>
      <c r="Q110" s="18">
        <f t="shared" si="41"/>
        <v>2.7465584402420209</v>
      </c>
      <c r="R110" s="2">
        <f t="shared" si="42"/>
        <v>0.90901714013655655</v>
      </c>
      <c r="S110" s="18">
        <f t="shared" si="43"/>
        <v>2.7617087259109634</v>
      </c>
      <c r="T110" s="18">
        <f t="shared" si="44"/>
        <v>0.58108357468313132</v>
      </c>
      <c r="U110" s="1">
        <f t="shared" si="34"/>
        <v>0</v>
      </c>
      <c r="V110" s="2">
        <f t="shared" si="45"/>
        <v>76.634742804124613</v>
      </c>
      <c r="W110" s="19">
        <f t="shared" si="46"/>
        <v>33.175213335118876</v>
      </c>
      <c r="X110" s="20"/>
      <c r="Y110" s="2">
        <f t="shared" si="47"/>
        <v>13.178243634185961</v>
      </c>
      <c r="Z110" s="21">
        <f t="shared" si="48"/>
        <v>0.44706800089097842</v>
      </c>
      <c r="AA110" s="2">
        <f t="shared" si="49"/>
        <v>10.060186213107871</v>
      </c>
      <c r="AB110" s="19">
        <f t="shared" si="52"/>
        <v>30.257252324915545</v>
      </c>
      <c r="AC110" s="2"/>
      <c r="AD110" s="18"/>
      <c r="AE110" s="118"/>
      <c r="AG110" s="2"/>
      <c r="AH110" s="19"/>
      <c r="AI110" s="20"/>
      <c r="AJ110" s="21"/>
      <c r="AK110" s="21"/>
      <c r="AM110" s="19"/>
      <c r="AN110" s="18"/>
      <c r="AO110" s="2"/>
      <c r="AP110" s="18"/>
      <c r="AQ110" s="118"/>
      <c r="AS110" s="2"/>
      <c r="AT110" s="19"/>
      <c r="AU110" s="20"/>
      <c r="AV110" s="21"/>
      <c r="AW110" s="21"/>
      <c r="AY110" s="19"/>
      <c r="AZ110" s="18"/>
      <c r="BA110" s="2"/>
      <c r="BB110" s="18"/>
      <c r="BC110" s="118"/>
      <c r="BE110" s="2"/>
      <c r="BF110" s="19"/>
      <c r="BG110" s="20"/>
      <c r="BH110" s="21"/>
      <c r="BI110" s="21"/>
      <c r="BK110" s="19"/>
      <c r="BL110" s="18"/>
      <c r="BM110" s="2"/>
      <c r="BN110" s="18"/>
      <c r="BO110" s="118"/>
      <c r="BQ110" s="2"/>
      <c r="BR110" s="19"/>
      <c r="BS110" s="20"/>
      <c r="BT110" s="21"/>
      <c r="BU110" s="21"/>
      <c r="BW110" s="19"/>
      <c r="BX110" s="18"/>
      <c r="BY110" s="2"/>
      <c r="BZ110" s="18"/>
      <c r="CA110" s="118"/>
      <c r="CC110" s="2"/>
      <c r="CD110" s="19"/>
      <c r="CE110" s="20"/>
      <c r="CF110" s="21"/>
      <c r="CG110" s="21"/>
      <c r="CI110" s="19"/>
      <c r="CJ110" s="18"/>
      <c r="CK110" s="2"/>
      <c r="CL110" s="18"/>
      <c r="CM110" s="118"/>
      <c r="CO110" s="2"/>
      <c r="CP110" s="19"/>
      <c r="CQ110" s="20"/>
      <c r="CR110" s="21"/>
      <c r="CS110" s="21"/>
    </row>
    <row r="111" spans="1:97" x14ac:dyDescent="0.25">
      <c r="A111" s="1">
        <f t="shared" si="35"/>
        <v>85</v>
      </c>
      <c r="B111" s="19">
        <f t="shared" si="36"/>
        <v>21.610247794554081</v>
      </c>
      <c r="C111" s="18">
        <f t="shared" si="50"/>
        <v>1.2754984500526649</v>
      </c>
      <c r="D111" s="2">
        <f t="shared" si="29"/>
        <v>0.90139491642388547</v>
      </c>
      <c r="E111" s="18">
        <f t="shared" si="37"/>
        <v>1.2905216986597297</v>
      </c>
      <c r="F111" s="21">
        <f t="shared" si="30"/>
        <v>0.13037367245048781</v>
      </c>
      <c r="G111" s="1">
        <f t="shared" si="31"/>
        <v>0</v>
      </c>
      <c r="H111" s="2">
        <f t="shared" si="27"/>
        <v>50.050046077870412</v>
      </c>
      <c r="I111" s="19">
        <f t="shared" si="53"/>
        <v>21.666686613796713</v>
      </c>
      <c r="J111" s="20">
        <f t="shared" si="32"/>
        <v>0.93612141605573629</v>
      </c>
      <c r="K111" s="21">
        <f t="shared" si="33"/>
        <v>1.6670699517178991</v>
      </c>
      <c r="L111" s="21">
        <f t="shared" si="28"/>
        <v>9.762217155347197E-2</v>
      </c>
      <c r="M111" s="2">
        <f t="shared" si="38"/>
        <v>1.2322023820806391</v>
      </c>
      <c r="N111" s="19">
        <f t="shared" si="51"/>
        <v>248.10193242291641</v>
      </c>
      <c r="O111" s="1">
        <f t="shared" si="39"/>
        <v>85</v>
      </c>
      <c r="P111" s="19">
        <f t="shared" si="40"/>
        <v>33.175213335118876</v>
      </c>
      <c r="Q111" s="18">
        <f t="shared" si="41"/>
        <v>2.7617087259109634</v>
      </c>
      <c r="R111" s="2">
        <f t="shared" si="42"/>
        <v>0.90915552856137571</v>
      </c>
      <c r="S111" s="18">
        <f t="shared" si="43"/>
        <v>2.776861318053653</v>
      </c>
      <c r="T111" s="18">
        <f t="shared" si="44"/>
        <v>0.58736782162072121</v>
      </c>
      <c r="U111" s="1">
        <f t="shared" si="34"/>
        <v>0</v>
      </c>
      <c r="V111" s="2">
        <f t="shared" si="45"/>
        <v>77.222110625745316</v>
      </c>
      <c r="W111" s="19">
        <f t="shared" si="46"/>
        <v>33.429485119370263</v>
      </c>
      <c r="X111" s="20"/>
      <c r="Y111" s="2">
        <f t="shared" si="47"/>
        <v>13.432573900947734</v>
      </c>
      <c r="Z111" s="21">
        <f t="shared" si="48"/>
        <v>0.45198729091635603</v>
      </c>
      <c r="AA111" s="2">
        <f t="shared" si="49"/>
        <v>10.255851707011056</v>
      </c>
      <c r="AB111" s="19">
        <f t="shared" si="52"/>
        <v>30.525388522241396</v>
      </c>
      <c r="AC111" s="2"/>
      <c r="AD111" s="18"/>
      <c r="AE111" s="118"/>
      <c r="AG111" s="2"/>
      <c r="AH111" s="19"/>
      <c r="AI111" s="20"/>
      <c r="AJ111" s="21"/>
      <c r="AK111" s="21"/>
      <c r="AM111" s="19"/>
      <c r="AN111" s="18"/>
      <c r="AO111" s="2"/>
      <c r="AP111" s="18"/>
      <c r="AQ111" s="118"/>
      <c r="AS111" s="2"/>
      <c r="AT111" s="19"/>
      <c r="AU111" s="20"/>
      <c r="AV111" s="21"/>
      <c r="AW111" s="21"/>
      <c r="AY111" s="19"/>
      <c r="AZ111" s="18"/>
      <c r="BA111" s="2"/>
      <c r="BB111" s="18"/>
      <c r="BC111" s="118"/>
      <c r="BE111" s="2"/>
      <c r="BF111" s="19"/>
      <c r="BG111" s="20"/>
      <c r="BH111" s="21"/>
      <c r="BI111" s="21"/>
      <c r="BK111" s="19"/>
      <c r="BL111" s="18"/>
      <c r="BM111" s="2"/>
      <c r="BN111" s="18"/>
      <c r="BO111" s="118"/>
      <c r="BQ111" s="2"/>
      <c r="BR111" s="19"/>
      <c r="BS111" s="20"/>
      <c r="BT111" s="21"/>
      <c r="BU111" s="21"/>
      <c r="BW111" s="19"/>
      <c r="BX111" s="18"/>
      <c r="BY111" s="2"/>
      <c r="BZ111" s="18"/>
      <c r="CA111" s="118"/>
      <c r="CC111" s="2"/>
      <c r="CD111" s="19"/>
      <c r="CE111" s="20"/>
      <c r="CF111" s="21"/>
      <c r="CG111" s="21"/>
      <c r="CI111" s="19"/>
      <c r="CJ111" s="18"/>
      <c r="CK111" s="2"/>
      <c r="CL111" s="18"/>
      <c r="CM111" s="118"/>
      <c r="CO111" s="2"/>
      <c r="CP111" s="19"/>
      <c r="CQ111" s="20"/>
      <c r="CR111" s="21"/>
      <c r="CS111" s="21"/>
    </row>
    <row r="112" spans="1:97" x14ac:dyDescent="0.25">
      <c r="A112" s="1">
        <f t="shared" si="35"/>
        <v>86</v>
      </c>
      <c r="B112" s="19">
        <f t="shared" si="36"/>
        <v>21.666686613796713</v>
      </c>
      <c r="C112" s="18">
        <f t="shared" si="50"/>
        <v>1.2905216986597297</v>
      </c>
      <c r="D112" s="2">
        <f t="shared" si="29"/>
        <v>0.90144193918206794</v>
      </c>
      <c r="E112" s="18">
        <f t="shared" si="37"/>
        <v>1.3055457309794307</v>
      </c>
      <c r="F112" s="21">
        <f t="shared" si="30"/>
        <v>0.13336954880359358</v>
      </c>
      <c r="G112" s="1">
        <f t="shared" si="31"/>
        <v>0</v>
      </c>
      <c r="H112" s="2">
        <f t="shared" si="27"/>
        <v>50.183415626674005</v>
      </c>
      <c r="I112" s="19">
        <f t="shared" si="53"/>
        <v>21.724422349209526</v>
      </c>
      <c r="J112" s="20">
        <f t="shared" si="32"/>
        <v>0.93610853377242242</v>
      </c>
      <c r="K112" s="21">
        <f t="shared" si="33"/>
        <v>1.724818966349855</v>
      </c>
      <c r="L112" s="21">
        <f t="shared" si="28"/>
        <v>9.9908403660692258E-2</v>
      </c>
      <c r="M112" s="2">
        <f t="shared" si="38"/>
        <v>1.2754527732757439</v>
      </c>
      <c r="N112" s="19">
        <f t="shared" si="51"/>
        <v>248.67574228342201</v>
      </c>
      <c r="O112" s="1">
        <f t="shared" si="39"/>
        <v>86</v>
      </c>
      <c r="P112" s="19">
        <f t="shared" si="40"/>
        <v>33.429485119370263</v>
      </c>
      <c r="Q112" s="18">
        <f t="shared" si="41"/>
        <v>2.776861318053653</v>
      </c>
      <c r="R112" s="2">
        <f t="shared" si="42"/>
        <v>0.90929437244387512</v>
      </c>
      <c r="S112" s="18">
        <f t="shared" si="43"/>
        <v>2.7920162242610509</v>
      </c>
      <c r="T112" s="18">
        <f t="shared" si="44"/>
        <v>0.59368631325271015</v>
      </c>
      <c r="U112" s="1">
        <f t="shared" si="34"/>
        <v>0</v>
      </c>
      <c r="V112" s="2">
        <f t="shared" si="45"/>
        <v>77.815796938998005</v>
      </c>
      <c r="W112" s="19">
        <f t="shared" si="46"/>
        <v>33.686492181384416</v>
      </c>
      <c r="X112" s="20"/>
      <c r="Y112" s="2">
        <f t="shared" si="47"/>
        <v>13.689640074586157</v>
      </c>
      <c r="Z112" s="21">
        <f t="shared" si="48"/>
        <v>0.45693425506250118</v>
      </c>
      <c r="AA112" s="2">
        <f t="shared" si="49"/>
        <v>10.45365874383465</v>
      </c>
      <c r="AB112" s="19">
        <f t="shared" si="52"/>
        <v>30.792061571800254</v>
      </c>
      <c r="AC112" s="2"/>
      <c r="AD112" s="18"/>
      <c r="AE112" s="118"/>
      <c r="AG112" s="2"/>
      <c r="AH112" s="19"/>
      <c r="AI112" s="20"/>
      <c r="AJ112" s="21"/>
      <c r="AK112" s="21"/>
      <c r="AM112" s="19"/>
      <c r="AN112" s="18"/>
      <c r="AO112" s="2"/>
      <c r="AP112" s="18"/>
      <c r="AQ112" s="118"/>
      <c r="AS112" s="2"/>
      <c r="AT112" s="19"/>
      <c r="AU112" s="20"/>
      <c r="AV112" s="21"/>
      <c r="AW112" s="21"/>
      <c r="AY112" s="19"/>
      <c r="AZ112" s="18"/>
      <c r="BA112" s="2"/>
      <c r="BB112" s="18"/>
      <c r="BC112" s="118"/>
      <c r="BE112" s="2"/>
      <c r="BF112" s="19"/>
      <c r="BG112" s="20"/>
      <c r="BH112" s="21"/>
      <c r="BI112" s="21"/>
      <c r="BK112" s="19"/>
      <c r="BL112" s="18"/>
      <c r="BM112" s="2"/>
      <c r="BN112" s="18"/>
      <c r="BO112" s="118"/>
      <c r="BQ112" s="2"/>
      <c r="BR112" s="19"/>
      <c r="BS112" s="20"/>
      <c r="BT112" s="21"/>
      <c r="BU112" s="21"/>
      <c r="BW112" s="19"/>
      <c r="BX112" s="18"/>
      <c r="BY112" s="2"/>
      <c r="BZ112" s="18"/>
      <c r="CA112" s="118"/>
      <c r="CC112" s="2"/>
      <c r="CD112" s="19"/>
      <c r="CE112" s="20"/>
      <c r="CF112" s="21"/>
      <c r="CG112" s="21"/>
      <c r="CI112" s="19"/>
      <c r="CJ112" s="18"/>
      <c r="CK112" s="2"/>
      <c r="CL112" s="18"/>
      <c r="CM112" s="118"/>
      <c r="CO112" s="2"/>
      <c r="CP112" s="19"/>
      <c r="CQ112" s="20"/>
      <c r="CR112" s="21"/>
      <c r="CS112" s="21"/>
    </row>
    <row r="113" spans="1:97" x14ac:dyDescent="0.25">
      <c r="A113" s="1">
        <f t="shared" si="35"/>
        <v>87</v>
      </c>
      <c r="B113" s="19">
        <f t="shared" si="36"/>
        <v>21.724422349209526</v>
      </c>
      <c r="C113" s="18">
        <f t="shared" si="50"/>
        <v>1.3055457309794307</v>
      </c>
      <c r="D113" s="2">
        <f t="shared" si="29"/>
        <v>0.90148991843892212</v>
      </c>
      <c r="E113" s="18">
        <f t="shared" si="37"/>
        <v>1.3205705629534128</v>
      </c>
      <c r="F113" s="21">
        <f t="shared" si="30"/>
        <v>0.13639904132748817</v>
      </c>
      <c r="G113" s="1">
        <f t="shared" si="31"/>
        <v>0</v>
      </c>
      <c r="H113" s="2">
        <f t="shared" si="27"/>
        <v>50.319814668001491</v>
      </c>
      <c r="I113" s="19">
        <f t="shared" si="53"/>
        <v>21.7834695532474</v>
      </c>
      <c r="J113" s="20">
        <f t="shared" si="32"/>
        <v>0.93609537777013918</v>
      </c>
      <c r="K113" s="21">
        <f t="shared" si="33"/>
        <v>1.7838797512446574</v>
      </c>
      <c r="L113" s="21">
        <f t="shared" si="28"/>
        <v>0.10222122145509221</v>
      </c>
      <c r="M113" s="2">
        <f t="shared" si="38"/>
        <v>1.3197043842952643</v>
      </c>
      <c r="N113" s="19">
        <f t="shared" si="51"/>
        <v>249.24294882266125</v>
      </c>
      <c r="O113" s="1">
        <f t="shared" si="39"/>
        <v>87</v>
      </c>
      <c r="P113" s="19">
        <f t="shared" si="40"/>
        <v>33.686492181384416</v>
      </c>
      <c r="Q113" s="18">
        <f t="shared" si="41"/>
        <v>2.7920162242610509</v>
      </c>
      <c r="R113" s="2">
        <f t="shared" si="42"/>
        <v>0.90943366214846766</v>
      </c>
      <c r="S113" s="18">
        <f t="shared" si="43"/>
        <v>2.8071734519635254</v>
      </c>
      <c r="T113" s="18">
        <f t="shared" si="44"/>
        <v>0.60003906282555597</v>
      </c>
      <c r="U113" s="1">
        <f t="shared" si="34"/>
        <v>0</v>
      </c>
      <c r="V113" s="2">
        <f t="shared" si="45"/>
        <v>78.415836001823564</v>
      </c>
      <c r="W113" s="19">
        <f t="shared" si="46"/>
        <v>33.946249351438773</v>
      </c>
      <c r="X113" s="20"/>
      <c r="Y113" s="2">
        <f t="shared" si="47"/>
        <v>13.949456988789622</v>
      </c>
      <c r="Z113" s="21">
        <f t="shared" si="48"/>
        <v>0.46190890810851404</v>
      </c>
      <c r="AA113" s="2">
        <f t="shared" si="49"/>
        <v>10.653619310115392</v>
      </c>
      <c r="AB113" s="19">
        <f t="shared" si="52"/>
        <v>31.057287135123541</v>
      </c>
      <c r="AC113" s="2"/>
      <c r="AD113" s="18"/>
      <c r="AE113" s="118"/>
      <c r="AG113" s="2"/>
      <c r="AH113" s="19"/>
      <c r="AI113" s="20"/>
      <c r="AJ113" s="21"/>
      <c r="AK113" s="21"/>
      <c r="AM113" s="19"/>
      <c r="AN113" s="18"/>
      <c r="AO113" s="2"/>
      <c r="AP113" s="18"/>
      <c r="AQ113" s="118"/>
      <c r="AS113" s="2"/>
      <c r="AT113" s="19"/>
      <c r="AU113" s="20"/>
      <c r="AV113" s="21"/>
      <c r="AW113" s="21"/>
      <c r="AY113" s="19"/>
      <c r="AZ113" s="18"/>
      <c r="BA113" s="2"/>
      <c r="BB113" s="18"/>
      <c r="BC113" s="118"/>
      <c r="BE113" s="2"/>
      <c r="BF113" s="19"/>
      <c r="BG113" s="20"/>
      <c r="BH113" s="21"/>
      <c r="BI113" s="21"/>
      <c r="BK113" s="19"/>
      <c r="BL113" s="18"/>
      <c r="BM113" s="2"/>
      <c r="BN113" s="18"/>
      <c r="BO113" s="118"/>
      <c r="BQ113" s="2"/>
      <c r="BR113" s="19"/>
      <c r="BS113" s="20"/>
      <c r="BT113" s="21"/>
      <c r="BU113" s="21"/>
      <c r="BW113" s="19"/>
      <c r="BX113" s="18"/>
      <c r="BY113" s="2"/>
      <c r="BZ113" s="18"/>
      <c r="CA113" s="118"/>
      <c r="CC113" s="2"/>
      <c r="CD113" s="19"/>
      <c r="CE113" s="20"/>
      <c r="CF113" s="21"/>
      <c r="CG113" s="21"/>
      <c r="CI113" s="19"/>
      <c r="CJ113" s="18"/>
      <c r="CK113" s="2"/>
      <c r="CL113" s="18"/>
      <c r="CM113" s="118"/>
      <c r="CO113" s="2"/>
      <c r="CP113" s="19"/>
      <c r="CQ113" s="20"/>
      <c r="CR113" s="21"/>
      <c r="CS113" s="21"/>
    </row>
    <row r="114" spans="1:97" x14ac:dyDescent="0.25">
      <c r="A114" s="1">
        <f t="shared" si="35"/>
        <v>88</v>
      </c>
      <c r="B114" s="19">
        <f t="shared" si="36"/>
        <v>21.7834695532474</v>
      </c>
      <c r="C114" s="18">
        <f t="shared" si="50"/>
        <v>1.3205705629534128</v>
      </c>
      <c r="D114" s="2">
        <f t="shared" si="29"/>
        <v>0.90153885846739013</v>
      </c>
      <c r="E114" s="18">
        <f t="shared" si="37"/>
        <v>1.335596210594536</v>
      </c>
      <c r="F114" s="21">
        <f t="shared" si="30"/>
        <v>0.13946214681253025</v>
      </c>
      <c r="G114" s="1">
        <f t="shared" si="31"/>
        <v>0</v>
      </c>
      <c r="H114" s="2">
        <f t="shared" si="27"/>
        <v>50.459276814814032</v>
      </c>
      <c r="I114" s="19">
        <f t="shared" si="53"/>
        <v>21.843842776975769</v>
      </c>
      <c r="J114" s="20">
        <f t="shared" si="32"/>
        <v>0.93608194608718265</v>
      </c>
      <c r="K114" s="21">
        <f t="shared" si="33"/>
        <v>1.844266860814483</v>
      </c>
      <c r="L114" s="21">
        <f t="shared" si="28"/>
        <v>0.10456063166941679</v>
      </c>
      <c r="M114" s="2">
        <f t="shared" si="38"/>
        <v>1.3649687270092976</v>
      </c>
      <c r="N114" s="19">
        <f t="shared" si="51"/>
        <v>249.80370195215042</v>
      </c>
      <c r="O114" s="1">
        <f t="shared" si="39"/>
        <v>88</v>
      </c>
      <c r="P114" s="19">
        <f t="shared" si="40"/>
        <v>33.946249351438773</v>
      </c>
      <c r="Q114" s="18">
        <f t="shared" si="41"/>
        <v>2.8071734519635254</v>
      </c>
      <c r="R114" s="2">
        <f t="shared" si="42"/>
        <v>0.90957338809638699</v>
      </c>
      <c r="S114" s="18">
        <f t="shared" si="43"/>
        <v>2.8223330084317984</v>
      </c>
      <c r="T114" s="18">
        <f t="shared" si="44"/>
        <v>0.60642608361303996</v>
      </c>
      <c r="U114" s="1">
        <f t="shared" si="34"/>
        <v>0</v>
      </c>
      <c r="V114" s="2">
        <f t="shared" si="45"/>
        <v>79.022262085436608</v>
      </c>
      <c r="W114" s="19">
        <f t="shared" si="46"/>
        <v>34.208771465556971</v>
      </c>
      <c r="X114" s="20"/>
      <c r="Y114" s="2">
        <f t="shared" si="47"/>
        <v>14.212039482994069</v>
      </c>
      <c r="Z114" s="21">
        <f t="shared" si="48"/>
        <v>0.46691126483537704</v>
      </c>
      <c r="AA114" s="2">
        <f t="shared" si="49"/>
        <v>10.855745398788715</v>
      </c>
      <c r="AB114" s="19">
        <f t="shared" si="52"/>
        <v>31.321080622971408</v>
      </c>
      <c r="AC114" s="2"/>
      <c r="AD114" s="18"/>
      <c r="AE114" s="118"/>
      <c r="AG114" s="2"/>
      <c r="AH114" s="19"/>
      <c r="AI114" s="20"/>
      <c r="AJ114" s="21"/>
      <c r="AK114" s="21"/>
      <c r="AM114" s="19"/>
      <c r="AN114" s="18"/>
      <c r="AO114" s="2"/>
      <c r="AP114" s="18"/>
      <c r="AQ114" s="118"/>
      <c r="AS114" s="2"/>
      <c r="AT114" s="19"/>
      <c r="AU114" s="20"/>
      <c r="AV114" s="21"/>
      <c r="AW114" s="21"/>
      <c r="AY114" s="19"/>
      <c r="AZ114" s="18"/>
      <c r="BA114" s="2"/>
      <c r="BB114" s="18"/>
      <c r="BC114" s="118"/>
      <c r="BE114" s="2"/>
      <c r="BF114" s="19"/>
      <c r="BG114" s="20"/>
      <c r="BH114" s="21"/>
      <c r="BI114" s="21"/>
      <c r="BK114" s="19"/>
      <c r="BL114" s="18"/>
      <c r="BM114" s="2"/>
      <c r="BN114" s="18"/>
      <c r="BO114" s="118"/>
      <c r="BQ114" s="2"/>
      <c r="BR114" s="19"/>
      <c r="BS114" s="20"/>
      <c r="BT114" s="21"/>
      <c r="BU114" s="21"/>
      <c r="BW114" s="19"/>
      <c r="BX114" s="18"/>
      <c r="BY114" s="2"/>
      <c r="BZ114" s="18"/>
      <c r="CA114" s="118"/>
      <c r="CC114" s="2"/>
      <c r="CD114" s="19"/>
      <c r="CE114" s="20"/>
      <c r="CF114" s="21"/>
      <c r="CG114" s="21"/>
      <c r="CI114" s="19"/>
      <c r="CJ114" s="18"/>
      <c r="CK114" s="2"/>
      <c r="CL114" s="18"/>
      <c r="CM114" s="118"/>
      <c r="CO114" s="2"/>
      <c r="CP114" s="19"/>
      <c r="CQ114" s="20"/>
      <c r="CR114" s="21"/>
      <c r="CS114" s="21"/>
    </row>
    <row r="115" spans="1:97" x14ac:dyDescent="0.25">
      <c r="A115" s="1">
        <f t="shared" si="35"/>
        <v>89</v>
      </c>
      <c r="B115" s="19">
        <f t="shared" si="36"/>
        <v>21.843842776975769</v>
      </c>
      <c r="C115" s="18">
        <f t="shared" si="50"/>
        <v>1.335596210594536</v>
      </c>
      <c r="D115" s="2">
        <f t="shared" si="29"/>
        <v>0.90158876330496451</v>
      </c>
      <c r="E115" s="18">
        <f t="shared" si="37"/>
        <v>1.3506226899829521</v>
      </c>
      <c r="F115" s="21">
        <f t="shared" si="30"/>
        <v>0.14255886235565068</v>
      </c>
      <c r="G115" s="1">
        <f t="shared" si="31"/>
        <v>0</v>
      </c>
      <c r="H115" s="2">
        <f t="shared" si="27"/>
        <v>50.601835677169674</v>
      </c>
      <c r="I115" s="19">
        <f t="shared" si="53"/>
        <v>21.905556570203323</v>
      </c>
      <c r="J115" s="20">
        <f t="shared" si="32"/>
        <v>0.93606823680413531</v>
      </c>
      <c r="K115" s="21">
        <f t="shared" si="33"/>
        <v>1.9059948482144797</v>
      </c>
      <c r="L115" s="21">
        <f t="shared" si="28"/>
        <v>0.10692664116012289</v>
      </c>
      <c r="M115" s="2">
        <f t="shared" si="38"/>
        <v>1.411257316256104</v>
      </c>
      <c r="N115" s="19">
        <f t="shared" si="51"/>
        <v>250.35814652904673</v>
      </c>
      <c r="O115" s="1">
        <f t="shared" si="39"/>
        <v>89</v>
      </c>
      <c r="P115" s="19">
        <f t="shared" si="40"/>
        <v>34.208771465556971</v>
      </c>
      <c r="Q115" s="18">
        <f t="shared" si="41"/>
        <v>2.8223330084317984</v>
      </c>
      <c r="R115" s="2">
        <f t="shared" si="42"/>
        <v>0.90971354076778677</v>
      </c>
      <c r="S115" s="18">
        <f t="shared" si="43"/>
        <v>2.8374949007779282</v>
      </c>
      <c r="T115" s="18">
        <f t="shared" si="44"/>
        <v>0.61284738891460933</v>
      </c>
      <c r="U115" s="1">
        <f t="shared" si="34"/>
        <v>0</v>
      </c>
      <c r="V115" s="2">
        <f t="shared" si="45"/>
        <v>79.635109474351225</v>
      </c>
      <c r="W115" s="19">
        <f t="shared" si="46"/>
        <v>34.474073365520013</v>
      </c>
      <c r="X115" s="20"/>
      <c r="Y115" s="2">
        <f t="shared" si="47"/>
        <v>14.477402402394095</v>
      </c>
      <c r="Z115" s="21">
        <f t="shared" si="48"/>
        <v>0.47194134002488242</v>
      </c>
      <c r="AA115" s="2">
        <f t="shared" si="49"/>
        <v>11.060049009189097</v>
      </c>
      <c r="AB115" s="19">
        <f t="shared" si="52"/>
        <v>31.583457200673291</v>
      </c>
      <c r="AC115" s="2"/>
      <c r="AD115" s="18"/>
      <c r="AE115" s="118"/>
      <c r="AG115" s="2"/>
      <c r="AH115" s="19"/>
      <c r="AI115" s="20"/>
      <c r="AJ115" s="21"/>
      <c r="AK115" s="21"/>
      <c r="AM115" s="19"/>
      <c r="AN115" s="18"/>
      <c r="AO115" s="2"/>
      <c r="AP115" s="18"/>
      <c r="AQ115" s="118"/>
      <c r="AS115" s="2"/>
      <c r="AT115" s="19"/>
      <c r="AU115" s="20"/>
      <c r="AV115" s="21"/>
      <c r="AW115" s="21"/>
      <c r="AY115" s="19"/>
      <c r="AZ115" s="18"/>
      <c r="BA115" s="2"/>
      <c r="BB115" s="18"/>
      <c r="BC115" s="118"/>
      <c r="BE115" s="2"/>
      <c r="BF115" s="19"/>
      <c r="BG115" s="20"/>
      <c r="BH115" s="21"/>
      <c r="BI115" s="21"/>
      <c r="BK115" s="19"/>
      <c r="BL115" s="18"/>
      <c r="BM115" s="2"/>
      <c r="BN115" s="18"/>
      <c r="BO115" s="118"/>
      <c r="BQ115" s="2"/>
      <c r="BR115" s="19"/>
      <c r="BS115" s="20"/>
      <c r="BT115" s="21"/>
      <c r="BU115" s="21"/>
      <c r="BW115" s="19"/>
      <c r="BX115" s="18"/>
      <c r="BY115" s="2"/>
      <c r="BZ115" s="18"/>
      <c r="CA115" s="118"/>
      <c r="CC115" s="2"/>
      <c r="CD115" s="19"/>
      <c r="CE115" s="20"/>
      <c r="CF115" s="21"/>
      <c r="CG115" s="21"/>
      <c r="CI115" s="19"/>
      <c r="CJ115" s="18"/>
      <c r="CK115" s="2"/>
      <c r="CL115" s="18"/>
      <c r="CM115" s="118"/>
      <c r="CO115" s="2"/>
      <c r="CP115" s="19"/>
      <c r="CQ115" s="20"/>
      <c r="CR115" s="21"/>
      <c r="CS115" s="21"/>
    </row>
    <row r="116" spans="1:97" x14ac:dyDescent="0.25">
      <c r="A116" s="1">
        <f t="shared" si="35"/>
        <v>90</v>
      </c>
      <c r="B116" s="19">
        <f t="shared" si="36"/>
        <v>21.905556570203323</v>
      </c>
      <c r="C116" s="18">
        <f t="shared" si="50"/>
        <v>1.3506226899829521</v>
      </c>
      <c r="D116" s="2">
        <f t="shared" si="29"/>
        <v>0.90163963675240266</v>
      </c>
      <c r="E116" s="18">
        <f t="shared" si="37"/>
        <v>1.3656500172621588</v>
      </c>
      <c r="F116" s="21">
        <f t="shared" si="30"/>
        <v>0.14568918535656422</v>
      </c>
      <c r="G116" s="1">
        <f t="shared" si="31"/>
        <v>0</v>
      </c>
      <c r="H116" s="2">
        <f t="shared" si="27"/>
        <v>50.747524862526248</v>
      </c>
      <c r="I116" s="19">
        <f t="shared" si="53"/>
        <v>21.968625481613095</v>
      </c>
      <c r="J116" s="20">
        <f t="shared" si="32"/>
        <v>0.93605424804428883</v>
      </c>
      <c r="K116" s="21">
        <f t="shared" si="33"/>
        <v>1.9690782654738721</v>
      </c>
      <c r="L116" s="21">
        <f t="shared" si="28"/>
        <v>0.10931925690735574</v>
      </c>
      <c r="M116" s="2">
        <f t="shared" si="38"/>
        <v>1.458581669895652</v>
      </c>
      <c r="N116" s="19">
        <f t="shared" si="51"/>
        <v>250.90642258081124</v>
      </c>
      <c r="O116" s="1">
        <f t="shared" si="39"/>
        <v>90</v>
      </c>
      <c r="P116" s="19">
        <f t="shared" si="40"/>
        <v>34.474073365520013</v>
      </c>
      <c r="Q116" s="18">
        <f t="shared" si="41"/>
        <v>2.8374949007779282</v>
      </c>
      <c r="R116" s="2">
        <f t="shared" si="42"/>
        <v>0.90985411070375277</v>
      </c>
      <c r="S116" s="18">
        <f t="shared" si="43"/>
        <v>2.852659135956324</v>
      </c>
      <c r="T116" s="18">
        <f t="shared" si="44"/>
        <v>0.61930299205375272</v>
      </c>
      <c r="U116" s="1">
        <f t="shared" si="34"/>
        <v>0</v>
      </c>
      <c r="V116" s="2">
        <f t="shared" si="45"/>
        <v>80.254412466404986</v>
      </c>
      <c r="W116" s="19">
        <f t="shared" si="46"/>
        <v>34.742169898876618</v>
      </c>
      <c r="X116" s="20"/>
      <c r="Y116" s="2">
        <f t="shared" si="47"/>
        <v>14.74556059795337</v>
      </c>
      <c r="Z116" s="21">
        <f t="shared" si="48"/>
        <v>0.47699914845858177</v>
      </c>
      <c r="AA116" s="2">
        <f t="shared" si="49"/>
        <v>11.266542147049956</v>
      </c>
      <c r="AB116" s="19">
        <f t="shared" si="52"/>
        <v>31.844431793326962</v>
      </c>
      <c r="AC116" s="2"/>
      <c r="AD116" s="18"/>
      <c r="AE116" s="118"/>
      <c r="AG116" s="2"/>
      <c r="AH116" s="19"/>
      <c r="AI116" s="20"/>
      <c r="AJ116" s="21"/>
      <c r="AK116" s="21"/>
      <c r="AM116" s="19"/>
      <c r="AN116" s="18"/>
      <c r="AO116" s="2"/>
      <c r="AP116" s="18"/>
      <c r="AQ116" s="118"/>
      <c r="AS116" s="2"/>
      <c r="AT116" s="19"/>
      <c r="AU116" s="20"/>
      <c r="AV116" s="21"/>
      <c r="AW116" s="21"/>
      <c r="AY116" s="19"/>
      <c r="AZ116" s="18"/>
      <c r="BA116" s="2"/>
      <c r="BB116" s="18"/>
      <c r="BC116" s="118"/>
      <c r="BE116" s="2"/>
      <c r="BF116" s="19"/>
      <c r="BG116" s="20"/>
      <c r="BH116" s="21"/>
      <c r="BI116" s="21"/>
      <c r="BK116" s="19"/>
      <c r="BL116" s="18"/>
      <c r="BM116" s="2"/>
      <c r="BN116" s="18"/>
      <c r="BO116" s="118"/>
      <c r="BQ116" s="2"/>
      <c r="BR116" s="19"/>
      <c r="BS116" s="20"/>
      <c r="BT116" s="21"/>
      <c r="BU116" s="21"/>
      <c r="BW116" s="19"/>
      <c r="BX116" s="18"/>
      <c r="BY116" s="2"/>
      <c r="BZ116" s="18"/>
      <c r="CA116" s="118"/>
      <c r="CC116" s="2"/>
      <c r="CD116" s="19"/>
      <c r="CE116" s="20"/>
      <c r="CF116" s="21"/>
      <c r="CG116" s="21"/>
      <c r="CI116" s="19"/>
      <c r="CJ116" s="18"/>
      <c r="CK116" s="2"/>
      <c r="CL116" s="18"/>
      <c r="CM116" s="118"/>
      <c r="CO116" s="2"/>
      <c r="CP116" s="19"/>
      <c r="CQ116" s="20"/>
      <c r="CR116" s="21"/>
      <c r="CS116" s="21"/>
    </row>
    <row r="117" spans="1:97" x14ac:dyDescent="0.25">
      <c r="A117" s="1">
        <f t="shared" si="35"/>
        <v>91</v>
      </c>
      <c r="B117" s="19">
        <f t="shared" si="36"/>
        <v>21.968625481613095</v>
      </c>
      <c r="C117" s="18">
        <f t="shared" si="50"/>
        <v>1.3656500172621588</v>
      </c>
      <c r="D117" s="2">
        <f t="shared" si="29"/>
        <v>0.90169148237257568</v>
      </c>
      <c r="E117" s="18">
        <f t="shared" si="37"/>
        <v>1.3806782086350351</v>
      </c>
      <c r="F117" s="21">
        <f t="shared" si="30"/>
        <v>0.14885311351405267</v>
      </c>
      <c r="G117" s="1">
        <f t="shared" si="31"/>
        <v>0</v>
      </c>
      <c r="H117" s="2">
        <f t="shared" si="27"/>
        <v>50.896377976040306</v>
      </c>
      <c r="I117" s="19">
        <f t="shared" si="53"/>
        <v>22.033064058891906</v>
      </c>
      <c r="J117" s="20">
        <f t="shared" si="32"/>
        <v>0.93603997797405802</v>
      </c>
      <c r="K117" s="21">
        <f t="shared" si="33"/>
        <v>2.0335316636254568</v>
      </c>
      <c r="L117" s="21">
        <f t="shared" si="28"/>
        <v>0.11173848601488112</v>
      </c>
      <c r="M117" s="2">
        <f t="shared" si="38"/>
        <v>1.5069533088631331</v>
      </c>
      <c r="N117" s="19">
        <f t="shared" si="51"/>
        <v>251.4486655175279</v>
      </c>
      <c r="O117" s="1">
        <f t="shared" si="39"/>
        <v>91</v>
      </c>
      <c r="P117" s="19">
        <f t="shared" si="40"/>
        <v>34.742169898876618</v>
      </c>
      <c r="Q117" s="18">
        <f t="shared" si="41"/>
        <v>2.852659135956324</v>
      </c>
      <c r="R117" s="2">
        <f t="shared" si="42"/>
        <v>0.90999508850823163</v>
      </c>
      <c r="S117" s="18">
        <f t="shared" si="43"/>
        <v>2.8678257207647944</v>
      </c>
      <c r="T117" s="18">
        <f t="shared" si="44"/>
        <v>0.62579290637640839</v>
      </c>
      <c r="U117" s="1">
        <f t="shared" si="34"/>
        <v>0</v>
      </c>
      <c r="V117" s="2">
        <f t="shared" si="45"/>
        <v>80.88020537278139</v>
      </c>
      <c r="W117" s="19">
        <f t="shared" si="46"/>
        <v>35.013075918952978</v>
      </c>
      <c r="X117" s="20"/>
      <c r="Y117" s="2">
        <f t="shared" si="47"/>
        <v>15.016528926414354</v>
      </c>
      <c r="Z117" s="21">
        <f t="shared" si="48"/>
        <v>0.48208470491675659</v>
      </c>
      <c r="AA117" s="2">
        <f t="shared" si="49"/>
        <v>11.475236824503098</v>
      </c>
      <c r="AB117" s="19">
        <f t="shared" si="52"/>
        <v>32.104019090860547</v>
      </c>
      <c r="AC117" s="2"/>
      <c r="AD117" s="18"/>
      <c r="AE117" s="118"/>
      <c r="AG117" s="2"/>
      <c r="AH117" s="19"/>
      <c r="AI117" s="20"/>
      <c r="AJ117" s="21"/>
      <c r="AK117" s="21"/>
      <c r="AM117" s="19"/>
      <c r="AN117" s="18"/>
      <c r="AO117" s="2"/>
      <c r="AP117" s="18"/>
      <c r="AQ117" s="118"/>
      <c r="AS117" s="2"/>
      <c r="AT117" s="19"/>
      <c r="AU117" s="20"/>
      <c r="AV117" s="21"/>
      <c r="AW117" s="21"/>
      <c r="AY117" s="19"/>
      <c r="AZ117" s="18"/>
      <c r="BA117" s="2"/>
      <c r="BB117" s="18"/>
      <c r="BC117" s="118"/>
      <c r="BE117" s="2"/>
      <c r="BF117" s="19"/>
      <c r="BG117" s="20"/>
      <c r="BH117" s="21"/>
      <c r="BI117" s="21"/>
      <c r="BK117" s="19"/>
      <c r="BL117" s="18"/>
      <c r="BM117" s="2"/>
      <c r="BN117" s="18"/>
      <c r="BO117" s="118"/>
      <c r="BQ117" s="2"/>
      <c r="BR117" s="19"/>
      <c r="BS117" s="20"/>
      <c r="BT117" s="21"/>
      <c r="BU117" s="21"/>
      <c r="BW117" s="19"/>
      <c r="BX117" s="18"/>
      <c r="BY117" s="2"/>
      <c r="BZ117" s="18"/>
      <c r="CA117" s="118"/>
      <c r="CC117" s="2"/>
      <c r="CD117" s="19"/>
      <c r="CE117" s="20"/>
      <c r="CF117" s="21"/>
      <c r="CG117" s="21"/>
      <c r="CI117" s="19"/>
      <c r="CJ117" s="18"/>
      <c r="CK117" s="2"/>
      <c r="CL117" s="18"/>
      <c r="CM117" s="118"/>
      <c r="CO117" s="2"/>
      <c r="CP117" s="19"/>
      <c r="CQ117" s="20"/>
      <c r="CR117" s="21"/>
      <c r="CS117" s="21"/>
    </row>
    <row r="118" spans="1:97" x14ac:dyDescent="0.25">
      <c r="A118" s="1">
        <f t="shared" si="35"/>
        <v>92</v>
      </c>
      <c r="B118" s="19">
        <f t="shared" si="36"/>
        <v>22.033064058891906</v>
      </c>
      <c r="C118" s="18">
        <f t="shared" si="50"/>
        <v>1.3806782086350351</v>
      </c>
      <c r="D118" s="2">
        <f t="shared" si="29"/>
        <v>0.90174430348945167</v>
      </c>
      <c r="E118" s="18">
        <f t="shared" si="37"/>
        <v>1.3957072803598594</v>
      </c>
      <c r="F118" s="21">
        <f t="shared" si="30"/>
        <v>0.15205064482231428</v>
      </c>
      <c r="G118" s="1">
        <f t="shared" si="31"/>
        <v>0</v>
      </c>
      <c r="H118" s="2">
        <f t="shared" si="27"/>
        <v>51.048428620862623</v>
      </c>
      <c r="I118" s="19">
        <f t="shared" si="53"/>
        <v>22.098886848858278</v>
      </c>
      <c r="J118" s="20">
        <f t="shared" si="32"/>
        <v>0.93602542480337469</v>
      </c>
      <c r="K118" s="21">
        <f t="shared" si="33"/>
        <v>2.099369592833519</v>
      </c>
      <c r="L118" s="21">
        <f t="shared" si="28"/>
        <v>0.11418433570997322</v>
      </c>
      <c r="M118" s="2">
        <f t="shared" si="38"/>
        <v>1.5563837572224288</v>
      </c>
      <c r="N118" s="19">
        <f t="shared" si="51"/>
        <v>251.98500633268387</v>
      </c>
      <c r="O118" s="1">
        <f t="shared" si="39"/>
        <v>92</v>
      </c>
      <c r="P118" s="19">
        <f t="shared" si="40"/>
        <v>35.013075918952978</v>
      </c>
      <c r="Q118" s="18">
        <f t="shared" si="41"/>
        <v>2.8678257207647944</v>
      </c>
      <c r="R118" s="2">
        <f t="shared" si="42"/>
        <v>0.91013646484987487</v>
      </c>
      <c r="S118" s="18">
        <f t="shared" si="43"/>
        <v>2.8829946618456255</v>
      </c>
      <c r="T118" s="18">
        <f t="shared" si="44"/>
        <v>0.63231714524940541</v>
      </c>
      <c r="U118" s="1">
        <f t="shared" si="34"/>
        <v>0</v>
      </c>
      <c r="V118" s="2">
        <f t="shared" si="45"/>
        <v>81.512522518030778</v>
      </c>
      <c r="W118" s="19">
        <f t="shared" si="46"/>
        <v>35.286806284861811</v>
      </c>
      <c r="X118" s="20"/>
      <c r="Y118" s="2">
        <f t="shared" si="47"/>
        <v>15.290322250307346</v>
      </c>
      <c r="Z118" s="21">
        <f t="shared" si="48"/>
        <v>0.48719802417740909</v>
      </c>
      <c r="AA118" s="2">
        <f t="shared" si="49"/>
        <v>11.686145060077733</v>
      </c>
      <c r="AB118" s="19">
        <f t="shared" si="52"/>
        <v>32.36223355296179</v>
      </c>
      <c r="AC118" s="2"/>
      <c r="AD118" s="18"/>
      <c r="AE118" s="118"/>
      <c r="AG118" s="2"/>
      <c r="AH118" s="19"/>
      <c r="AI118" s="20"/>
      <c r="AJ118" s="21"/>
      <c r="AK118" s="21"/>
      <c r="AM118" s="19"/>
      <c r="AN118" s="18"/>
      <c r="AO118" s="2"/>
      <c r="AP118" s="18"/>
      <c r="AQ118" s="118"/>
      <c r="AS118" s="2"/>
      <c r="AT118" s="19"/>
      <c r="AU118" s="20"/>
      <c r="AV118" s="21"/>
      <c r="AW118" s="21"/>
      <c r="AY118" s="19"/>
      <c r="AZ118" s="18"/>
      <c r="BA118" s="2"/>
      <c r="BB118" s="18"/>
      <c r="BC118" s="118"/>
      <c r="BE118" s="2"/>
      <c r="BF118" s="19"/>
      <c r="BG118" s="20"/>
      <c r="BH118" s="21"/>
      <c r="BI118" s="21"/>
      <c r="BK118" s="19"/>
      <c r="BL118" s="18"/>
      <c r="BM118" s="2"/>
      <c r="BN118" s="18"/>
      <c r="BO118" s="118"/>
      <c r="BQ118" s="2"/>
      <c r="BR118" s="19"/>
      <c r="BS118" s="20"/>
      <c r="BT118" s="21"/>
      <c r="BU118" s="21"/>
      <c r="BW118" s="19"/>
      <c r="BX118" s="18"/>
      <c r="BY118" s="2"/>
      <c r="BZ118" s="18"/>
      <c r="CA118" s="118"/>
      <c r="CC118" s="2"/>
      <c r="CD118" s="19"/>
      <c r="CE118" s="20"/>
      <c r="CF118" s="21"/>
      <c r="CG118" s="21"/>
      <c r="CI118" s="19"/>
      <c r="CJ118" s="18"/>
      <c r="CK118" s="2"/>
      <c r="CL118" s="18"/>
      <c r="CM118" s="118"/>
      <c r="CO118" s="2"/>
      <c r="CP118" s="19"/>
      <c r="CQ118" s="20"/>
      <c r="CR118" s="21"/>
      <c r="CS118" s="21"/>
    </row>
    <row r="119" spans="1:97" x14ac:dyDescent="0.25">
      <c r="A119" s="1">
        <f t="shared" si="35"/>
        <v>93</v>
      </c>
      <c r="B119" s="19">
        <f t="shared" si="36"/>
        <v>22.098886848858278</v>
      </c>
      <c r="C119" s="18">
        <f t="shared" si="50"/>
        <v>1.3957072803598594</v>
      </c>
      <c r="D119" s="2">
        <f t="shared" si="29"/>
        <v>0.90179810318721365</v>
      </c>
      <c r="E119" s="18">
        <f t="shared" si="37"/>
        <v>1.410737248746313</v>
      </c>
      <c r="F119" s="21">
        <f t="shared" si="30"/>
        <v>0.15528177756737357</v>
      </c>
      <c r="G119" s="1">
        <f t="shared" si="31"/>
        <v>0</v>
      </c>
      <c r="H119" s="2">
        <f t="shared" si="27"/>
        <v>51.203710398429997</v>
      </c>
      <c r="I119" s="19">
        <f t="shared" si="53"/>
        <v>22.166108397588744</v>
      </c>
      <c r="J119" s="20">
        <f t="shared" si="32"/>
        <v>0.9360105867860683</v>
      </c>
      <c r="K119" s="21">
        <f t="shared" si="33"/>
        <v>2.1666066025201918</v>
      </c>
      <c r="L119" s="21">
        <f t="shared" si="28"/>
        <v>0.11665681334325799</v>
      </c>
      <c r="M119" s="2">
        <f t="shared" si="38"/>
        <v>1.6068845422195102</v>
      </c>
      <c r="N119" s="19">
        <f t="shared" si="51"/>
        <v>252.51557179315526</v>
      </c>
      <c r="O119" s="1">
        <f t="shared" si="39"/>
        <v>93</v>
      </c>
      <c r="P119" s="19">
        <f t="shared" si="40"/>
        <v>35.286806284861811</v>
      </c>
      <c r="Q119" s="18">
        <f t="shared" si="41"/>
        <v>2.8829946618456255</v>
      </c>
      <c r="R119" s="2">
        <f t="shared" si="42"/>
        <v>0.91027823046380107</v>
      </c>
      <c r="S119" s="18">
        <f t="shared" si="43"/>
        <v>2.8981659656866889</v>
      </c>
      <c r="T119" s="18">
        <f t="shared" si="44"/>
        <v>0.63887572205893606</v>
      </c>
      <c r="U119" s="1">
        <f t="shared" si="34"/>
        <v>0</v>
      </c>
      <c r="V119" s="2">
        <f t="shared" si="45"/>
        <v>82.151398240089733</v>
      </c>
      <c r="W119" s="19">
        <f t="shared" si="46"/>
        <v>35.563375861510707</v>
      </c>
      <c r="X119" s="20"/>
      <c r="Y119" s="2">
        <f t="shared" si="47"/>
        <v>15.566955437958866</v>
      </c>
      <c r="Z119" s="21">
        <f t="shared" si="48"/>
        <v>0.49233912101527427</v>
      </c>
      <c r="AA119" s="2">
        <f t="shared" si="49"/>
        <v>11.899278878699064</v>
      </c>
      <c r="AB119" s="19">
        <f t="shared" si="52"/>
        <v>32.619089413878761</v>
      </c>
      <c r="AC119" s="2"/>
      <c r="AD119" s="18"/>
      <c r="AE119" s="118"/>
      <c r="AG119" s="2"/>
      <c r="AH119" s="19"/>
      <c r="AI119" s="20"/>
      <c r="AJ119" s="21"/>
      <c r="AK119" s="21"/>
      <c r="AM119" s="19"/>
      <c r="AN119" s="18"/>
      <c r="AO119" s="2"/>
      <c r="AP119" s="18"/>
      <c r="AQ119" s="118"/>
      <c r="AS119" s="2"/>
      <c r="AT119" s="19"/>
      <c r="AU119" s="20"/>
      <c r="AV119" s="21"/>
      <c r="AW119" s="21"/>
      <c r="AY119" s="19"/>
      <c r="AZ119" s="18"/>
      <c r="BA119" s="2"/>
      <c r="BB119" s="18"/>
      <c r="BC119" s="118"/>
      <c r="BE119" s="2"/>
      <c r="BF119" s="19"/>
      <c r="BG119" s="20"/>
      <c r="BH119" s="21"/>
      <c r="BI119" s="21"/>
      <c r="BK119" s="19"/>
      <c r="BL119" s="18"/>
      <c r="BM119" s="2"/>
      <c r="BN119" s="18"/>
      <c r="BO119" s="118"/>
      <c r="BQ119" s="2"/>
      <c r="BR119" s="19"/>
      <c r="BS119" s="20"/>
      <c r="BT119" s="21"/>
      <c r="BU119" s="21"/>
      <c r="BW119" s="19"/>
      <c r="BX119" s="18"/>
      <c r="BY119" s="2"/>
      <c r="BZ119" s="18"/>
      <c r="CA119" s="118"/>
      <c r="CC119" s="2"/>
      <c r="CD119" s="19"/>
      <c r="CE119" s="20"/>
      <c r="CF119" s="21"/>
      <c r="CG119" s="21"/>
      <c r="CI119" s="19"/>
      <c r="CJ119" s="18"/>
      <c r="CK119" s="2"/>
      <c r="CL119" s="18"/>
      <c r="CM119" s="118"/>
      <c r="CO119" s="2"/>
      <c r="CP119" s="19"/>
      <c r="CQ119" s="20"/>
      <c r="CR119" s="21"/>
      <c r="CS119" s="21"/>
    </row>
    <row r="120" spans="1:97" x14ac:dyDescent="0.25">
      <c r="A120" s="1">
        <f t="shared" si="35"/>
        <v>94</v>
      </c>
      <c r="B120" s="19">
        <f t="shared" si="36"/>
        <v>22.166108397588744</v>
      </c>
      <c r="C120" s="18">
        <f t="shared" si="50"/>
        <v>1.410737248746313</v>
      </c>
      <c r="D120" s="2">
        <f t="shared" si="29"/>
        <v>0.90185288430951627</v>
      </c>
      <c r="E120" s="18">
        <f t="shared" si="37"/>
        <v>1.4257681301514715</v>
      </c>
      <c r="F120" s="21">
        <f t="shared" si="30"/>
        <v>0.15854651032354786</v>
      </c>
      <c r="G120" s="1">
        <f t="shared" si="31"/>
        <v>0</v>
      </c>
      <c r="H120" s="2">
        <f t="shared" si="27"/>
        <v>51.362256908753544</v>
      </c>
      <c r="I120" s="19">
        <f t="shared" si="53"/>
        <v>22.23474325054266</v>
      </c>
      <c r="J120" s="20">
        <f t="shared" si="32"/>
        <v>0.93599546222023045</v>
      </c>
      <c r="K120" s="21">
        <f t="shared" si="33"/>
        <v>2.235257241490288</v>
      </c>
      <c r="L120" s="21">
        <f t="shared" si="28"/>
        <v>0.11915592638851336</v>
      </c>
      <c r="M120" s="2">
        <f t="shared" si="38"/>
        <v>1.6584671943357496</v>
      </c>
      <c r="N120" s="19">
        <f t="shared" si="51"/>
        <v>253.04048461908758</v>
      </c>
      <c r="O120" s="1">
        <f t="shared" si="39"/>
        <v>94</v>
      </c>
      <c r="P120" s="19">
        <f t="shared" si="40"/>
        <v>35.563375861510707</v>
      </c>
      <c r="Q120" s="18">
        <f t="shared" si="41"/>
        <v>2.8981659656866889</v>
      </c>
      <c r="R120" s="2">
        <f t="shared" si="42"/>
        <v>0.91042037615327531</v>
      </c>
      <c r="S120" s="18">
        <f t="shared" si="43"/>
        <v>2.9133396386225767</v>
      </c>
      <c r="T120" s="18">
        <f t="shared" si="44"/>
        <v>0.64546865020906008</v>
      </c>
      <c r="U120" s="1">
        <f t="shared" si="34"/>
        <v>0</v>
      </c>
      <c r="V120" s="2">
        <f t="shared" si="45"/>
        <v>82.796866890298787</v>
      </c>
      <c r="W120" s="19">
        <f t="shared" si="46"/>
        <v>35.842799519609862</v>
      </c>
      <c r="X120" s="20"/>
      <c r="Y120" s="2">
        <f t="shared" si="47"/>
        <v>15.84644336349939</v>
      </c>
      <c r="Z120" s="21">
        <f t="shared" si="48"/>
        <v>0.49750801020085228</v>
      </c>
      <c r="AA120" s="2">
        <f t="shared" si="49"/>
        <v>12.114650311686447</v>
      </c>
      <c r="AB120" s="19">
        <f t="shared" si="52"/>
        <v>32.87460068709597</v>
      </c>
      <c r="AC120" s="2"/>
      <c r="AD120" s="18"/>
      <c r="AE120" s="118"/>
      <c r="AG120" s="2"/>
      <c r="AH120" s="19"/>
      <c r="AI120" s="20"/>
      <c r="AJ120" s="21"/>
      <c r="AK120" s="21"/>
      <c r="AM120" s="19"/>
      <c r="AN120" s="18"/>
      <c r="AO120" s="2"/>
      <c r="AP120" s="18"/>
      <c r="AQ120" s="118"/>
      <c r="AS120" s="2"/>
      <c r="AT120" s="19"/>
      <c r="AU120" s="20"/>
      <c r="AV120" s="21"/>
      <c r="AW120" s="21"/>
      <c r="AY120" s="19"/>
      <c r="AZ120" s="18"/>
      <c r="BA120" s="2"/>
      <c r="BB120" s="18"/>
      <c r="BC120" s="118"/>
      <c r="BE120" s="2"/>
      <c r="BF120" s="19"/>
      <c r="BG120" s="20"/>
      <c r="BH120" s="21"/>
      <c r="BI120" s="21"/>
      <c r="BK120" s="19"/>
      <c r="BL120" s="18"/>
      <c r="BM120" s="2"/>
      <c r="BN120" s="18"/>
      <c r="BO120" s="118"/>
      <c r="BQ120" s="2"/>
      <c r="BR120" s="19"/>
      <c r="BS120" s="20"/>
      <c r="BT120" s="21"/>
      <c r="BU120" s="21"/>
      <c r="BW120" s="19"/>
      <c r="BX120" s="18"/>
      <c r="BY120" s="2"/>
      <c r="BZ120" s="18"/>
      <c r="CA120" s="118"/>
      <c r="CC120" s="2"/>
      <c r="CD120" s="19"/>
      <c r="CE120" s="20"/>
      <c r="CF120" s="21"/>
      <c r="CG120" s="21"/>
      <c r="CI120" s="19"/>
      <c r="CJ120" s="18"/>
      <c r="CK120" s="2"/>
      <c r="CL120" s="18"/>
      <c r="CM120" s="118"/>
      <c r="CO120" s="2"/>
      <c r="CP120" s="19"/>
      <c r="CQ120" s="20"/>
      <c r="CR120" s="21"/>
      <c r="CS120" s="21"/>
    </row>
    <row r="121" spans="1:97" x14ac:dyDescent="0.25">
      <c r="A121" s="1">
        <f t="shared" si="35"/>
        <v>95</v>
      </c>
      <c r="B121" s="19">
        <f t="shared" si="36"/>
        <v>22.23474325054266</v>
      </c>
      <c r="C121" s="18">
        <f t="shared" si="50"/>
        <v>1.4257681301514715</v>
      </c>
      <c r="D121" s="2">
        <f t="shared" si="29"/>
        <v>0.90190864945888016</v>
      </c>
      <c r="E121" s="18">
        <f t="shared" si="37"/>
        <v>1.4407999409757861</v>
      </c>
      <c r="F121" s="21">
        <f t="shared" si="30"/>
        <v>0.16184484194996457</v>
      </c>
      <c r="G121" s="1">
        <f t="shared" si="31"/>
        <v>0</v>
      </c>
      <c r="H121" s="2">
        <f t="shared" si="27"/>
        <v>51.524101750703508</v>
      </c>
      <c r="I121" s="19">
        <f t="shared" si="53"/>
        <v>22.304805952685502</v>
      </c>
      <c r="J121" s="20">
        <f t="shared" si="32"/>
        <v>0.93598004944856106</v>
      </c>
      <c r="K121" s="21">
        <f t="shared" si="33"/>
        <v>2.3053360580546225</v>
      </c>
      <c r="L121" s="21">
        <f t="shared" si="28"/>
        <v>0.12168168244242503</v>
      </c>
      <c r="M121" s="2">
        <f t="shared" si="38"/>
        <v>1.7111432473411283</v>
      </c>
      <c r="N121" s="19">
        <f t="shared" si="51"/>
        <v>253.55986365430891</v>
      </c>
      <c r="O121" s="1">
        <f t="shared" si="39"/>
        <v>95</v>
      </c>
      <c r="P121" s="19">
        <f t="shared" si="40"/>
        <v>35.842799519609862</v>
      </c>
      <c r="Q121" s="18">
        <f t="shared" si="41"/>
        <v>2.9133396386225767</v>
      </c>
      <c r="R121" s="2">
        <f t="shared" si="42"/>
        <v>0.91056289279131086</v>
      </c>
      <c r="S121" s="18">
        <f t="shared" si="43"/>
        <v>2.9285156868357651</v>
      </c>
      <c r="T121" s="18">
        <f t="shared" si="44"/>
        <v>0.65209594312024399</v>
      </c>
      <c r="U121" s="1">
        <f t="shared" si="34"/>
        <v>0</v>
      </c>
      <c r="V121" s="2">
        <f t="shared" si="45"/>
        <v>83.448962833419031</v>
      </c>
      <c r="W121" s="19">
        <f t="shared" si="46"/>
        <v>36.125092135679232</v>
      </c>
      <c r="X121" s="20"/>
      <c r="Y121" s="2">
        <f t="shared" si="47"/>
        <v>16.128800906870456</v>
      </c>
      <c r="Z121" s="21">
        <f t="shared" si="48"/>
        <v>0.50270470649946375</v>
      </c>
      <c r="AA121" s="2">
        <f t="shared" si="49"/>
        <v>12.33227139675115</v>
      </c>
      <c r="AB121" s="19">
        <f t="shared" si="52"/>
        <v>33.12878116988977</v>
      </c>
      <c r="AC121" s="2"/>
      <c r="AD121" s="18"/>
      <c r="AE121" s="118"/>
      <c r="AG121" s="2"/>
      <c r="AH121" s="19"/>
      <c r="AI121" s="20"/>
      <c r="AJ121" s="21"/>
      <c r="AK121" s="21"/>
      <c r="AM121" s="19"/>
      <c r="AN121" s="18"/>
      <c r="AO121" s="2"/>
      <c r="AP121" s="18"/>
      <c r="AQ121" s="118"/>
      <c r="AS121" s="2"/>
      <c r="AT121" s="19"/>
      <c r="AU121" s="20"/>
      <c r="AV121" s="21"/>
      <c r="AW121" s="21"/>
      <c r="AY121" s="19"/>
      <c r="AZ121" s="18"/>
      <c r="BA121" s="2"/>
      <c r="BB121" s="18"/>
      <c r="BC121" s="118"/>
      <c r="BE121" s="2"/>
      <c r="BF121" s="19"/>
      <c r="BG121" s="20"/>
      <c r="BH121" s="21"/>
      <c r="BI121" s="21"/>
      <c r="BK121" s="19"/>
      <c r="BL121" s="18"/>
      <c r="BM121" s="2"/>
      <c r="BN121" s="18"/>
      <c r="BO121" s="118"/>
      <c r="BQ121" s="2"/>
      <c r="BR121" s="19"/>
      <c r="BS121" s="20"/>
      <c r="BT121" s="21"/>
      <c r="BU121" s="21"/>
      <c r="BW121" s="19"/>
      <c r="BX121" s="18"/>
      <c r="BY121" s="2"/>
      <c r="BZ121" s="18"/>
      <c r="CA121" s="118"/>
      <c r="CC121" s="2"/>
      <c r="CD121" s="19"/>
      <c r="CE121" s="20"/>
      <c r="CF121" s="21"/>
      <c r="CG121" s="21"/>
      <c r="CI121" s="19"/>
      <c r="CJ121" s="18"/>
      <c r="CK121" s="2"/>
      <c r="CL121" s="18"/>
      <c r="CM121" s="118"/>
      <c r="CO121" s="2"/>
      <c r="CP121" s="19"/>
      <c r="CQ121" s="20"/>
      <c r="CR121" s="21"/>
      <c r="CS121" s="21"/>
    </row>
    <row r="122" spans="1:97" x14ac:dyDescent="0.25">
      <c r="A122" s="1">
        <f t="shared" si="35"/>
        <v>96</v>
      </c>
      <c r="B122" s="19">
        <f t="shared" si="36"/>
        <v>22.304805952685502</v>
      </c>
      <c r="C122" s="18">
        <f t="shared" si="50"/>
        <v>1.4407999409757861</v>
      </c>
      <c r="D122" s="2">
        <f t="shared" si="29"/>
        <v>0.90196540099622824</v>
      </c>
      <c r="E122" s="18">
        <f t="shared" si="37"/>
        <v>1.4558326976590565</v>
      </c>
      <c r="F122" s="21">
        <f t="shared" si="30"/>
        <v>0.16517677158712635</v>
      </c>
      <c r="G122" s="1">
        <f t="shared" si="31"/>
        <v>0</v>
      </c>
      <c r="H122" s="2">
        <f t="shared" si="27"/>
        <v>51.689278522290635</v>
      </c>
      <c r="I122" s="19">
        <f t="shared" si="53"/>
        <v>22.376311048610663</v>
      </c>
      <c r="J122" s="20">
        <f t="shared" si="32"/>
        <v>0.93596434685870133</v>
      </c>
      <c r="K122" s="21">
        <f t="shared" si="33"/>
        <v>2.376857600151848</v>
      </c>
      <c r="L122" s="21">
        <f t="shared" si="28"/>
        <v>0.12423408922429922</v>
      </c>
      <c r="M122" s="2">
        <f t="shared" si="38"/>
        <v>1.7649242383473185</v>
      </c>
      <c r="N122" s="19">
        <f t="shared" si="51"/>
        <v>254.07382402786769</v>
      </c>
      <c r="O122" s="1">
        <f t="shared" si="39"/>
        <v>96</v>
      </c>
      <c r="P122" s="19">
        <f t="shared" si="40"/>
        <v>36.125092135679232</v>
      </c>
      <c r="Q122" s="18">
        <f t="shared" si="41"/>
        <v>2.9285156868357651</v>
      </c>
      <c r="R122" s="2">
        <f t="shared" si="42"/>
        <v>0.91070577132218922</v>
      </c>
      <c r="S122" s="18">
        <f t="shared" si="43"/>
        <v>2.9436941163578014</v>
      </c>
      <c r="T122" s="18">
        <f t="shared" si="44"/>
        <v>0.65875761422792656</v>
      </c>
      <c r="U122" s="1">
        <f t="shared" si="34"/>
        <v>0</v>
      </c>
      <c r="V122" s="2">
        <f t="shared" si="45"/>
        <v>84.107720447646955</v>
      </c>
      <c r="W122" s="19">
        <f t="shared" si="46"/>
        <v>36.410268592054955</v>
      </c>
      <c r="X122" s="20"/>
      <c r="Y122" s="2">
        <f t="shared" si="47"/>
        <v>16.414042953831149</v>
      </c>
      <c r="Z122" s="21">
        <f t="shared" si="48"/>
        <v>0.50792922467032198</v>
      </c>
      <c r="AA122" s="2">
        <f t="shared" si="49"/>
        <v>12.552154177993714</v>
      </c>
      <c r="AB122" s="19">
        <f t="shared" si="52"/>
        <v>33.381644447766732</v>
      </c>
      <c r="AC122" s="2"/>
      <c r="AD122" s="18"/>
      <c r="AE122" s="118"/>
      <c r="AG122" s="2"/>
      <c r="AH122" s="19"/>
      <c r="AI122" s="20"/>
      <c r="AJ122" s="21"/>
      <c r="AK122" s="21"/>
      <c r="AM122" s="19"/>
      <c r="AN122" s="18"/>
      <c r="AO122" s="2"/>
      <c r="AP122" s="18"/>
      <c r="AQ122" s="118"/>
      <c r="AS122" s="2"/>
      <c r="AT122" s="19"/>
      <c r="AU122" s="20"/>
      <c r="AV122" s="21"/>
      <c r="AW122" s="21"/>
      <c r="AY122" s="19"/>
      <c r="AZ122" s="18"/>
      <c r="BA122" s="2"/>
      <c r="BB122" s="18"/>
      <c r="BC122" s="118"/>
      <c r="BE122" s="2"/>
      <c r="BF122" s="19"/>
      <c r="BG122" s="20"/>
      <c r="BH122" s="21"/>
      <c r="BI122" s="21"/>
      <c r="BK122" s="19"/>
      <c r="BL122" s="18"/>
      <c r="BM122" s="2"/>
      <c r="BN122" s="18"/>
      <c r="BO122" s="118"/>
      <c r="BQ122" s="2"/>
      <c r="BR122" s="19"/>
      <c r="BS122" s="20"/>
      <c r="BT122" s="21"/>
      <c r="BU122" s="21"/>
      <c r="BW122" s="19"/>
      <c r="BX122" s="18"/>
      <c r="BY122" s="2"/>
      <c r="BZ122" s="18"/>
      <c r="CA122" s="118"/>
      <c r="CC122" s="2"/>
      <c r="CD122" s="19"/>
      <c r="CE122" s="20"/>
      <c r="CF122" s="21"/>
      <c r="CG122" s="21"/>
      <c r="CI122" s="19"/>
      <c r="CJ122" s="18"/>
      <c r="CK122" s="2"/>
      <c r="CL122" s="18"/>
      <c r="CM122" s="118"/>
      <c r="CO122" s="2"/>
      <c r="CP122" s="19"/>
      <c r="CQ122" s="20"/>
      <c r="CR122" s="21"/>
      <c r="CS122" s="21"/>
    </row>
    <row r="123" spans="1:97" x14ac:dyDescent="0.25">
      <c r="A123" s="1">
        <f t="shared" si="35"/>
        <v>97</v>
      </c>
      <c r="B123" s="19">
        <f t="shared" si="36"/>
        <v>22.376311048610663</v>
      </c>
      <c r="C123" s="18">
        <f t="shared" si="50"/>
        <v>1.4558326976590565</v>
      </c>
      <c r="D123" s="2">
        <f t="shared" si="29"/>
        <v>0.90202314104056092</v>
      </c>
      <c r="E123" s="18">
        <f t="shared" si="37"/>
        <v>1.4708664166763992</v>
      </c>
      <c r="F123" s="21">
        <f t="shared" si="30"/>
        <v>0.16854229865351908</v>
      </c>
      <c r="G123" s="1">
        <f t="shared" si="31"/>
        <v>0</v>
      </c>
      <c r="H123" s="2">
        <f t="shared" si="27"/>
        <v>51.857820820944156</v>
      </c>
      <c r="I123" s="19">
        <f t="shared" si="53"/>
        <v>22.449273082659808</v>
      </c>
      <c r="J123" s="20">
        <f t="shared" si="32"/>
        <v>0.93594835288354672</v>
      </c>
      <c r="K123" s="21">
        <f t="shared" si="33"/>
        <v>2.4498364154688219</v>
      </c>
      <c r="L123" s="21">
        <f t="shared" si="28"/>
        <v>0.12681315457573208</v>
      </c>
      <c r="M123" s="2">
        <f t="shared" si="38"/>
        <v>1.8198217078606225</v>
      </c>
      <c r="N123" s="19">
        <f t="shared" si="51"/>
        <v>254.58247730724389</v>
      </c>
      <c r="O123" s="1">
        <f t="shared" si="39"/>
        <v>97</v>
      </c>
      <c r="P123" s="19">
        <f t="shared" si="40"/>
        <v>36.410268592054955</v>
      </c>
      <c r="Q123" s="18">
        <f t="shared" si="41"/>
        <v>2.9436941163578014</v>
      </c>
      <c r="R123" s="2">
        <f t="shared" si="42"/>
        <v>0.91084900276290459</v>
      </c>
      <c r="S123" s="18">
        <f t="shared" si="43"/>
        <v>2.9588749330705166</v>
      </c>
      <c r="T123" s="18">
        <f t="shared" si="44"/>
        <v>0.66545367698111957</v>
      </c>
      <c r="U123" s="1">
        <f t="shared" si="34"/>
        <v>0</v>
      </c>
      <c r="V123" s="2">
        <f t="shared" si="45"/>
        <v>84.773174124628056</v>
      </c>
      <c r="W123" s="19">
        <f t="shared" si="46"/>
        <v>36.698343776895264</v>
      </c>
      <c r="X123" s="20"/>
      <c r="Y123" s="2">
        <f t="shared" si="47"/>
        <v>16.702184395963975</v>
      </c>
      <c r="Z123" s="21">
        <f t="shared" si="48"/>
        <v>0.51318157946562848</v>
      </c>
      <c r="AA123" s="2">
        <f t="shared" si="49"/>
        <v>12.774310705900913</v>
      </c>
      <c r="AB123" s="19">
        <f t="shared" si="52"/>
        <v>33.633203898788643</v>
      </c>
      <c r="AC123" s="2"/>
      <c r="AD123" s="18"/>
      <c r="AE123" s="118"/>
      <c r="AG123" s="2"/>
      <c r="AH123" s="19"/>
      <c r="AI123" s="20"/>
      <c r="AJ123" s="21"/>
      <c r="AK123" s="21"/>
      <c r="AM123" s="19"/>
      <c r="AN123" s="18"/>
      <c r="AO123" s="2"/>
      <c r="AP123" s="18"/>
      <c r="AQ123" s="118"/>
      <c r="AS123" s="2"/>
      <c r="AT123" s="19"/>
      <c r="AU123" s="20"/>
      <c r="AV123" s="21"/>
      <c r="AW123" s="21"/>
      <c r="AY123" s="19"/>
      <c r="AZ123" s="18"/>
      <c r="BA123" s="2"/>
      <c r="BB123" s="18"/>
      <c r="BC123" s="118"/>
      <c r="BE123" s="2"/>
      <c r="BF123" s="19"/>
      <c r="BG123" s="20"/>
      <c r="BH123" s="21"/>
      <c r="BI123" s="21"/>
      <c r="BK123" s="19"/>
      <c r="BL123" s="18"/>
      <c r="BM123" s="2"/>
      <c r="BN123" s="18"/>
      <c r="BO123" s="118"/>
      <c r="BQ123" s="2"/>
      <c r="BR123" s="19"/>
      <c r="BS123" s="20"/>
      <c r="BT123" s="21"/>
      <c r="BU123" s="21"/>
      <c r="BW123" s="19"/>
      <c r="BX123" s="18"/>
      <c r="BY123" s="2"/>
      <c r="BZ123" s="18"/>
      <c r="CA123" s="118"/>
      <c r="CC123" s="2"/>
      <c r="CD123" s="19"/>
      <c r="CE123" s="20"/>
      <c r="CF123" s="21"/>
      <c r="CG123" s="21"/>
      <c r="CI123" s="19"/>
      <c r="CJ123" s="18"/>
      <c r="CK123" s="2"/>
      <c r="CL123" s="18"/>
      <c r="CM123" s="118"/>
      <c r="CO123" s="2"/>
      <c r="CP123" s="19"/>
      <c r="CQ123" s="20"/>
      <c r="CR123" s="21"/>
      <c r="CS123" s="21"/>
    </row>
    <row r="124" spans="1:97" x14ac:dyDescent="0.25">
      <c r="A124" s="1">
        <f t="shared" si="35"/>
        <v>98</v>
      </c>
      <c r="B124" s="19">
        <f t="shared" si="36"/>
        <v>22.449273082659808</v>
      </c>
      <c r="C124" s="18">
        <f t="shared" si="50"/>
        <v>1.4708664166763992</v>
      </c>
      <c r="D124" s="2">
        <f t="shared" si="29"/>
        <v>0.90208187146877594</v>
      </c>
      <c r="E124" s="18">
        <f t="shared" si="37"/>
        <v>1.485901114534212</v>
      </c>
      <c r="F124" s="21">
        <f t="shared" si="30"/>
        <v>0.1719414228422603</v>
      </c>
      <c r="G124" s="1">
        <f t="shared" si="31"/>
        <v>0</v>
      </c>
      <c r="H124" s="2">
        <f t="shared" si="27"/>
        <v>52.029762243786415</v>
      </c>
      <c r="I124" s="19">
        <f t="shared" si="53"/>
        <v>22.523706599041738</v>
      </c>
      <c r="J124" s="20">
        <f t="shared" si="32"/>
        <v>0.93593206600154288</v>
      </c>
      <c r="K124" s="21">
        <f t="shared" si="33"/>
        <v>2.5242870515595208</v>
      </c>
      <c r="L124" s="21">
        <f t="shared" si="28"/>
        <v>0.12941888646023672</v>
      </c>
      <c r="M124" s="2">
        <f t="shared" si="38"/>
        <v>1.875847199834751</v>
      </c>
      <c r="N124" s="19">
        <f t="shared" si="51"/>
        <v>255.08593164374352</v>
      </c>
      <c r="O124" s="1">
        <f t="shared" si="39"/>
        <v>98</v>
      </c>
      <c r="P124" s="19">
        <f t="shared" si="40"/>
        <v>36.698343776895264</v>
      </c>
      <c r="Q124" s="18">
        <f t="shared" si="41"/>
        <v>2.9588749330705166</v>
      </c>
      <c r="R124" s="2">
        <f t="shared" si="42"/>
        <v>0.9109925782045305</v>
      </c>
      <c r="S124" s="18">
        <f t="shared" si="43"/>
        <v>2.9740581427072588</v>
      </c>
      <c r="T124" s="18">
        <f t="shared" si="44"/>
        <v>0.67218414484103772</v>
      </c>
      <c r="U124" s="1">
        <f t="shared" si="34"/>
        <v>0</v>
      </c>
      <c r="V124" s="2">
        <f t="shared" si="45"/>
        <v>85.445358269469097</v>
      </c>
      <c r="W124" s="19">
        <f t="shared" si="46"/>
        <v>36.989332584185753</v>
      </c>
      <c r="X124" s="20"/>
      <c r="Y124" s="2">
        <f t="shared" si="47"/>
        <v>16.993240130680146</v>
      </c>
      <c r="Z124" s="21">
        <f t="shared" si="48"/>
        <v>0.5184617856296877</v>
      </c>
      <c r="AA124" s="2">
        <f t="shared" si="49"/>
        <v>12.998753037342336</v>
      </c>
      <c r="AB124" s="19">
        <f t="shared" si="52"/>
        <v>33.883472697787504</v>
      </c>
      <c r="AC124" s="2"/>
      <c r="AD124" s="18"/>
      <c r="AE124" s="118"/>
      <c r="AG124" s="2"/>
      <c r="AH124" s="19"/>
      <c r="AI124" s="20"/>
      <c r="AJ124" s="21"/>
      <c r="AK124" s="21"/>
      <c r="AM124" s="19"/>
      <c r="AN124" s="18"/>
      <c r="AO124" s="2"/>
      <c r="AP124" s="18"/>
      <c r="AQ124" s="118"/>
      <c r="AS124" s="2"/>
      <c r="AT124" s="19"/>
      <c r="AU124" s="20"/>
      <c r="AV124" s="21"/>
      <c r="AW124" s="21"/>
      <c r="AY124" s="19"/>
      <c r="AZ124" s="18"/>
      <c r="BA124" s="2"/>
      <c r="BB124" s="18"/>
      <c r="BC124" s="118"/>
      <c r="BE124" s="2"/>
      <c r="BF124" s="19"/>
      <c r="BG124" s="20"/>
      <c r="BH124" s="21"/>
      <c r="BI124" s="21"/>
      <c r="BK124" s="19"/>
      <c r="BL124" s="18"/>
      <c r="BM124" s="2"/>
      <c r="BN124" s="18"/>
      <c r="BO124" s="118"/>
      <c r="BQ124" s="2"/>
      <c r="BR124" s="19"/>
      <c r="BS124" s="20"/>
      <c r="BT124" s="21"/>
      <c r="BU124" s="21"/>
      <c r="BW124" s="19"/>
      <c r="BX124" s="18"/>
      <c r="BY124" s="2"/>
      <c r="BZ124" s="18"/>
      <c r="CA124" s="118"/>
      <c r="CC124" s="2"/>
      <c r="CD124" s="19"/>
      <c r="CE124" s="20"/>
      <c r="CF124" s="21"/>
      <c r="CG124" s="21"/>
      <c r="CI124" s="19"/>
      <c r="CJ124" s="18"/>
      <c r="CK124" s="2"/>
      <c r="CL124" s="18"/>
      <c r="CM124" s="118"/>
      <c r="CO124" s="2"/>
      <c r="CP124" s="19"/>
      <c r="CQ124" s="20"/>
      <c r="CR124" s="21"/>
      <c r="CS124" s="21"/>
    </row>
    <row r="125" spans="1:97" x14ac:dyDescent="0.25">
      <c r="A125" s="1">
        <f t="shared" si="35"/>
        <v>99</v>
      </c>
      <c r="B125" s="19">
        <f t="shared" si="36"/>
        <v>22.523706599041738</v>
      </c>
      <c r="C125" s="18">
        <f t="shared" si="50"/>
        <v>1.485901114534212</v>
      </c>
      <c r="D125" s="2">
        <f t="shared" si="29"/>
        <v>0.9021415939156282</v>
      </c>
      <c r="E125" s="18">
        <f t="shared" si="37"/>
        <v>1.5009368077661391</v>
      </c>
      <c r="F125" s="21">
        <f t="shared" si="30"/>
        <v>0.17537414411778285</v>
      </c>
      <c r="G125" s="1">
        <f t="shared" si="31"/>
        <v>0</v>
      </c>
      <c r="H125" s="2">
        <f t="shared" si="27"/>
        <v>52.205136387904197</v>
      </c>
      <c r="I125" s="19">
        <f t="shared" si="53"/>
        <v>22.599626141949869</v>
      </c>
      <c r="J125" s="20">
        <f t="shared" si="32"/>
        <v>0.93591548473696573</v>
      </c>
      <c r="K125" s="21">
        <f t="shared" si="33"/>
        <v>2.6002240559625207</v>
      </c>
      <c r="L125" s="21">
        <f t="shared" si="28"/>
        <v>0.13205129296282705</v>
      </c>
      <c r="M125" s="2">
        <f t="shared" si="38"/>
        <v>1.9330122617234207</v>
      </c>
      <c r="N125" s="19">
        <f t="shared" si="51"/>
        <v>255.58429191055006</v>
      </c>
      <c r="O125" s="1">
        <f t="shared" si="39"/>
        <v>99</v>
      </c>
      <c r="P125" s="19">
        <f t="shared" si="40"/>
        <v>36.989332584185753</v>
      </c>
      <c r="Q125" s="18">
        <f t="shared" si="41"/>
        <v>2.9740581427072588</v>
      </c>
      <c r="R125" s="2">
        <f t="shared" si="42"/>
        <v>0.91113648881351195</v>
      </c>
      <c r="S125" s="18">
        <f t="shared" si="43"/>
        <v>2.9892437508541505</v>
      </c>
      <c r="T125" s="18">
        <f t="shared" si="44"/>
        <v>0.67894903127975914</v>
      </c>
      <c r="U125" s="1">
        <f t="shared" si="34"/>
        <v>0</v>
      </c>
      <c r="V125" s="2">
        <f t="shared" si="45"/>
        <v>86.124307300748853</v>
      </c>
      <c r="W125" s="19">
        <f t="shared" si="46"/>
        <v>37.283249913744093</v>
      </c>
      <c r="X125" s="20"/>
      <c r="Y125" s="2">
        <f t="shared" si="47"/>
        <v>17.28722506122428</v>
      </c>
      <c r="Z125" s="21">
        <f t="shared" si="48"/>
        <v>0.52376985789804242</v>
      </c>
      <c r="AA125" s="2">
        <f t="shared" si="49"/>
        <v>13.225493235566598</v>
      </c>
      <c r="AB125" s="19">
        <f t="shared" si="52"/>
        <v>34.13246382047393</v>
      </c>
      <c r="AC125" s="2"/>
      <c r="AD125" s="18"/>
      <c r="AE125" s="118"/>
      <c r="AG125" s="2"/>
      <c r="AH125" s="19"/>
      <c r="AI125" s="20"/>
      <c r="AJ125" s="21"/>
      <c r="AK125" s="21"/>
      <c r="AM125" s="19"/>
      <c r="AN125" s="18"/>
      <c r="AO125" s="2"/>
      <c r="AP125" s="18"/>
      <c r="AQ125" s="118"/>
      <c r="AS125" s="2"/>
      <c r="AT125" s="19"/>
      <c r="AU125" s="20"/>
      <c r="AV125" s="21"/>
      <c r="AW125" s="21"/>
      <c r="AY125" s="19"/>
      <c r="AZ125" s="18"/>
      <c r="BA125" s="2"/>
      <c r="BB125" s="18"/>
      <c r="BC125" s="118"/>
      <c r="BE125" s="2"/>
      <c r="BF125" s="19"/>
      <c r="BG125" s="20"/>
      <c r="BH125" s="21"/>
      <c r="BI125" s="21"/>
      <c r="BK125" s="19"/>
      <c r="BL125" s="18"/>
      <c r="BM125" s="2"/>
      <c r="BN125" s="18"/>
      <c r="BO125" s="118"/>
      <c r="BQ125" s="2"/>
      <c r="BR125" s="19"/>
      <c r="BS125" s="20"/>
      <c r="BT125" s="21"/>
      <c r="BU125" s="21"/>
      <c r="BW125" s="19"/>
      <c r="BX125" s="18"/>
      <c r="BY125" s="2"/>
      <c r="BZ125" s="18"/>
      <c r="CA125" s="118"/>
      <c r="CC125" s="2"/>
      <c r="CD125" s="19"/>
      <c r="CE125" s="20"/>
      <c r="CF125" s="21"/>
      <c r="CG125" s="21"/>
      <c r="CI125" s="19"/>
      <c r="CJ125" s="18"/>
      <c r="CK125" s="2"/>
      <c r="CL125" s="18"/>
      <c r="CM125" s="118"/>
      <c r="CO125" s="2"/>
      <c r="CP125" s="19"/>
      <c r="CQ125" s="20"/>
      <c r="CR125" s="21"/>
      <c r="CS125" s="21"/>
    </row>
    <row r="126" spans="1:97" x14ac:dyDescent="0.25">
      <c r="A126" s="1">
        <f t="shared" si="35"/>
        <v>100</v>
      </c>
      <c r="B126" s="19">
        <f t="shared" si="36"/>
        <v>22.599626141949869</v>
      </c>
      <c r="C126" s="18">
        <f t="shared" si="50"/>
        <v>1.5009368077661391</v>
      </c>
      <c r="D126" s="2">
        <f t="shared" si="29"/>
        <v>0.90220230977383398</v>
      </c>
      <c r="E126" s="18">
        <f t="shared" si="37"/>
        <v>1.5159735129290364</v>
      </c>
      <c r="F126" s="21">
        <f t="shared" si="30"/>
        <v>0.17884046271255286</v>
      </c>
      <c r="G126" s="1">
        <f t="shared" si="31"/>
        <v>0</v>
      </c>
      <c r="H126" s="2">
        <f t="shared" si="27"/>
        <v>52.383976850616747</v>
      </c>
      <c r="I126" s="19">
        <f t="shared" si="53"/>
        <v>22.677046255678246</v>
      </c>
      <c r="J126" s="20">
        <f t="shared" si="32"/>
        <v>0.93589860766018218</v>
      </c>
      <c r="K126" s="21">
        <f t="shared" si="33"/>
        <v>2.6776619763170562</v>
      </c>
      <c r="L126" s="21">
        <f t="shared" si="28"/>
        <v>0.13471038228956042</v>
      </c>
      <c r="M126" s="2">
        <f t="shared" si="38"/>
        <v>1.9913284445327541</v>
      </c>
      <c r="N126" s="19">
        <f t="shared" si="51"/>
        <v>256.07765983387355</v>
      </c>
      <c r="O126" s="1">
        <f t="shared" si="39"/>
        <v>100</v>
      </c>
      <c r="P126" s="19">
        <f t="shared" si="40"/>
        <v>37.283249913744093</v>
      </c>
      <c r="Q126" s="18">
        <f t="shared" si="41"/>
        <v>2.9892437508541505</v>
      </c>
      <c r="R126" s="2">
        <f t="shared" si="42"/>
        <v>0.91128072583288411</v>
      </c>
      <c r="S126" s="18">
        <f t="shared" si="43"/>
        <v>3.004431762951365</v>
      </c>
      <c r="T126" s="18">
        <f t="shared" si="44"/>
        <v>0.68574834977891608</v>
      </c>
      <c r="U126" s="1">
        <f t="shared" si="34"/>
        <v>0</v>
      </c>
      <c r="V126" s="2">
        <f t="shared" si="45"/>
        <v>86.810055650527772</v>
      </c>
      <c r="W126" s="19">
        <f t="shared" si="46"/>
        <v>37.580110671224141</v>
      </c>
      <c r="X126" s="20"/>
      <c r="Y126" s="2">
        <f t="shared" si="47"/>
        <v>17.584154096678549</v>
      </c>
      <c r="Z126" s="21">
        <f t="shared" si="48"/>
        <v>0.52910581099662768</v>
      </c>
      <c r="AA126" s="2">
        <f t="shared" si="49"/>
        <v>13.454543370197172</v>
      </c>
      <c r="AB126" s="19">
        <f t="shared" si="52"/>
        <v>34.380190047442142</v>
      </c>
      <c r="AC126" s="2"/>
      <c r="AD126" s="18"/>
      <c r="AE126" s="118"/>
      <c r="AG126" s="2"/>
      <c r="AH126" s="19"/>
      <c r="AI126" s="20"/>
      <c r="AJ126" s="21"/>
      <c r="AK126" s="21"/>
      <c r="AM126" s="19"/>
      <c r="AN126" s="18"/>
      <c r="AO126" s="2"/>
      <c r="AP126" s="18"/>
      <c r="AQ126" s="118"/>
      <c r="AS126" s="2"/>
      <c r="AT126" s="19"/>
      <c r="AU126" s="20"/>
      <c r="AV126" s="21"/>
      <c r="AW126" s="21"/>
      <c r="AY126" s="19"/>
      <c r="AZ126" s="18"/>
      <c r="BA126" s="2"/>
      <c r="BB126" s="18"/>
      <c r="BC126" s="118"/>
      <c r="BE126" s="2"/>
      <c r="BF126" s="19"/>
      <c r="BG126" s="20"/>
      <c r="BH126" s="21"/>
      <c r="BI126" s="21"/>
      <c r="BK126" s="19"/>
      <c r="BL126" s="18"/>
      <c r="BM126" s="2"/>
      <c r="BN126" s="18"/>
      <c r="BO126" s="118"/>
      <c r="BQ126" s="2"/>
      <c r="BR126" s="19"/>
      <c r="BS126" s="20"/>
      <c r="BT126" s="21"/>
      <c r="BU126" s="21"/>
      <c r="BW126" s="19"/>
      <c r="BX126" s="18"/>
      <c r="BY126" s="2"/>
      <c r="BZ126" s="18"/>
      <c r="CA126" s="118"/>
      <c r="CC126" s="2"/>
      <c r="CD126" s="19"/>
      <c r="CE126" s="20"/>
      <c r="CF126" s="21"/>
      <c r="CG126" s="21"/>
      <c r="CI126" s="19"/>
      <c r="CJ126" s="18"/>
      <c r="CK126" s="2"/>
      <c r="CL126" s="18"/>
      <c r="CM126" s="118"/>
      <c r="CO126" s="2"/>
      <c r="CP126" s="19"/>
      <c r="CQ126" s="20"/>
      <c r="CR126" s="21"/>
      <c r="CS126" s="21"/>
    </row>
    <row r="127" spans="1:97" x14ac:dyDescent="0.25">
      <c r="A127" s="1">
        <f t="shared" si="35"/>
        <v>101</v>
      </c>
      <c r="B127" s="19">
        <f t="shared" si="36"/>
        <v>22.677046255678246</v>
      </c>
      <c r="C127" s="18">
        <f t="shared" si="50"/>
        <v>1.5159735129290364</v>
      </c>
      <c r="D127" s="2">
        <f t="shared" si="29"/>
        <v>0.90226402019431751</v>
      </c>
      <c r="E127" s="18">
        <f t="shared" si="37"/>
        <v>1.5310112465989416</v>
      </c>
      <c r="F127" s="21">
        <f t="shared" si="30"/>
        <v>0.1823403791238174</v>
      </c>
      <c r="G127" s="1">
        <f t="shared" si="31"/>
        <v>0</v>
      </c>
      <c r="H127" s="2">
        <f t="shared" si="27"/>
        <v>52.566317229740562</v>
      </c>
      <c r="I127" s="19">
        <f t="shared" si="53"/>
        <v>22.755981484736175</v>
      </c>
      <c r="J127" s="20">
        <f t="shared" si="32"/>
        <v>0.93588143338789165</v>
      </c>
      <c r="K127" s="21">
        <f t="shared" si="33"/>
        <v>2.7566153604776691</v>
      </c>
      <c r="L127" s="21">
        <f t="shared" si="28"/>
        <v>0.13739616276703845</v>
      </c>
      <c r="M127" s="2">
        <f t="shared" si="38"/>
        <v>2.0508073028734635</v>
      </c>
      <c r="N127" s="19">
        <f t="shared" si="51"/>
        <v>256.56613411760736</v>
      </c>
      <c r="O127" s="1">
        <f t="shared" si="39"/>
        <v>101</v>
      </c>
      <c r="P127" s="19">
        <f t="shared" si="40"/>
        <v>37.580110671224141</v>
      </c>
      <c r="Q127" s="18">
        <f t="shared" si="41"/>
        <v>3.004431762951365</v>
      </c>
      <c r="R127" s="2">
        <f t="shared" si="42"/>
        <v>0.91142528058341898</v>
      </c>
      <c r="S127" s="18">
        <f t="shared" si="43"/>
        <v>3.019622184294422</v>
      </c>
      <c r="T127" s="18">
        <f t="shared" si="44"/>
        <v>0.69258211382841606</v>
      </c>
      <c r="U127" s="1">
        <f t="shared" si="34"/>
        <v>0</v>
      </c>
      <c r="V127" s="2">
        <f t="shared" si="45"/>
        <v>87.502637764356194</v>
      </c>
      <c r="W127" s="19">
        <f t="shared" si="46"/>
        <v>37.879929768119567</v>
      </c>
      <c r="X127" s="20"/>
      <c r="Y127" s="2">
        <f t="shared" si="47"/>
        <v>17.884042151966252</v>
      </c>
      <c r="Z127" s="21">
        <f t="shared" si="48"/>
        <v>0.53446965964094706</v>
      </c>
      <c r="AA127" s="2">
        <f t="shared" si="49"/>
        <v>13.685915517227885</v>
      </c>
      <c r="AB127" s="19">
        <f t="shared" si="52"/>
        <v>34.626663968074624</v>
      </c>
      <c r="AC127" s="2"/>
      <c r="AD127" s="18"/>
      <c r="AE127" s="118"/>
      <c r="AG127" s="2"/>
      <c r="AH127" s="19"/>
      <c r="AI127" s="20"/>
      <c r="AJ127" s="21"/>
      <c r="AK127" s="21"/>
      <c r="AM127" s="19"/>
      <c r="AN127" s="18"/>
      <c r="AO127" s="2"/>
      <c r="AP127" s="18"/>
      <c r="AQ127" s="118"/>
      <c r="AS127" s="2"/>
      <c r="AT127" s="19"/>
      <c r="AU127" s="20"/>
      <c r="AV127" s="21"/>
      <c r="AW127" s="21"/>
      <c r="AY127" s="19"/>
      <c r="AZ127" s="18"/>
      <c r="BA127" s="2"/>
      <c r="BB127" s="18"/>
      <c r="BC127" s="118"/>
      <c r="BE127" s="2"/>
      <c r="BF127" s="19"/>
      <c r="BG127" s="20"/>
      <c r="BH127" s="21"/>
      <c r="BI127" s="21"/>
      <c r="BK127" s="19"/>
      <c r="BL127" s="18"/>
      <c r="BM127" s="2"/>
      <c r="BN127" s="18"/>
      <c r="BO127" s="118"/>
      <c r="BQ127" s="2"/>
      <c r="BR127" s="19"/>
      <c r="BS127" s="20"/>
      <c r="BT127" s="21"/>
      <c r="BU127" s="21"/>
      <c r="BW127" s="19"/>
      <c r="BX127" s="18"/>
      <c r="BY127" s="2"/>
      <c r="BZ127" s="18"/>
      <c r="CA127" s="118"/>
      <c r="CC127" s="2"/>
      <c r="CD127" s="19"/>
      <c r="CE127" s="20"/>
      <c r="CF127" s="21"/>
      <c r="CG127" s="21"/>
      <c r="CI127" s="19"/>
      <c r="CJ127" s="18"/>
      <c r="CK127" s="2"/>
      <c r="CL127" s="18"/>
      <c r="CM127" s="118"/>
      <c r="CO127" s="2"/>
      <c r="CP127" s="19"/>
      <c r="CQ127" s="20"/>
      <c r="CR127" s="21"/>
      <c r="CS127" s="21"/>
    </row>
    <row r="128" spans="1:97" x14ac:dyDescent="0.25">
      <c r="A128" s="1">
        <f t="shared" si="35"/>
        <v>102</v>
      </c>
      <c r="B128" s="19">
        <f t="shared" si="36"/>
        <v>22.755981484736175</v>
      </c>
      <c r="C128" s="18">
        <f t="shared" si="50"/>
        <v>1.5310112465989416</v>
      </c>
      <c r="D128" s="2">
        <f t="shared" si="29"/>
        <v>0.90232672608660236</v>
      </c>
      <c r="E128" s="18">
        <f t="shared" si="37"/>
        <v>1.5460500253670517</v>
      </c>
      <c r="F128" s="21">
        <f t="shared" si="30"/>
        <v>0.18587389411037972</v>
      </c>
      <c r="G128" s="1">
        <f t="shared" si="31"/>
        <v>0</v>
      </c>
      <c r="H128" s="2">
        <f t="shared" si="27"/>
        <v>52.752191123850942</v>
      </c>
      <c r="I128" s="19">
        <f t="shared" si="53"/>
        <v>22.836446373961447</v>
      </c>
      <c r="J128" s="20">
        <f t="shared" si="32"/>
        <v>0.93586396058335153</v>
      </c>
      <c r="K128" s="21">
        <f t="shared" si="33"/>
        <v>2.8370987566274635</v>
      </c>
      <c r="L128" s="21">
        <f t="shared" si="28"/>
        <v>0.14010864284186655</v>
      </c>
      <c r="M128" s="2">
        <f t="shared" si="38"/>
        <v>2.1114603950127995</v>
      </c>
      <c r="N128" s="19">
        <f t="shared" si="51"/>
        <v>257.0498105618741</v>
      </c>
      <c r="O128" s="1">
        <f t="shared" si="39"/>
        <v>102</v>
      </c>
      <c r="P128" s="19">
        <f t="shared" si="40"/>
        <v>37.879929768119567</v>
      </c>
      <c r="Q128" s="18">
        <f t="shared" si="41"/>
        <v>3.019622184294422</v>
      </c>
      <c r="R128" s="2">
        <f t="shared" si="42"/>
        <v>0.91157014446470086</v>
      </c>
      <c r="S128" s="18">
        <f t="shared" si="43"/>
        <v>3.0348150200355004</v>
      </c>
      <c r="T128" s="18">
        <f t="shared" si="44"/>
        <v>0.69945033692519143</v>
      </c>
      <c r="U128" s="1">
        <f t="shared" si="34"/>
        <v>0</v>
      </c>
      <c r="V128" s="2">
        <f t="shared" si="45"/>
        <v>88.20208810128139</v>
      </c>
      <c r="W128" s="19">
        <f t="shared" si="46"/>
        <v>38.182722121766837</v>
      </c>
      <c r="X128" s="20"/>
      <c r="Y128" s="2">
        <f t="shared" si="47"/>
        <v>18.186904147854861</v>
      </c>
      <c r="Z128" s="21">
        <f t="shared" si="48"/>
        <v>0.5398614185352657</v>
      </c>
      <c r="AA128" s="2">
        <f t="shared" si="49"/>
        <v>13.919621759018042</v>
      </c>
      <c r="AB128" s="19">
        <f t="shared" si="52"/>
        <v>34.871897984349552</v>
      </c>
      <c r="AC128" s="2"/>
      <c r="AD128" s="18"/>
      <c r="AE128" s="118"/>
      <c r="AG128" s="2"/>
      <c r="AH128" s="19"/>
      <c r="AI128" s="20"/>
      <c r="AJ128" s="21"/>
      <c r="AK128" s="21"/>
      <c r="AM128" s="19"/>
      <c r="AN128" s="18"/>
      <c r="AO128" s="2"/>
      <c r="AP128" s="18"/>
      <c r="AQ128" s="118"/>
      <c r="AS128" s="2"/>
      <c r="AT128" s="19"/>
      <c r="AU128" s="20"/>
      <c r="AV128" s="21"/>
      <c r="AW128" s="21"/>
      <c r="AY128" s="19"/>
      <c r="AZ128" s="18"/>
      <c r="BA128" s="2"/>
      <c r="BB128" s="18"/>
      <c r="BC128" s="118"/>
      <c r="BE128" s="2"/>
      <c r="BF128" s="19"/>
      <c r="BG128" s="20"/>
      <c r="BH128" s="21"/>
      <c r="BI128" s="21"/>
      <c r="BK128" s="19"/>
      <c r="BL128" s="18"/>
      <c r="BM128" s="2"/>
      <c r="BN128" s="18"/>
      <c r="BO128" s="118"/>
      <c r="BQ128" s="2"/>
      <c r="BR128" s="19"/>
      <c r="BS128" s="20"/>
      <c r="BT128" s="21"/>
      <c r="BU128" s="21"/>
      <c r="BW128" s="19"/>
      <c r="BX128" s="18"/>
      <c r="BY128" s="2"/>
      <c r="BZ128" s="18"/>
      <c r="CA128" s="118"/>
      <c r="CC128" s="2"/>
      <c r="CD128" s="19"/>
      <c r="CE128" s="20"/>
      <c r="CF128" s="21"/>
      <c r="CG128" s="21"/>
      <c r="CI128" s="19"/>
      <c r="CJ128" s="18"/>
      <c r="CK128" s="2"/>
      <c r="CL128" s="18"/>
      <c r="CM128" s="118"/>
      <c r="CO128" s="2"/>
      <c r="CP128" s="19"/>
      <c r="CQ128" s="20"/>
      <c r="CR128" s="21"/>
      <c r="CS128" s="21"/>
    </row>
    <row r="129" spans="1:97" x14ac:dyDescent="0.25">
      <c r="A129" s="1">
        <f t="shared" si="35"/>
        <v>103</v>
      </c>
      <c r="B129" s="19">
        <f t="shared" si="36"/>
        <v>22.836446373961447</v>
      </c>
      <c r="C129" s="18">
        <f t="shared" si="50"/>
        <v>1.5460500253670517</v>
      </c>
      <c r="D129" s="2">
        <f t="shared" si="29"/>
        <v>0.90239042811934267</v>
      </c>
      <c r="E129" s="18">
        <f t="shared" si="37"/>
        <v>1.5610898658357075</v>
      </c>
      <c r="F129" s="21">
        <f t="shared" si="30"/>
        <v>0.18944100868939959</v>
      </c>
      <c r="G129" s="1">
        <f t="shared" si="31"/>
        <v>0</v>
      </c>
      <c r="H129" s="2">
        <f t="shared" si="27"/>
        <v>52.941632132540342</v>
      </c>
      <c r="I129" s="19">
        <f t="shared" si="53"/>
        <v>22.918455468632182</v>
      </c>
      <c r="J129" s="20">
        <f t="shared" si="32"/>
        <v>0.93584618795658292</v>
      </c>
      <c r="K129" s="21">
        <f t="shared" si="33"/>
        <v>2.9191267133899736</v>
      </c>
      <c r="L129" s="21">
        <f t="shared" si="28"/>
        <v>0.14284783108007296</v>
      </c>
      <c r="M129" s="2">
        <f t="shared" si="38"/>
        <v>2.173299282926251</v>
      </c>
      <c r="N129" s="19">
        <f t="shared" si="51"/>
        <v>257.52878217581758</v>
      </c>
      <c r="O129" s="1">
        <f t="shared" si="39"/>
        <v>103</v>
      </c>
      <c r="P129" s="19">
        <f t="shared" si="40"/>
        <v>38.182722121766837</v>
      </c>
      <c r="Q129" s="18">
        <f t="shared" si="41"/>
        <v>3.0348150200355004</v>
      </c>
      <c r="R129" s="2">
        <f t="shared" si="42"/>
        <v>0.91171530895613251</v>
      </c>
      <c r="S129" s="18">
        <f t="shared" si="43"/>
        <v>3.0500102751847691</v>
      </c>
      <c r="T129" s="18">
        <f t="shared" si="44"/>
        <v>0.70635303257197923</v>
      </c>
      <c r="U129" s="1">
        <f t="shared" si="34"/>
        <v>0</v>
      </c>
      <c r="V129" s="2">
        <f t="shared" si="45"/>
        <v>88.908441133853373</v>
      </c>
      <c r="W129" s="19">
        <f t="shared" si="46"/>
        <v>38.48850265534778</v>
      </c>
      <c r="X129" s="20"/>
      <c r="Y129" s="2">
        <f t="shared" si="47"/>
        <v>18.492755010958529</v>
      </c>
      <c r="Z129" s="21">
        <f t="shared" si="48"/>
        <v>0.54528110237182537</v>
      </c>
      <c r="AA129" s="2">
        <f t="shared" si="49"/>
        <v>14.15567418428723</v>
      </c>
      <c r="AB129" s="19">
        <f t="shared" si="52"/>
        <v>35.115904314553731</v>
      </c>
      <c r="AC129" s="2"/>
      <c r="AD129" s="18"/>
      <c r="AE129" s="118"/>
      <c r="AG129" s="2"/>
      <c r="AH129" s="19"/>
      <c r="AI129" s="20"/>
      <c r="AJ129" s="21"/>
      <c r="AK129" s="21"/>
      <c r="AM129" s="19"/>
      <c r="AN129" s="18"/>
      <c r="AO129" s="2"/>
      <c r="AP129" s="18"/>
      <c r="AQ129" s="118"/>
      <c r="AS129" s="2"/>
      <c r="AT129" s="19"/>
      <c r="AU129" s="20"/>
      <c r="AV129" s="21"/>
      <c r="AW129" s="21"/>
      <c r="AY129" s="19"/>
      <c r="AZ129" s="18"/>
      <c r="BA129" s="2"/>
      <c r="BB129" s="18"/>
      <c r="BC129" s="118"/>
      <c r="BE129" s="2"/>
      <c r="BF129" s="19"/>
      <c r="BG129" s="20"/>
      <c r="BH129" s="21"/>
      <c r="BI129" s="21"/>
      <c r="BK129" s="19"/>
      <c r="BL129" s="18"/>
      <c r="BM129" s="2"/>
      <c r="BN129" s="18"/>
      <c r="BO129" s="118"/>
      <c r="BQ129" s="2"/>
      <c r="BR129" s="19"/>
      <c r="BS129" s="20"/>
      <c r="BT129" s="21"/>
      <c r="BU129" s="21"/>
      <c r="BW129" s="19"/>
      <c r="BX129" s="18"/>
      <c r="BY129" s="2"/>
      <c r="BZ129" s="18"/>
      <c r="CA129" s="118"/>
      <c r="CC129" s="2"/>
      <c r="CD129" s="19"/>
      <c r="CE129" s="20"/>
      <c r="CF129" s="21"/>
      <c r="CG129" s="21"/>
      <c r="CI129" s="19"/>
      <c r="CJ129" s="18"/>
      <c r="CK129" s="2"/>
      <c r="CL129" s="18"/>
      <c r="CM129" s="118"/>
      <c r="CO129" s="2"/>
      <c r="CP129" s="19"/>
      <c r="CQ129" s="20"/>
      <c r="CR129" s="21"/>
      <c r="CS129" s="21"/>
    </row>
    <row r="130" spans="1:97" x14ac:dyDescent="0.25">
      <c r="A130" s="1">
        <f t="shared" si="35"/>
        <v>104</v>
      </c>
      <c r="B130" s="19">
        <f t="shared" si="36"/>
        <v>22.918455468632182</v>
      </c>
      <c r="C130" s="18">
        <f t="shared" si="50"/>
        <v>1.5610898658357075</v>
      </c>
      <c r="D130" s="2">
        <f t="shared" si="29"/>
        <v>0.90245512672100037</v>
      </c>
      <c r="E130" s="18">
        <f t="shared" si="37"/>
        <v>1.5761307846143908</v>
      </c>
      <c r="F130" s="21">
        <f t="shared" si="30"/>
        <v>0.19304172413321666</v>
      </c>
      <c r="G130" s="1">
        <f t="shared" si="31"/>
        <v>0</v>
      </c>
      <c r="H130" s="2">
        <f t="shared" si="27"/>
        <v>53.134673856673558</v>
      </c>
      <c r="I130" s="19">
        <f t="shared" si="53"/>
        <v>23.002023314577297</v>
      </c>
      <c r="J130" s="20">
        <f t="shared" si="32"/>
        <v>0.93582811426455592</v>
      </c>
      <c r="K130" s="21">
        <f t="shared" si="33"/>
        <v>3.0027137799396564</v>
      </c>
      <c r="L130" s="21">
        <f t="shared" si="28"/>
        <v>0.14561373616648787</v>
      </c>
      <c r="M130" s="2">
        <f t="shared" si="38"/>
        <v>2.2363355323489729</v>
      </c>
      <c r="N130" s="19">
        <f t="shared" si="51"/>
        <v>258.00313928497155</v>
      </c>
      <c r="O130" s="1">
        <f t="shared" si="39"/>
        <v>104</v>
      </c>
      <c r="P130" s="19">
        <f t="shared" si="40"/>
        <v>38.48850265534778</v>
      </c>
      <c r="Q130" s="18">
        <f t="shared" si="41"/>
        <v>3.0500102751847691</v>
      </c>
      <c r="R130" s="2">
        <f t="shared" si="42"/>
        <v>0.9118607656178731</v>
      </c>
      <c r="S130" s="18">
        <f t="shared" si="43"/>
        <v>3.0652079546117337</v>
      </c>
      <c r="T130" s="18">
        <f t="shared" si="44"/>
        <v>0.71329021427612926</v>
      </c>
      <c r="U130" s="1">
        <f t="shared" si="34"/>
        <v>0</v>
      </c>
      <c r="V130" s="2">
        <f t="shared" si="45"/>
        <v>89.621731348129501</v>
      </c>
      <c r="W130" s="19">
        <f t="shared" si="46"/>
        <v>38.79728629789156</v>
      </c>
      <c r="X130" s="20"/>
      <c r="Y130" s="2">
        <f t="shared" si="47"/>
        <v>18.801609673740092</v>
      </c>
      <c r="Z130" s="21">
        <f t="shared" si="48"/>
        <v>0.55072872583007748</v>
      </c>
      <c r="AA130" s="2">
        <f t="shared" si="49"/>
        <v>14.394084888109775</v>
      </c>
      <c r="AB130" s="19">
        <f t="shared" si="52"/>
        <v>35.358694996903985</v>
      </c>
      <c r="AC130" s="2"/>
      <c r="AD130" s="18"/>
      <c r="AE130" s="118"/>
      <c r="AG130" s="2"/>
      <c r="AH130" s="19"/>
      <c r="AI130" s="20"/>
      <c r="AJ130" s="21"/>
      <c r="AK130" s="21"/>
      <c r="AM130" s="19"/>
      <c r="AN130" s="18"/>
      <c r="AO130" s="2"/>
      <c r="AP130" s="18"/>
      <c r="AQ130" s="118"/>
      <c r="AS130" s="2"/>
      <c r="AT130" s="19"/>
      <c r="AU130" s="20"/>
      <c r="AV130" s="21"/>
      <c r="AW130" s="21"/>
      <c r="AY130" s="19"/>
      <c r="AZ130" s="18"/>
      <c r="BA130" s="2"/>
      <c r="BB130" s="18"/>
      <c r="BC130" s="118"/>
      <c r="BE130" s="2"/>
      <c r="BF130" s="19"/>
      <c r="BG130" s="20"/>
      <c r="BH130" s="21"/>
      <c r="BI130" s="21"/>
      <c r="BK130" s="19"/>
      <c r="BL130" s="18"/>
      <c r="BM130" s="2"/>
      <c r="BN130" s="18"/>
      <c r="BO130" s="118"/>
      <c r="BQ130" s="2"/>
      <c r="BR130" s="19"/>
      <c r="BS130" s="20"/>
      <c r="BT130" s="21"/>
      <c r="BU130" s="21"/>
      <c r="BW130" s="19"/>
      <c r="BX130" s="18"/>
      <c r="BY130" s="2"/>
      <c r="BZ130" s="18"/>
      <c r="CA130" s="118"/>
      <c r="CC130" s="2"/>
      <c r="CD130" s="19"/>
      <c r="CE130" s="20"/>
      <c r="CF130" s="21"/>
      <c r="CG130" s="21"/>
      <c r="CI130" s="19"/>
      <c r="CJ130" s="18"/>
      <c r="CK130" s="2"/>
      <c r="CL130" s="18"/>
      <c r="CM130" s="118"/>
      <c r="CO130" s="2"/>
      <c r="CP130" s="19"/>
      <c r="CQ130" s="20"/>
      <c r="CR130" s="21"/>
      <c r="CS130" s="21"/>
    </row>
    <row r="131" spans="1:97" x14ac:dyDescent="0.25">
      <c r="A131" s="1">
        <f t="shared" si="35"/>
        <v>105</v>
      </c>
      <c r="B131" s="19">
        <f t="shared" si="36"/>
        <v>23.002023314577297</v>
      </c>
      <c r="C131" s="18">
        <f t="shared" si="50"/>
        <v>1.5761307846143908</v>
      </c>
      <c r="D131" s="2">
        <f t="shared" si="29"/>
        <v>0.90252082208066142</v>
      </c>
      <c r="E131" s="18">
        <f t="shared" si="37"/>
        <v>1.5911727983157351</v>
      </c>
      <c r="F131" s="21">
        <f t="shared" si="30"/>
        <v>0.19667604196619437</v>
      </c>
      <c r="G131" s="1">
        <f t="shared" si="31"/>
        <v>0</v>
      </c>
      <c r="H131" s="2">
        <f t="shared" si="27"/>
        <v>53.331349898639751</v>
      </c>
      <c r="I131" s="19">
        <f t="shared" si="53"/>
        <v>23.087164458285606</v>
      </c>
      <c r="J131" s="20">
        <f t="shared" si="32"/>
        <v>0.93580973831135861</v>
      </c>
      <c r="K131" s="21">
        <f t="shared" si="33"/>
        <v>3.0878745061110187</v>
      </c>
      <c r="L131" s="21">
        <f t="shared" si="28"/>
        <v>0.14840636690408318</v>
      </c>
      <c r="M131" s="2">
        <f t="shared" si="38"/>
        <v>2.3005807128269309</v>
      </c>
      <c r="N131" s="19">
        <f t="shared" si="51"/>
        <v>258.47296963351624</v>
      </c>
      <c r="O131" s="1">
        <f t="shared" si="39"/>
        <v>105</v>
      </c>
      <c r="P131" s="19">
        <f t="shared" si="40"/>
        <v>38.79728629789156</v>
      </c>
      <c r="Q131" s="18">
        <f t="shared" si="41"/>
        <v>3.0652079546117337</v>
      </c>
      <c r="R131" s="2">
        <f t="shared" si="42"/>
        <v>0.91200650609171174</v>
      </c>
      <c r="S131" s="18">
        <f t="shared" si="43"/>
        <v>3.0804080630465958</v>
      </c>
      <c r="T131" s="18">
        <f t="shared" si="44"/>
        <v>0.72026189554843989</v>
      </c>
      <c r="U131" s="1">
        <f t="shared" si="34"/>
        <v>0</v>
      </c>
      <c r="V131" s="2">
        <f t="shared" si="45"/>
        <v>90.341993243677948</v>
      </c>
      <c r="W131" s="19">
        <f t="shared" si="46"/>
        <v>39.109087984276165</v>
      </c>
      <c r="X131" s="20"/>
      <c r="Y131" s="2">
        <f t="shared" si="47"/>
        <v>19.113483074512565</v>
      </c>
      <c r="Z131" s="21">
        <f t="shared" si="48"/>
        <v>0.55620430357593464</v>
      </c>
      <c r="AA131" s="2">
        <f t="shared" si="49"/>
        <v>14.634865971908882</v>
      </c>
      <c r="AB131" s="19">
        <f t="shared" si="52"/>
        <v>35.600281893079583</v>
      </c>
      <c r="AC131" s="2"/>
      <c r="AD131" s="18"/>
      <c r="AE131" s="118"/>
      <c r="AG131" s="2"/>
      <c r="AH131" s="19"/>
      <c r="AI131" s="20"/>
      <c r="AJ131" s="21"/>
      <c r="AK131" s="21"/>
      <c r="AM131" s="19"/>
      <c r="AN131" s="18"/>
      <c r="AO131" s="2"/>
      <c r="AP131" s="18"/>
      <c r="AQ131" s="118"/>
      <c r="AS131" s="2"/>
      <c r="AT131" s="19"/>
      <c r="AU131" s="20"/>
      <c r="AV131" s="21"/>
      <c r="AW131" s="21"/>
      <c r="AY131" s="19"/>
      <c r="AZ131" s="18"/>
      <c r="BA131" s="2"/>
      <c r="BB131" s="18"/>
      <c r="BC131" s="118"/>
      <c r="BE131" s="2"/>
      <c r="BF131" s="19"/>
      <c r="BG131" s="20"/>
      <c r="BH131" s="21"/>
      <c r="BI131" s="21"/>
      <c r="BK131" s="19"/>
      <c r="BL131" s="18"/>
      <c r="BM131" s="2"/>
      <c r="BN131" s="18"/>
      <c r="BO131" s="118"/>
      <c r="BQ131" s="2"/>
      <c r="BR131" s="19"/>
      <c r="BS131" s="20"/>
      <c r="BT131" s="21"/>
      <c r="BU131" s="21"/>
      <c r="BW131" s="19"/>
      <c r="BX131" s="18"/>
      <c r="BY131" s="2"/>
      <c r="BZ131" s="18"/>
      <c r="CA131" s="118"/>
      <c r="CC131" s="2"/>
      <c r="CD131" s="19"/>
      <c r="CE131" s="20"/>
      <c r="CF131" s="21"/>
      <c r="CG131" s="21"/>
      <c r="CI131" s="19"/>
      <c r="CJ131" s="18"/>
      <c r="CK131" s="2"/>
      <c r="CL131" s="18"/>
      <c r="CM131" s="118"/>
      <c r="CO131" s="2"/>
      <c r="CP131" s="19"/>
      <c r="CQ131" s="20"/>
      <c r="CR131" s="21"/>
      <c r="CS131" s="21"/>
    </row>
    <row r="132" spans="1:97" x14ac:dyDescent="0.25">
      <c r="A132" s="1">
        <f t="shared" si="35"/>
        <v>106</v>
      </c>
      <c r="B132" s="19">
        <f t="shared" si="36"/>
        <v>23.087164458285606</v>
      </c>
      <c r="C132" s="18">
        <f t="shared" si="50"/>
        <v>1.5911727983157351</v>
      </c>
      <c r="D132" s="2">
        <f t="shared" si="29"/>
        <v>0.90258751414899485</v>
      </c>
      <c r="E132" s="18">
        <f t="shared" si="37"/>
        <v>1.6062159235515516</v>
      </c>
      <c r="F132" s="21">
        <f t="shared" si="30"/>
        <v>0.20034396396158241</v>
      </c>
      <c r="G132" s="1">
        <f t="shared" si="31"/>
        <v>0</v>
      </c>
      <c r="H132" s="2">
        <f t="shared" si="27"/>
        <v>53.53169386260133</v>
      </c>
      <c r="I132" s="19">
        <f t="shared" si="53"/>
        <v>23.173893447013562</v>
      </c>
      <c r="J132" s="20">
        <f t="shared" si="32"/>
        <v>0.93579105894834491</v>
      </c>
      <c r="K132" s="21">
        <f t="shared" si="33"/>
        <v>3.174623442506384</v>
      </c>
      <c r="L132" s="21">
        <f t="shared" si="28"/>
        <v>0.15122573221327276</v>
      </c>
      <c r="M132" s="2">
        <f t="shared" si="38"/>
        <v>2.3660463977677417</v>
      </c>
      <c r="N132" s="19">
        <f t="shared" si="51"/>
        <v>258.93835848171125</v>
      </c>
      <c r="O132" s="1">
        <f t="shared" si="39"/>
        <v>106</v>
      </c>
      <c r="P132" s="19">
        <f t="shared" si="40"/>
        <v>39.109087984276165</v>
      </c>
      <c r="Q132" s="18">
        <f t="shared" si="41"/>
        <v>3.0804080630465958</v>
      </c>
      <c r="R132" s="2">
        <f t="shared" si="42"/>
        <v>0.91215252210187314</v>
      </c>
      <c r="S132" s="18">
        <f t="shared" si="43"/>
        <v>3.0956106050816268</v>
      </c>
      <c r="T132" s="18">
        <f t="shared" si="44"/>
        <v>0.72726808990202285</v>
      </c>
      <c r="U132" s="1">
        <f t="shared" si="34"/>
        <v>0</v>
      </c>
      <c r="V132" s="2">
        <f t="shared" si="45"/>
        <v>91.069261333579973</v>
      </c>
      <c r="W132" s="19">
        <f t="shared" si="46"/>
        <v>39.423922655229426</v>
      </c>
      <c r="X132" s="20"/>
      <c r="Y132" s="2">
        <f t="shared" si="47"/>
        <v>19.428390157440141</v>
      </c>
      <c r="Z132" s="21">
        <f t="shared" si="48"/>
        <v>0.56170785026104164</v>
      </c>
      <c r="AA132" s="2">
        <f t="shared" si="49"/>
        <v>14.878029543450458</v>
      </c>
      <c r="AB132" s="19">
        <f t="shared" si="52"/>
        <v>35.840676691668378</v>
      </c>
      <c r="AC132" s="2"/>
      <c r="AD132" s="18"/>
      <c r="AE132" s="118"/>
      <c r="AG132" s="2"/>
      <c r="AH132" s="19"/>
      <c r="AI132" s="20"/>
      <c r="AJ132" s="21"/>
      <c r="AK132" s="21"/>
      <c r="AM132" s="19"/>
      <c r="AN132" s="18"/>
      <c r="AO132" s="2"/>
      <c r="AP132" s="18"/>
      <c r="AQ132" s="118"/>
      <c r="AS132" s="2"/>
      <c r="AT132" s="19"/>
      <c r="AU132" s="20"/>
      <c r="AV132" s="21"/>
      <c r="AW132" s="21"/>
      <c r="AY132" s="19"/>
      <c r="AZ132" s="18"/>
      <c r="BA132" s="2"/>
      <c r="BB132" s="18"/>
      <c r="BC132" s="118"/>
      <c r="BE132" s="2"/>
      <c r="BF132" s="19"/>
      <c r="BG132" s="20"/>
      <c r="BH132" s="21"/>
      <c r="BI132" s="21"/>
      <c r="BK132" s="19"/>
      <c r="BL132" s="18"/>
      <c r="BM132" s="2"/>
      <c r="BN132" s="18"/>
      <c r="BO132" s="118"/>
      <c r="BQ132" s="2"/>
      <c r="BR132" s="19"/>
      <c r="BS132" s="20"/>
      <c r="BT132" s="21"/>
      <c r="BU132" s="21"/>
      <c r="BW132" s="19"/>
      <c r="BX132" s="18"/>
      <c r="BY132" s="2"/>
      <c r="BZ132" s="18"/>
      <c r="CA132" s="118"/>
      <c r="CC132" s="2"/>
      <c r="CD132" s="19"/>
      <c r="CE132" s="20"/>
      <c r="CF132" s="21"/>
      <c r="CG132" s="21"/>
      <c r="CI132" s="19"/>
      <c r="CJ132" s="18"/>
      <c r="CK132" s="2"/>
      <c r="CL132" s="18"/>
      <c r="CM132" s="118"/>
      <c r="CO132" s="2"/>
      <c r="CP132" s="19"/>
      <c r="CQ132" s="20"/>
      <c r="CR132" s="21"/>
      <c r="CS132" s="21"/>
    </row>
    <row r="133" spans="1:97" x14ac:dyDescent="0.25">
      <c r="A133" s="1">
        <f t="shared" si="35"/>
        <v>107</v>
      </c>
      <c r="B133" s="19">
        <f t="shared" si="36"/>
        <v>23.173893447013562</v>
      </c>
      <c r="C133" s="18">
        <f t="shared" si="50"/>
        <v>1.6062159235515516</v>
      </c>
      <c r="D133" s="2">
        <f t="shared" si="29"/>
        <v>0.90265520263935117</v>
      </c>
      <c r="E133" s="18">
        <f t="shared" si="37"/>
        <v>1.6212601769288741</v>
      </c>
      <c r="F133" s="21">
        <f t="shared" si="30"/>
        <v>0.20404549213839696</v>
      </c>
      <c r="G133" s="1">
        <f t="shared" si="31"/>
        <v>0</v>
      </c>
      <c r="H133" s="2">
        <f t="shared" si="27"/>
        <v>53.735739354739728</v>
      </c>
      <c r="I133" s="19">
        <f t="shared" si="53"/>
        <v>23.262224828891657</v>
      </c>
      <c r="J133" s="20">
        <f t="shared" si="32"/>
        <v>0.93577207507426352</v>
      </c>
      <c r="K133" s="21">
        <f t="shared" si="33"/>
        <v>3.2629751406023098</v>
      </c>
      <c r="L133" s="21">
        <f t="shared" si="28"/>
        <v>0.1540718411311757</v>
      </c>
      <c r="M133" s="2">
        <f t="shared" si="38"/>
        <v>2.4327441644911945</v>
      </c>
      <c r="N133" s="19">
        <f t="shared" si="51"/>
        <v>259.39938869877574</v>
      </c>
      <c r="O133" s="1">
        <f t="shared" si="39"/>
        <v>107</v>
      </c>
      <c r="P133" s="19">
        <f t="shared" si="40"/>
        <v>39.423922655229426</v>
      </c>
      <c r="Q133" s="18">
        <f t="shared" si="41"/>
        <v>3.0956106050816268</v>
      </c>
      <c r="R133" s="2">
        <f t="shared" si="42"/>
        <v>0.91229880545576281</v>
      </c>
      <c r="S133" s="18">
        <f t="shared" si="43"/>
        <v>3.1108155851725563</v>
      </c>
      <c r="T133" s="18">
        <f t="shared" si="44"/>
        <v>0.73430881085119626</v>
      </c>
      <c r="U133" s="1">
        <f t="shared" si="34"/>
        <v>0</v>
      </c>
      <c r="V133" s="2">
        <f t="shared" si="45"/>
        <v>91.803570144431163</v>
      </c>
      <c r="W133" s="19">
        <f t="shared" si="46"/>
        <v>39.74180525732951</v>
      </c>
      <c r="X133" s="20"/>
      <c r="Y133" s="2">
        <f t="shared" si="47"/>
        <v>19.746345872538708</v>
      </c>
      <c r="Z133" s="21">
        <f t="shared" si="48"/>
        <v>0.56723938052206657</v>
      </c>
      <c r="AA133" s="2">
        <f t="shared" si="49"/>
        <v>15.123587716836633</v>
      </c>
      <c r="AB133" s="19">
        <f t="shared" si="52"/>
        <v>36.079890911529169</v>
      </c>
      <c r="AC133" s="2"/>
      <c r="AD133" s="18"/>
      <c r="AE133" s="118"/>
      <c r="AG133" s="2"/>
      <c r="AH133" s="19"/>
      <c r="AI133" s="20"/>
      <c r="AJ133" s="21"/>
      <c r="AK133" s="21"/>
      <c r="AM133" s="19"/>
      <c r="AN133" s="18"/>
      <c r="AO133" s="2"/>
      <c r="AP133" s="18"/>
      <c r="AQ133" s="118"/>
      <c r="AS133" s="2"/>
      <c r="AT133" s="19"/>
      <c r="AU133" s="20"/>
      <c r="AV133" s="21"/>
      <c r="AW133" s="21"/>
      <c r="AY133" s="19"/>
      <c r="AZ133" s="18"/>
      <c r="BA133" s="2"/>
      <c r="BB133" s="18"/>
      <c r="BC133" s="118"/>
      <c r="BE133" s="2"/>
      <c r="BF133" s="19"/>
      <c r="BG133" s="20"/>
      <c r="BH133" s="21"/>
      <c r="BI133" s="21"/>
      <c r="BK133" s="19"/>
      <c r="BL133" s="18"/>
      <c r="BM133" s="2"/>
      <c r="BN133" s="18"/>
      <c r="BO133" s="118"/>
      <c r="BQ133" s="2"/>
      <c r="BR133" s="19"/>
      <c r="BS133" s="20"/>
      <c r="BT133" s="21"/>
      <c r="BU133" s="21"/>
      <c r="BW133" s="19"/>
      <c r="BX133" s="18"/>
      <c r="BY133" s="2"/>
      <c r="BZ133" s="18"/>
      <c r="CA133" s="118"/>
      <c r="CC133" s="2"/>
      <c r="CD133" s="19"/>
      <c r="CE133" s="20"/>
      <c r="CF133" s="21"/>
      <c r="CG133" s="21"/>
      <c r="CI133" s="19"/>
      <c r="CJ133" s="18"/>
      <c r="CK133" s="2"/>
      <c r="CL133" s="18"/>
      <c r="CM133" s="118"/>
      <c r="CO133" s="2"/>
      <c r="CP133" s="19"/>
      <c r="CQ133" s="20"/>
      <c r="CR133" s="21"/>
      <c r="CS133" s="21"/>
    </row>
    <row r="134" spans="1:97" x14ac:dyDescent="0.25">
      <c r="A134" s="1">
        <f t="shared" si="35"/>
        <v>108</v>
      </c>
      <c r="B134" s="19">
        <f t="shared" si="36"/>
        <v>23.262224828891657</v>
      </c>
      <c r="C134" s="18">
        <f t="shared" si="50"/>
        <v>1.6212601769288741</v>
      </c>
      <c r="D134" s="2">
        <f t="shared" si="29"/>
        <v>0.9027238870290003</v>
      </c>
      <c r="E134" s="18">
        <f t="shared" si="37"/>
        <v>1.6363055750460243</v>
      </c>
      <c r="F134" s="21">
        <f t="shared" si="30"/>
        <v>0.20778062875831513</v>
      </c>
      <c r="G134" s="1">
        <f t="shared" si="31"/>
        <v>0</v>
      </c>
      <c r="H134" s="2">
        <f t="shared" si="27"/>
        <v>53.943519983498042</v>
      </c>
      <c r="I134" s="19">
        <f t="shared" si="53"/>
        <v>23.352173153029455</v>
      </c>
      <c r="J134" s="20">
        <f t="shared" si="32"/>
        <v>0.93575278563536812</v>
      </c>
      <c r="K134" s="21">
        <f t="shared" si="33"/>
        <v>3.3529441528546604</v>
      </c>
      <c r="L134" s="21">
        <f t="shared" si="28"/>
        <v>0.15694470281084025</v>
      </c>
      <c r="M134" s="2">
        <f t="shared" si="38"/>
        <v>2.500685594279437</v>
      </c>
      <c r="N134" s="19">
        <f t="shared" si="51"/>
        <v>259.85614085146852</v>
      </c>
      <c r="O134" s="1">
        <f t="shared" si="39"/>
        <v>108</v>
      </c>
      <c r="P134" s="19">
        <f t="shared" si="40"/>
        <v>39.74180525732951</v>
      </c>
      <c r="Q134" s="18">
        <f t="shared" si="41"/>
        <v>3.1108155851725563</v>
      </c>
      <c r="R134" s="2">
        <f t="shared" si="42"/>
        <v>0.91244534804464827</v>
      </c>
      <c r="S134" s="18">
        <f t="shared" si="43"/>
        <v>3.1260230076399673</v>
      </c>
      <c r="T134" s="18">
        <f t="shared" si="44"/>
        <v>0.74138407191040445</v>
      </c>
      <c r="U134" s="1">
        <f t="shared" si="34"/>
        <v>0</v>
      </c>
      <c r="V134" s="2">
        <f t="shared" si="45"/>
        <v>92.54495421634158</v>
      </c>
      <c r="W134" s="19">
        <f t="shared" si="46"/>
        <v>40.062750743005012</v>
      </c>
      <c r="X134" s="20"/>
      <c r="Y134" s="2">
        <f t="shared" si="47"/>
        <v>20.067365175675913</v>
      </c>
      <c r="Z134" s="21">
        <f t="shared" si="48"/>
        <v>0.57279890898000851</v>
      </c>
      <c r="AA134" s="2">
        <f t="shared" si="49"/>
        <v>15.371552612498975</v>
      </c>
      <c r="AB134" s="19">
        <f t="shared" si="52"/>
        <v>36.317935905072659</v>
      </c>
      <c r="AC134" s="2"/>
      <c r="AD134" s="18"/>
      <c r="AE134" s="118"/>
      <c r="AG134" s="2"/>
      <c r="AH134" s="19"/>
      <c r="AI134" s="20"/>
      <c r="AJ134" s="21"/>
      <c r="AK134" s="21"/>
      <c r="AM134" s="19"/>
      <c r="AN134" s="18"/>
      <c r="AO134" s="2"/>
      <c r="AP134" s="18"/>
      <c r="AQ134" s="118"/>
      <c r="AS134" s="2"/>
      <c r="AT134" s="19"/>
      <c r="AU134" s="20"/>
      <c r="AV134" s="21"/>
      <c r="AW134" s="21"/>
      <c r="AY134" s="19"/>
      <c r="AZ134" s="18"/>
      <c r="BA134" s="2"/>
      <c r="BB134" s="18"/>
      <c r="BC134" s="118"/>
      <c r="BE134" s="2"/>
      <c r="BF134" s="19"/>
      <c r="BG134" s="20"/>
      <c r="BH134" s="21"/>
      <c r="BI134" s="21"/>
      <c r="BK134" s="19"/>
      <c r="BL134" s="18"/>
      <c r="BM134" s="2"/>
      <c r="BN134" s="18"/>
      <c r="BO134" s="118"/>
      <c r="BQ134" s="2"/>
      <c r="BR134" s="19"/>
      <c r="BS134" s="20"/>
      <c r="BT134" s="21"/>
      <c r="BU134" s="21"/>
      <c r="BW134" s="19"/>
      <c r="BX134" s="18"/>
      <c r="BY134" s="2"/>
      <c r="BZ134" s="18"/>
      <c r="CA134" s="118"/>
      <c r="CC134" s="2"/>
      <c r="CD134" s="19"/>
      <c r="CE134" s="20"/>
      <c r="CF134" s="21"/>
      <c r="CG134" s="21"/>
      <c r="CI134" s="19"/>
      <c r="CJ134" s="18"/>
      <c r="CK134" s="2"/>
      <c r="CL134" s="18"/>
      <c r="CM134" s="118"/>
      <c r="CO134" s="2"/>
      <c r="CP134" s="19"/>
      <c r="CQ134" s="20"/>
      <c r="CR134" s="21"/>
      <c r="CS134" s="21"/>
    </row>
    <row r="135" spans="1:97" x14ac:dyDescent="0.25">
      <c r="A135" s="1">
        <f t="shared" si="35"/>
        <v>109</v>
      </c>
      <c r="B135" s="19">
        <f t="shared" si="36"/>
        <v>23.352173153029455</v>
      </c>
      <c r="C135" s="18">
        <f t="shared" si="50"/>
        <v>1.6363055750460243</v>
      </c>
      <c r="D135" s="2">
        <f t="shared" si="29"/>
        <v>0.90279356656050547</v>
      </c>
      <c r="E135" s="18">
        <f t="shared" si="37"/>
        <v>1.6513521344886994</v>
      </c>
      <c r="F135" s="21">
        <f t="shared" si="30"/>
        <v>0.21154937632258441</v>
      </c>
      <c r="G135" s="1">
        <f t="shared" si="31"/>
        <v>0</v>
      </c>
      <c r="H135" s="2">
        <f t="shared" si="27"/>
        <v>54.155069359820629</v>
      </c>
      <c r="I135" s="19">
        <f t="shared" si="53"/>
        <v>23.443752969619318</v>
      </c>
      <c r="J135" s="20">
        <f t="shared" si="32"/>
        <v>0.93573318962550722</v>
      </c>
      <c r="K135" s="21">
        <f t="shared" si="33"/>
        <v>3.4445450328023393</v>
      </c>
      <c r="L135" s="21">
        <f t="shared" si="28"/>
        <v>0.1598443265204324</v>
      </c>
      <c r="M135" s="2">
        <f t="shared" si="38"/>
        <v>2.5698822724268102</v>
      </c>
      <c r="N135" s="19">
        <f t="shared" si="51"/>
        <v>260.30869328860518</v>
      </c>
      <c r="O135" s="1">
        <f t="shared" si="39"/>
        <v>109</v>
      </c>
      <c r="P135" s="19">
        <f t="shared" si="40"/>
        <v>40.062750743005012</v>
      </c>
      <c r="Q135" s="18">
        <f t="shared" si="41"/>
        <v>3.1260230076399673</v>
      </c>
      <c r="R135" s="2">
        <f t="shared" si="42"/>
        <v>0.91259214184428172</v>
      </c>
      <c r="S135" s="18">
        <f t="shared" si="43"/>
        <v>3.1412328766707054</v>
      </c>
      <c r="T135" s="18">
        <f t="shared" si="44"/>
        <v>0.74849388659316241</v>
      </c>
      <c r="U135" s="1">
        <f t="shared" si="34"/>
        <v>0</v>
      </c>
      <c r="V135" s="2">
        <f t="shared" si="45"/>
        <v>93.293448102934747</v>
      </c>
      <c r="W135" s="19">
        <f t="shared" si="46"/>
        <v>40.386774070534521</v>
      </c>
      <c r="X135" s="20"/>
      <c r="Y135" s="2">
        <f t="shared" si="47"/>
        <v>20.391463028570755</v>
      </c>
      <c r="Z135" s="21">
        <f t="shared" si="48"/>
        <v>0.57838645023952284</v>
      </c>
      <c r="AA135" s="2">
        <f t="shared" si="49"/>
        <v>15.621936357191409</v>
      </c>
      <c r="AB135" s="19">
        <f t="shared" si="52"/>
        <v>36.554822861463443</v>
      </c>
      <c r="AC135" s="2"/>
      <c r="AD135" s="18"/>
      <c r="AE135" s="118"/>
      <c r="AG135" s="2"/>
      <c r="AH135" s="19"/>
      <c r="AI135" s="20"/>
      <c r="AJ135" s="21"/>
      <c r="AK135" s="21"/>
      <c r="AM135" s="19"/>
      <c r="AN135" s="18"/>
      <c r="AO135" s="2"/>
      <c r="AP135" s="18"/>
      <c r="AQ135" s="118"/>
      <c r="AS135" s="2"/>
      <c r="AT135" s="19"/>
      <c r="AU135" s="20"/>
      <c r="AV135" s="21"/>
      <c r="AW135" s="21"/>
      <c r="AY135" s="19"/>
      <c r="AZ135" s="18"/>
      <c r="BA135" s="2"/>
      <c r="BB135" s="18"/>
      <c r="BC135" s="118"/>
      <c r="BE135" s="2"/>
      <c r="BF135" s="19"/>
      <c r="BG135" s="20"/>
      <c r="BH135" s="21"/>
      <c r="BI135" s="21"/>
      <c r="BK135" s="19"/>
      <c r="BL135" s="18"/>
      <c r="BM135" s="2"/>
      <c r="BN135" s="18"/>
      <c r="BO135" s="118"/>
      <c r="BQ135" s="2"/>
      <c r="BR135" s="19"/>
      <c r="BS135" s="20"/>
      <c r="BT135" s="21"/>
      <c r="BU135" s="21"/>
      <c r="BW135" s="19"/>
      <c r="BX135" s="18"/>
      <c r="BY135" s="2"/>
      <c r="BZ135" s="18"/>
      <c r="CA135" s="118"/>
      <c r="CC135" s="2"/>
      <c r="CD135" s="19"/>
      <c r="CE135" s="20"/>
      <c r="CF135" s="21"/>
      <c r="CG135" s="21"/>
      <c r="CI135" s="19"/>
      <c r="CJ135" s="18"/>
      <c r="CK135" s="2"/>
      <c r="CL135" s="18"/>
      <c r="CM135" s="118"/>
      <c r="CO135" s="2"/>
      <c r="CP135" s="19"/>
      <c r="CQ135" s="20"/>
      <c r="CR135" s="21"/>
      <c r="CS135" s="21"/>
    </row>
    <row r="136" spans="1:97" x14ac:dyDescent="0.25">
      <c r="A136" s="1">
        <f t="shared" si="35"/>
        <v>110</v>
      </c>
      <c r="B136" s="19">
        <f t="shared" si="36"/>
        <v>23.443752969619318</v>
      </c>
      <c r="C136" s="18">
        <f t="shared" si="50"/>
        <v>1.6513521344886994</v>
      </c>
      <c r="D136" s="2">
        <f t="shared" si="29"/>
        <v>0.90286424024323497</v>
      </c>
      <c r="E136" s="18">
        <f t="shared" si="37"/>
        <v>1.6663998718260866</v>
      </c>
      <c r="F136" s="21">
        <f t="shared" si="30"/>
        <v>0.21535173756894471</v>
      </c>
      <c r="G136" s="1">
        <f t="shared" si="31"/>
        <v>0</v>
      </c>
      <c r="H136" s="2">
        <f t="shared" si="27"/>
        <v>54.370421097389574</v>
      </c>
      <c r="I136" s="19">
        <f t="shared" si="53"/>
        <v>23.536978830038777</v>
      </c>
      <c r="J136" s="20">
        <f t="shared" si="32"/>
        <v>0.93571328608619408</v>
      </c>
      <c r="K136" s="21">
        <f t="shared" si="33"/>
        <v>3.5377923351696925</v>
      </c>
      <c r="L136" s="21">
        <f t="shared" si="28"/>
        <v>0.16277072164238776</v>
      </c>
      <c r="M136" s="2">
        <f t="shared" si="38"/>
        <v>2.6403457882893155</v>
      </c>
      <c r="N136" s="19">
        <f t="shared" si="51"/>
        <v>260.7571222217332</v>
      </c>
      <c r="O136" s="1">
        <f t="shared" si="39"/>
        <v>110</v>
      </c>
      <c r="P136" s="19">
        <f t="shared" si="40"/>
        <v>40.386774070534521</v>
      </c>
      <c r="Q136" s="18">
        <f t="shared" si="41"/>
        <v>3.1412328766707054</v>
      </c>
      <c r="R136" s="2">
        <f t="shared" si="42"/>
        <v>0.91273917891546275</v>
      </c>
      <c r="S136" s="18">
        <f t="shared" si="43"/>
        <v>3.1564451963192965</v>
      </c>
      <c r="T136" s="18">
        <f t="shared" si="44"/>
        <v>0.75563826841103054</v>
      </c>
      <c r="U136" s="1">
        <f t="shared" si="34"/>
        <v>0</v>
      </c>
      <c r="V136" s="2">
        <f t="shared" si="45"/>
        <v>94.04908637134578</v>
      </c>
      <c r="W136" s="19">
        <f t="shared" si="46"/>
        <v>40.713890204045789</v>
      </c>
      <c r="X136" s="20"/>
      <c r="Y136" s="2">
        <f t="shared" si="47"/>
        <v>20.718654398792729</v>
      </c>
      <c r="Z136" s="21">
        <f t="shared" si="48"/>
        <v>0.58400201888826608</v>
      </c>
      <c r="AA136" s="2">
        <f t="shared" si="49"/>
        <v>15.874751083982867</v>
      </c>
      <c r="AB136" s="19">
        <f t="shared" si="52"/>
        <v>36.790562809745225</v>
      </c>
      <c r="AC136" s="2"/>
      <c r="AD136" s="18"/>
      <c r="AE136" s="118"/>
      <c r="AG136" s="2"/>
      <c r="AH136" s="19"/>
      <c r="AI136" s="20"/>
      <c r="AJ136" s="21"/>
      <c r="AK136" s="21"/>
      <c r="AM136" s="19"/>
      <c r="AN136" s="18"/>
      <c r="AO136" s="2"/>
      <c r="AP136" s="18"/>
      <c r="AQ136" s="118"/>
      <c r="AS136" s="2"/>
      <c r="AT136" s="19"/>
      <c r="AU136" s="20"/>
      <c r="AV136" s="21"/>
      <c r="AW136" s="21"/>
      <c r="AY136" s="19"/>
      <c r="AZ136" s="18"/>
      <c r="BA136" s="2"/>
      <c r="BB136" s="18"/>
      <c r="BC136" s="118"/>
      <c r="BE136" s="2"/>
      <c r="BF136" s="19"/>
      <c r="BG136" s="20"/>
      <c r="BH136" s="21"/>
      <c r="BI136" s="21"/>
      <c r="BK136" s="19"/>
      <c r="BL136" s="18"/>
      <c r="BM136" s="2"/>
      <c r="BN136" s="18"/>
      <c r="BO136" s="118"/>
      <c r="BQ136" s="2"/>
      <c r="BR136" s="19"/>
      <c r="BS136" s="20"/>
      <c r="BT136" s="21"/>
      <c r="BU136" s="21"/>
      <c r="BW136" s="19"/>
      <c r="BX136" s="18"/>
      <c r="BY136" s="2"/>
      <c r="BZ136" s="18"/>
      <c r="CA136" s="118"/>
      <c r="CC136" s="2"/>
      <c r="CD136" s="19"/>
      <c r="CE136" s="20"/>
      <c r="CF136" s="21"/>
      <c r="CG136" s="21"/>
      <c r="CI136" s="19"/>
      <c r="CJ136" s="18"/>
      <c r="CK136" s="2"/>
      <c r="CL136" s="18"/>
      <c r="CM136" s="118"/>
      <c r="CO136" s="2"/>
      <c r="CP136" s="19"/>
      <c r="CQ136" s="20"/>
      <c r="CR136" s="21"/>
      <c r="CS136" s="21"/>
    </row>
    <row r="137" spans="1:97" x14ac:dyDescent="0.25">
      <c r="A137" s="1">
        <f t="shared" si="35"/>
        <v>111</v>
      </c>
      <c r="B137" s="19">
        <f t="shared" si="36"/>
        <v>23.536978830038777</v>
      </c>
      <c r="C137" s="18">
        <f t="shared" si="50"/>
        <v>1.6663998718260866</v>
      </c>
      <c r="D137" s="2">
        <f t="shared" si="29"/>
        <v>0.90293590685500724</v>
      </c>
      <c r="E137" s="18">
        <f t="shared" si="37"/>
        <v>1.6814488036070034</v>
      </c>
      <c r="F137" s="21">
        <f t="shared" si="30"/>
        <v>0.21918771546856114</v>
      </c>
      <c r="G137" s="1">
        <f t="shared" si="31"/>
        <v>0</v>
      </c>
      <c r="H137" s="2">
        <f t="shared" si="27"/>
        <v>54.589608812858138</v>
      </c>
      <c r="I137" s="19">
        <f t="shared" si="53"/>
        <v>23.631865286951573</v>
      </c>
      <c r="J137" s="20">
        <f t="shared" si="32"/>
        <v>0.93569307410665858</v>
      </c>
      <c r="K137" s="21">
        <f t="shared" si="33"/>
        <v>3.6327006159675794</v>
      </c>
      <c r="L137" s="21">
        <f t="shared" si="28"/>
        <v>0.16572389767252754</v>
      </c>
      <c r="M137" s="2">
        <f t="shared" si="38"/>
        <v>2.7120877353336996</v>
      </c>
      <c r="N137" s="19">
        <f t="shared" si="51"/>
        <v>261.2015018021732</v>
      </c>
      <c r="O137" s="1">
        <f t="shared" si="39"/>
        <v>111</v>
      </c>
      <c r="P137" s="19">
        <f t="shared" si="40"/>
        <v>40.713890204045789</v>
      </c>
      <c r="Q137" s="18">
        <f t="shared" si="41"/>
        <v>3.1564451963192965</v>
      </c>
      <c r="R137" s="2">
        <f t="shared" si="42"/>
        <v>0.91288645140454383</v>
      </c>
      <c r="S137" s="18">
        <f t="shared" si="43"/>
        <v>3.1716599705093724</v>
      </c>
      <c r="T137" s="18">
        <f t="shared" si="44"/>
        <v>0.76281723087261399</v>
      </c>
      <c r="U137" s="1">
        <f t="shared" si="34"/>
        <v>0</v>
      </c>
      <c r="V137" s="2">
        <f t="shared" si="45"/>
        <v>94.811903602218393</v>
      </c>
      <c r="W137" s="19">
        <f t="shared" si="46"/>
        <v>41.044114113514453</v>
      </c>
      <c r="X137" s="20"/>
      <c r="Y137" s="2">
        <f t="shared" si="47"/>
        <v>21.048954259760571</v>
      </c>
      <c r="Z137" s="21">
        <f t="shared" si="48"/>
        <v>0.58964562949625954</v>
      </c>
      <c r="AA137" s="2">
        <f t="shared" si="49"/>
        <v>16.130008932249645</v>
      </c>
      <c r="AB137" s="19">
        <f t="shared" si="52"/>
        <v>37.025166621891529</v>
      </c>
      <c r="AC137" s="2"/>
      <c r="AD137" s="18"/>
      <c r="AE137" s="118"/>
      <c r="AG137" s="2"/>
      <c r="AH137" s="19"/>
      <c r="AI137" s="20"/>
      <c r="AJ137" s="21"/>
      <c r="AK137" s="21"/>
      <c r="AM137" s="19"/>
      <c r="AN137" s="18"/>
      <c r="AO137" s="2"/>
      <c r="AP137" s="18"/>
      <c r="AQ137" s="118"/>
      <c r="AS137" s="2"/>
      <c r="AT137" s="19"/>
      <c r="AU137" s="20"/>
      <c r="AV137" s="21"/>
      <c r="AW137" s="21"/>
      <c r="AY137" s="19"/>
      <c r="AZ137" s="18"/>
      <c r="BA137" s="2"/>
      <c r="BB137" s="18"/>
      <c r="BC137" s="118"/>
      <c r="BE137" s="2"/>
      <c r="BF137" s="19"/>
      <c r="BG137" s="20"/>
      <c r="BH137" s="21"/>
      <c r="BI137" s="21"/>
      <c r="BK137" s="19"/>
      <c r="BL137" s="18"/>
      <c r="BM137" s="2"/>
      <c r="BN137" s="18"/>
      <c r="BO137" s="118"/>
      <c r="BQ137" s="2"/>
      <c r="BR137" s="19"/>
      <c r="BS137" s="20"/>
      <c r="BT137" s="21"/>
      <c r="BU137" s="21"/>
      <c r="BW137" s="19"/>
      <c r="BX137" s="18"/>
      <c r="BY137" s="2"/>
      <c r="BZ137" s="18"/>
      <c r="CA137" s="118"/>
      <c r="CC137" s="2"/>
      <c r="CD137" s="19"/>
      <c r="CE137" s="20"/>
      <c r="CF137" s="21"/>
      <c r="CG137" s="21"/>
      <c r="CI137" s="19"/>
      <c r="CJ137" s="18"/>
      <c r="CK137" s="2"/>
      <c r="CL137" s="18"/>
      <c r="CM137" s="118"/>
      <c r="CO137" s="2"/>
      <c r="CP137" s="19"/>
      <c r="CQ137" s="20"/>
      <c r="CR137" s="21"/>
      <c r="CS137" s="21"/>
    </row>
    <row r="138" spans="1:97" x14ac:dyDescent="0.25">
      <c r="A138" s="1">
        <f t="shared" si="35"/>
        <v>112</v>
      </c>
      <c r="B138" s="19">
        <f t="shared" si="36"/>
        <v>23.631865286951573</v>
      </c>
      <c r="C138" s="18">
        <f t="shared" si="50"/>
        <v>1.6814488036070034</v>
      </c>
      <c r="D138" s="2">
        <f t="shared" si="29"/>
        <v>0.90300856494386728</v>
      </c>
      <c r="E138" s="18">
        <f t="shared" si="37"/>
        <v>1.6964989463560678</v>
      </c>
      <c r="F138" s="21">
        <f t="shared" si="30"/>
        <v>0.22305731322296821</v>
      </c>
      <c r="G138" s="1">
        <f t="shared" si="31"/>
        <v>0</v>
      </c>
      <c r="H138" s="2">
        <f t="shared" si="27"/>
        <v>54.812666126081105</v>
      </c>
      <c r="I138" s="19">
        <f t="shared" si="53"/>
        <v>23.728426894407406</v>
      </c>
      <c r="J138" s="20">
        <f t="shared" si="32"/>
        <v>0.93567255282387751</v>
      </c>
      <c r="K138" s="21">
        <f t="shared" si="33"/>
        <v>3.7292844325931247</v>
      </c>
      <c r="L138" s="21">
        <f t="shared" si="28"/>
        <v>0.16870386421914058</v>
      </c>
      <c r="M138" s="2">
        <f t="shared" si="38"/>
        <v>2.7851197111861414</v>
      </c>
      <c r="N138" s="19">
        <f t="shared" si="51"/>
        <v>261.64190419462125</v>
      </c>
      <c r="O138" s="1">
        <f t="shared" si="39"/>
        <v>112</v>
      </c>
      <c r="P138" s="19">
        <f t="shared" si="40"/>
        <v>41.044114113514453</v>
      </c>
      <c r="Q138" s="18">
        <f t="shared" si="41"/>
        <v>3.1716599705093724</v>
      </c>
      <c r="R138" s="2">
        <f t="shared" si="42"/>
        <v>0.91303395154388167</v>
      </c>
      <c r="S138" s="18">
        <f t="shared" si="43"/>
        <v>3.1868772030351038</v>
      </c>
      <c r="T138" s="18">
        <f t="shared" si="44"/>
        <v>0.77003078748258624</v>
      </c>
      <c r="U138" s="1">
        <f t="shared" si="34"/>
        <v>0</v>
      </c>
      <c r="V138" s="2">
        <f t="shared" si="45"/>
        <v>95.581934389700976</v>
      </c>
      <c r="W138" s="19">
        <f t="shared" si="46"/>
        <v>41.377460774762326</v>
      </c>
      <c r="X138" s="20"/>
      <c r="Y138" s="2">
        <f t="shared" si="47"/>
        <v>21.382377590740532</v>
      </c>
      <c r="Z138" s="21">
        <f t="shared" si="48"/>
        <v>0.59531729661526633</v>
      </c>
      <c r="AA138" s="2">
        <f t="shared" si="49"/>
        <v>16.387722047667509</v>
      </c>
      <c r="AB138" s="19">
        <f t="shared" si="52"/>
        <v>37.258645015783941</v>
      </c>
      <c r="AC138" s="2"/>
      <c r="AD138" s="18"/>
      <c r="AE138" s="118"/>
      <c r="AG138" s="2"/>
      <c r="AH138" s="19"/>
      <c r="AI138" s="20"/>
      <c r="AJ138" s="21"/>
      <c r="AK138" s="21"/>
      <c r="AM138" s="19"/>
      <c r="AN138" s="18"/>
      <c r="AO138" s="2"/>
      <c r="AP138" s="18"/>
      <c r="AQ138" s="118"/>
      <c r="AS138" s="2"/>
      <c r="AT138" s="19"/>
      <c r="AU138" s="20"/>
      <c r="AV138" s="21"/>
      <c r="AW138" s="21"/>
      <c r="AY138" s="19"/>
      <c r="AZ138" s="18"/>
      <c r="BA138" s="2"/>
      <c r="BB138" s="18"/>
      <c r="BC138" s="118"/>
      <c r="BE138" s="2"/>
      <c r="BF138" s="19"/>
      <c r="BG138" s="20"/>
      <c r="BH138" s="21"/>
      <c r="BI138" s="21"/>
      <c r="BK138" s="19"/>
      <c r="BL138" s="18"/>
      <c r="BM138" s="2"/>
      <c r="BN138" s="18"/>
      <c r="BO138" s="118"/>
      <c r="BQ138" s="2"/>
      <c r="BR138" s="19"/>
      <c r="BS138" s="20"/>
      <c r="BT138" s="21"/>
      <c r="BU138" s="21"/>
      <c r="BW138" s="19"/>
      <c r="BX138" s="18"/>
      <c r="BY138" s="2"/>
      <c r="BZ138" s="18"/>
      <c r="CA138" s="118"/>
      <c r="CC138" s="2"/>
      <c r="CD138" s="19"/>
      <c r="CE138" s="20"/>
      <c r="CF138" s="21"/>
      <c r="CG138" s="21"/>
      <c r="CI138" s="19"/>
      <c r="CJ138" s="18"/>
      <c r="CK138" s="2"/>
      <c r="CL138" s="18"/>
      <c r="CM138" s="118"/>
      <c r="CO138" s="2"/>
      <c r="CP138" s="19"/>
      <c r="CQ138" s="20"/>
      <c r="CR138" s="21"/>
      <c r="CS138" s="21"/>
    </row>
    <row r="139" spans="1:97" x14ac:dyDescent="0.25">
      <c r="A139" s="1">
        <f t="shared" si="35"/>
        <v>113</v>
      </c>
      <c r="B139" s="19">
        <f t="shared" si="36"/>
        <v>23.728426894407406</v>
      </c>
      <c r="C139" s="18">
        <f t="shared" si="50"/>
        <v>1.6964989463560678</v>
      </c>
      <c r="D139" s="2">
        <f t="shared" si="29"/>
        <v>0.90308221282999446</v>
      </c>
      <c r="E139" s="18">
        <f t="shared" si="37"/>
        <v>1.7115503165699011</v>
      </c>
      <c r="F139" s="21">
        <f t="shared" si="30"/>
        <v>0.22696053426102297</v>
      </c>
      <c r="G139" s="1">
        <f t="shared" si="31"/>
        <v>0</v>
      </c>
      <c r="H139" s="2">
        <f t="shared" si="27"/>
        <v>55.039626660342137</v>
      </c>
      <c r="I139" s="19">
        <f t="shared" si="53"/>
        <v>23.826678207940319</v>
      </c>
      <c r="J139" s="20">
        <f t="shared" si="32"/>
        <v>0.93565172142258624</v>
      </c>
      <c r="K139" s="21">
        <f t="shared" si="33"/>
        <v>3.8275583439281475</v>
      </c>
      <c r="L139" s="21">
        <f t="shared" si="28"/>
        <v>0.17171063100203102</v>
      </c>
      <c r="M139" s="2">
        <f t="shared" si="38"/>
        <v>2.859453317680527</v>
      </c>
      <c r="N139" s="19">
        <f t="shared" si="51"/>
        <v>262.07839964749371</v>
      </c>
      <c r="O139" s="1">
        <f t="shared" si="39"/>
        <v>113</v>
      </c>
      <c r="P139" s="19">
        <f t="shared" si="40"/>
        <v>41.377460774762326</v>
      </c>
      <c r="Q139" s="18">
        <f t="shared" si="41"/>
        <v>3.1868772030351038</v>
      </c>
      <c r="R139" s="2">
        <f t="shared" si="42"/>
        <v>0.91318167165223219</v>
      </c>
      <c r="S139" s="18">
        <f t="shared" si="43"/>
        <v>3.2020968975626412</v>
      </c>
      <c r="T139" s="18">
        <f t="shared" si="44"/>
        <v>0.77727895174074157</v>
      </c>
      <c r="U139" s="1">
        <f t="shared" si="34"/>
        <v>0</v>
      </c>
      <c r="V139" s="2">
        <f t="shared" si="45"/>
        <v>96.359213341441716</v>
      </c>
      <c r="W139" s="19">
        <f t="shared" si="46"/>
        <v>41.713945169455286</v>
      </c>
      <c r="X139" s="20"/>
      <c r="Y139" s="2">
        <f t="shared" si="47"/>
        <v>21.718939376844272</v>
      </c>
      <c r="Z139" s="21">
        <f t="shared" si="48"/>
        <v>0.60101703477819113</v>
      </c>
      <c r="AA139" s="2">
        <f t="shared" si="49"/>
        <v>16.647902582203521</v>
      </c>
      <c r="AB139" s="19">
        <f t="shared" si="52"/>
        <v>37.491008558120036</v>
      </c>
      <c r="AC139" s="2"/>
      <c r="AD139" s="18"/>
      <c r="AE139" s="118"/>
      <c r="AG139" s="2"/>
      <c r="AH139" s="19"/>
      <c r="AI139" s="20"/>
      <c r="AJ139" s="21"/>
      <c r="AK139" s="21"/>
      <c r="AM139" s="19"/>
      <c r="AN139" s="18"/>
      <c r="AO139" s="2"/>
      <c r="AP139" s="18"/>
      <c r="AQ139" s="118"/>
      <c r="AS139" s="2"/>
      <c r="AT139" s="19"/>
      <c r="AU139" s="20"/>
      <c r="AV139" s="21"/>
      <c r="AW139" s="21"/>
      <c r="AY139" s="19"/>
      <c r="AZ139" s="18"/>
      <c r="BA139" s="2"/>
      <c r="BB139" s="18"/>
      <c r="BC139" s="118"/>
      <c r="BE139" s="2"/>
      <c r="BF139" s="19"/>
      <c r="BG139" s="20"/>
      <c r="BH139" s="21"/>
      <c r="BI139" s="21"/>
      <c r="BK139" s="19"/>
      <c r="BL139" s="18"/>
      <c r="BM139" s="2"/>
      <c r="BN139" s="18"/>
      <c r="BO139" s="118"/>
      <c r="BQ139" s="2"/>
      <c r="BR139" s="19"/>
      <c r="BS139" s="20"/>
      <c r="BT139" s="21"/>
      <c r="BU139" s="21"/>
      <c r="BW139" s="19"/>
      <c r="BX139" s="18"/>
      <c r="BY139" s="2"/>
      <c r="BZ139" s="18"/>
      <c r="CA139" s="118"/>
      <c r="CC139" s="2"/>
      <c r="CD139" s="19"/>
      <c r="CE139" s="20"/>
      <c r="CF139" s="21"/>
      <c r="CG139" s="21"/>
      <c r="CI139" s="19"/>
      <c r="CJ139" s="18"/>
      <c r="CK139" s="2"/>
      <c r="CL139" s="18"/>
      <c r="CM139" s="118"/>
      <c r="CO139" s="2"/>
      <c r="CP139" s="19"/>
      <c r="CQ139" s="20"/>
      <c r="CR139" s="21"/>
      <c r="CS139" s="21"/>
    </row>
    <row r="140" spans="1:97" x14ac:dyDescent="0.25">
      <c r="A140" s="1">
        <f t="shared" si="35"/>
        <v>114</v>
      </c>
      <c r="B140" s="19">
        <f t="shared" si="36"/>
        <v>23.826678207940319</v>
      </c>
      <c r="C140" s="18">
        <f t="shared" si="50"/>
        <v>1.7115503165699011</v>
      </c>
      <c r="D140" s="2">
        <f t="shared" si="29"/>
        <v>0.90315684860773748</v>
      </c>
      <c r="E140" s="18">
        <f t="shared" si="37"/>
        <v>1.7266029307133635</v>
      </c>
      <c r="F140" s="21">
        <f t="shared" si="30"/>
        <v>0.23089738223586737</v>
      </c>
      <c r="G140" s="1">
        <f t="shared" si="31"/>
        <v>0</v>
      </c>
      <c r="H140" s="2">
        <f t="shared" si="27"/>
        <v>55.270524042578003</v>
      </c>
      <c r="I140" s="19">
        <f t="shared" si="53"/>
        <v>23.926633784665803</v>
      </c>
      <c r="J140" s="20">
        <f t="shared" si="32"/>
        <v>0.93563057913527081</v>
      </c>
      <c r="K140" s="21">
        <f t="shared" si="33"/>
        <v>3.9275369104362783</v>
      </c>
      <c r="L140" s="21">
        <f t="shared" si="28"/>
        <v>0.17474420785153333</v>
      </c>
      <c r="M140" s="2">
        <f t="shared" si="38"/>
        <v>2.9351001609062992</v>
      </c>
      <c r="N140" s="19">
        <f t="shared" si="51"/>
        <v>262.51105656018763</v>
      </c>
      <c r="O140" s="1">
        <f t="shared" si="39"/>
        <v>114</v>
      </c>
      <c r="P140" s="19">
        <f t="shared" si="40"/>
        <v>41.713945169455286</v>
      </c>
      <c r="Q140" s="18">
        <f t="shared" si="41"/>
        <v>3.2020968975626412</v>
      </c>
      <c r="R140" s="2">
        <f t="shared" si="42"/>
        <v>0.91332960413509434</v>
      </c>
      <c r="S140" s="18">
        <f t="shared" si="43"/>
        <v>3.2173190576315593</v>
      </c>
      <c r="T140" s="18">
        <f t="shared" si="44"/>
        <v>0.78456173714106792</v>
      </c>
      <c r="U140" s="1">
        <f t="shared" si="34"/>
        <v>0</v>
      </c>
      <c r="V140" s="2">
        <f t="shared" si="45"/>
        <v>97.143775078582777</v>
      </c>
      <c r="W140" s="19">
        <f t="shared" si="46"/>
        <v>42.053582285100767</v>
      </c>
      <c r="X140" s="20"/>
      <c r="Y140" s="2">
        <f t="shared" si="47"/>
        <v>22.058654609026355</v>
      </c>
      <c r="Z140" s="21">
        <f t="shared" si="48"/>
        <v>0.60674485849849125</v>
      </c>
      <c r="AA140" s="2">
        <f t="shared" si="49"/>
        <v>16.910562694107629</v>
      </c>
      <c r="AB140" s="19">
        <f t="shared" si="52"/>
        <v>37.722267667252886</v>
      </c>
      <c r="AC140" s="2"/>
      <c r="AD140" s="18"/>
      <c r="AE140" s="118"/>
      <c r="AG140" s="2"/>
      <c r="AH140" s="19"/>
      <c r="AI140" s="20"/>
      <c r="AJ140" s="21"/>
      <c r="AK140" s="21"/>
      <c r="AM140" s="19"/>
      <c r="AN140" s="18"/>
      <c r="AO140" s="2"/>
      <c r="AP140" s="18"/>
      <c r="AQ140" s="118"/>
      <c r="AS140" s="2"/>
      <c r="AT140" s="19"/>
      <c r="AU140" s="20"/>
      <c r="AV140" s="21"/>
      <c r="AW140" s="21"/>
      <c r="AY140" s="19"/>
      <c r="AZ140" s="18"/>
      <c r="BA140" s="2"/>
      <c r="BB140" s="18"/>
      <c r="BC140" s="118"/>
      <c r="BE140" s="2"/>
      <c r="BF140" s="19"/>
      <c r="BG140" s="20"/>
      <c r="BH140" s="21"/>
      <c r="BI140" s="21"/>
      <c r="BK140" s="19"/>
      <c r="BL140" s="18"/>
      <c r="BM140" s="2"/>
      <c r="BN140" s="18"/>
      <c r="BO140" s="118"/>
      <c r="BQ140" s="2"/>
      <c r="BR140" s="19"/>
      <c r="BS140" s="20"/>
      <c r="BT140" s="21"/>
      <c r="BU140" s="21"/>
      <c r="BW140" s="19"/>
      <c r="BX140" s="18"/>
      <c r="BY140" s="2"/>
      <c r="BZ140" s="18"/>
      <c r="CA140" s="118"/>
      <c r="CC140" s="2"/>
      <c r="CD140" s="19"/>
      <c r="CE140" s="20"/>
      <c r="CF140" s="21"/>
      <c r="CG140" s="21"/>
      <c r="CI140" s="19"/>
      <c r="CJ140" s="18"/>
      <c r="CK140" s="2"/>
      <c r="CL140" s="18"/>
      <c r="CM140" s="118"/>
      <c r="CO140" s="2"/>
      <c r="CP140" s="19"/>
      <c r="CQ140" s="20"/>
      <c r="CR140" s="21"/>
      <c r="CS140" s="21"/>
    </row>
    <row r="141" spans="1:97" x14ac:dyDescent="0.25">
      <c r="A141" s="1">
        <f t="shared" si="35"/>
        <v>115</v>
      </c>
      <c r="B141" s="19">
        <f t="shared" si="36"/>
        <v>23.926633784665803</v>
      </c>
      <c r="C141" s="18">
        <f t="shared" si="50"/>
        <v>1.7266029307133635</v>
      </c>
      <c r="D141" s="2">
        <f t="shared" si="29"/>
        <v>0.90323247014777497</v>
      </c>
      <c r="E141" s="18">
        <f t="shared" si="37"/>
        <v>1.7416568052158263</v>
      </c>
      <c r="F141" s="21">
        <f t="shared" si="30"/>
        <v>0.23486786102189788</v>
      </c>
      <c r="G141" s="1">
        <f t="shared" si="31"/>
        <v>0</v>
      </c>
      <c r="H141" s="2">
        <f t="shared" si="27"/>
        <v>55.5053919035999</v>
      </c>
      <c r="I141" s="19">
        <f t="shared" si="53"/>
        <v>24.028308183376581</v>
      </c>
      <c r="J141" s="20">
        <f t="shared" si="32"/>
        <v>0.93560912524214035</v>
      </c>
      <c r="K141" s="21">
        <f t="shared" si="33"/>
        <v>4.0292346942587605</v>
      </c>
      <c r="L141" s="21">
        <f t="shared" si="28"/>
        <v>0.17780460470749418</v>
      </c>
      <c r="M141" s="2">
        <f t="shared" si="38"/>
        <v>3.0120718512558637</v>
      </c>
      <c r="N141" s="19">
        <f t="shared" si="51"/>
        <v>262.93994154741597</v>
      </c>
      <c r="O141" s="1">
        <f t="shared" si="39"/>
        <v>115</v>
      </c>
      <c r="P141" s="19">
        <f t="shared" si="40"/>
        <v>42.053582285100767</v>
      </c>
      <c r="Q141" s="18">
        <f t="shared" si="41"/>
        <v>3.2173190576315593</v>
      </c>
      <c r="R141" s="2">
        <f t="shared" si="42"/>
        <v>0.91347774148500283</v>
      </c>
      <c r="S141" s="18">
        <f t="shared" si="43"/>
        <v>3.2325436866563093</v>
      </c>
      <c r="T141" s="18">
        <f t="shared" si="44"/>
        <v>0.791879157170848</v>
      </c>
      <c r="U141" s="1">
        <f t="shared" si="34"/>
        <v>0</v>
      </c>
      <c r="V141" s="2">
        <f t="shared" si="45"/>
        <v>97.935654235753631</v>
      </c>
      <c r="W141" s="19">
        <f t="shared" si="46"/>
        <v>42.39638711504486</v>
      </c>
      <c r="X141" s="20"/>
      <c r="Y141" s="2">
        <f t="shared" si="47"/>
        <v>22.401538284081333</v>
      </c>
      <c r="Z141" s="21">
        <f t="shared" si="48"/>
        <v>0.61250078226960947</v>
      </c>
      <c r="AA141" s="2">
        <f t="shared" si="49"/>
        <v>17.175714547903997</v>
      </c>
      <c r="AB141" s="19">
        <f t="shared" si="52"/>
        <v>37.952432615964106</v>
      </c>
      <c r="AC141" s="2"/>
      <c r="AD141" s="18"/>
      <c r="AE141" s="118"/>
      <c r="AG141" s="2"/>
      <c r="AH141" s="19"/>
      <c r="AI141" s="20"/>
      <c r="AJ141" s="21"/>
      <c r="AK141" s="21"/>
      <c r="AM141" s="19"/>
      <c r="AN141" s="18"/>
      <c r="AO141" s="2"/>
      <c r="AP141" s="18"/>
      <c r="AQ141" s="118"/>
      <c r="AS141" s="2"/>
      <c r="AT141" s="19"/>
      <c r="AU141" s="20"/>
      <c r="AV141" s="21"/>
      <c r="AW141" s="21"/>
      <c r="AY141" s="19"/>
      <c r="AZ141" s="18"/>
      <c r="BA141" s="2"/>
      <c r="BB141" s="18"/>
      <c r="BC141" s="118"/>
      <c r="BE141" s="2"/>
      <c r="BF141" s="19"/>
      <c r="BG141" s="20"/>
      <c r="BH141" s="21"/>
      <c r="BI141" s="21"/>
      <c r="BK141" s="19"/>
      <c r="BL141" s="18"/>
      <c r="BM141" s="2"/>
      <c r="BN141" s="18"/>
      <c r="BO141" s="118"/>
      <c r="BQ141" s="2"/>
      <c r="BR141" s="19"/>
      <c r="BS141" s="20"/>
      <c r="BT141" s="21"/>
      <c r="BU141" s="21"/>
      <c r="BW141" s="19"/>
      <c r="BX141" s="18"/>
      <c r="BY141" s="2"/>
      <c r="BZ141" s="18"/>
      <c r="CA141" s="118"/>
      <c r="CC141" s="2"/>
      <c r="CD141" s="19"/>
      <c r="CE141" s="20"/>
      <c r="CF141" s="21"/>
      <c r="CG141" s="21"/>
      <c r="CI141" s="19"/>
      <c r="CJ141" s="18"/>
      <c r="CK141" s="2"/>
      <c r="CL141" s="18"/>
      <c r="CM141" s="118"/>
      <c r="CO141" s="2"/>
      <c r="CP141" s="19"/>
      <c r="CQ141" s="20"/>
      <c r="CR141" s="21"/>
      <c r="CS141" s="21"/>
    </row>
    <row r="142" spans="1:97" x14ac:dyDescent="0.25">
      <c r="A142" s="1">
        <f t="shared" si="35"/>
        <v>116</v>
      </c>
      <c r="B142" s="19">
        <f t="shared" si="36"/>
        <v>24.028308183376581</v>
      </c>
      <c r="C142" s="18">
        <f t="shared" si="50"/>
        <v>1.7416568052158263</v>
      </c>
      <c r="D142" s="2">
        <f t="shared" si="29"/>
        <v>0.90330907509939862</v>
      </c>
      <c r="E142" s="18">
        <f t="shared" si="37"/>
        <v>1.7567119564674829</v>
      </c>
      <c r="F142" s="21">
        <f t="shared" si="30"/>
        <v>0.23887197471174354</v>
      </c>
      <c r="G142" s="1">
        <f t="shared" si="31"/>
        <v>0</v>
      </c>
      <c r="H142" s="2">
        <f t="shared" si="27"/>
        <v>55.744263878311642</v>
      </c>
      <c r="I142" s="19">
        <f t="shared" si="53"/>
        <v>24.131715964637074</v>
      </c>
      <c r="J142" s="20">
        <f t="shared" si="32"/>
        <v>0.93558735907107882</v>
      </c>
      <c r="K142" s="21">
        <f t="shared" si="33"/>
        <v>4.1326662593089454</v>
      </c>
      <c r="L142" s="21">
        <f t="shared" si="28"/>
        <v>0.18089183161822406</v>
      </c>
      <c r="M142" s="2">
        <f t="shared" si="38"/>
        <v>3.090380003471545</v>
      </c>
      <c r="N142" s="19">
        <f t="shared" si="51"/>
        <v>263.36511950077033</v>
      </c>
      <c r="O142" s="1">
        <f t="shared" si="39"/>
        <v>116</v>
      </c>
      <c r="P142" s="19">
        <f t="shared" si="40"/>
        <v>42.39638711504486</v>
      </c>
      <c r="Q142" s="18">
        <f t="shared" si="41"/>
        <v>3.2325436866563093</v>
      </c>
      <c r="R142" s="2">
        <f t="shared" si="42"/>
        <v>0.91362607628177017</v>
      </c>
      <c r="S142" s="18">
        <f t="shared" si="43"/>
        <v>3.247770787927672</v>
      </c>
      <c r="T142" s="18">
        <f t="shared" si="44"/>
        <v>0.79923122530978485</v>
      </c>
      <c r="U142" s="1">
        <f t="shared" si="34"/>
        <v>0</v>
      </c>
      <c r="V142" s="2">
        <f t="shared" si="45"/>
        <v>98.734885461063413</v>
      </c>
      <c r="W142" s="19">
        <f t="shared" si="46"/>
        <v>42.742374658469011</v>
      </c>
      <c r="X142" s="20"/>
      <c r="Y142" s="2">
        <f t="shared" si="47"/>
        <v>22.747605404640471</v>
      </c>
      <c r="Z142" s="21">
        <f t="shared" si="48"/>
        <v>0.61828482056442113</v>
      </c>
      <c r="AA142" s="2">
        <f t="shared" si="49"/>
        <v>17.443370314382101</v>
      </c>
      <c r="AB142" s="19">
        <f t="shared" si="52"/>
        <v>38.181513534172318</v>
      </c>
      <c r="AC142" s="2"/>
      <c r="AD142" s="18"/>
      <c r="AE142" s="118"/>
      <c r="AG142" s="2"/>
      <c r="AH142" s="19"/>
      <c r="AI142" s="20"/>
      <c r="AJ142" s="21"/>
      <c r="AK142" s="21"/>
      <c r="AM142" s="19"/>
      <c r="AN142" s="18"/>
      <c r="AO142" s="2"/>
      <c r="AP142" s="18"/>
      <c r="AQ142" s="118"/>
      <c r="AS142" s="2"/>
      <c r="AT142" s="19"/>
      <c r="AU142" s="20"/>
      <c r="AV142" s="21"/>
      <c r="AW142" s="21"/>
      <c r="AY142" s="19"/>
      <c r="AZ142" s="18"/>
      <c r="BA142" s="2"/>
      <c r="BB142" s="18"/>
      <c r="BC142" s="118"/>
      <c r="BE142" s="2"/>
      <c r="BF142" s="19"/>
      <c r="BG142" s="20"/>
      <c r="BH142" s="21"/>
      <c r="BI142" s="21"/>
      <c r="BK142" s="19"/>
      <c r="BL142" s="18"/>
      <c r="BM142" s="2"/>
      <c r="BN142" s="18"/>
      <c r="BO142" s="118"/>
      <c r="BQ142" s="2"/>
      <c r="BR142" s="19"/>
      <c r="BS142" s="20"/>
      <c r="BT142" s="21"/>
      <c r="BU142" s="21"/>
      <c r="BW142" s="19"/>
      <c r="BX142" s="18"/>
      <c r="BY142" s="2"/>
      <c r="BZ142" s="18"/>
      <c r="CA142" s="118"/>
      <c r="CC142" s="2"/>
      <c r="CD142" s="19"/>
      <c r="CE142" s="20"/>
      <c r="CF142" s="21"/>
      <c r="CG142" s="21"/>
      <c r="CI142" s="19"/>
      <c r="CJ142" s="18"/>
      <c r="CK142" s="2"/>
      <c r="CL142" s="18"/>
      <c r="CM142" s="118"/>
      <c r="CO142" s="2"/>
      <c r="CP142" s="19"/>
      <c r="CQ142" s="20"/>
      <c r="CR142" s="21"/>
      <c r="CS142" s="21"/>
    </row>
    <row r="143" spans="1:97" x14ac:dyDescent="0.25">
      <c r="A143" s="1">
        <f t="shared" si="35"/>
        <v>117</v>
      </c>
      <c r="B143" s="19">
        <f t="shared" si="36"/>
        <v>24.131715964637074</v>
      </c>
      <c r="C143" s="18">
        <f t="shared" si="50"/>
        <v>1.7567119564674829</v>
      </c>
      <c r="D143" s="2">
        <f t="shared" si="29"/>
        <v>0.90338666089291686</v>
      </c>
      <c r="E143" s="18">
        <f t="shared" si="37"/>
        <v>1.7717684008156982</v>
      </c>
      <c r="F143" s="21">
        <f t="shared" si="30"/>
        <v>0.24290972761325064</v>
      </c>
      <c r="G143" s="1">
        <f t="shared" si="31"/>
        <v>0</v>
      </c>
      <c r="H143" s="2">
        <f t="shared" si="27"/>
        <v>55.987173605924895</v>
      </c>
      <c r="I143" s="19">
        <f t="shared" si="53"/>
        <v>24.236871690876576</v>
      </c>
      <c r="J143" s="20">
        <f t="shared" si="32"/>
        <v>0.93556527999757833</v>
      </c>
      <c r="K143" s="21">
        <f t="shared" si="33"/>
        <v>4.2378461713654829</v>
      </c>
      <c r="L143" s="21">
        <f t="shared" si="28"/>
        <v>0.18400589873941781</v>
      </c>
      <c r="M143" s="2">
        <f t="shared" si="38"/>
        <v>3.1700362366920722</v>
      </c>
      <c r="N143" s="19">
        <f t="shared" si="51"/>
        <v>263.7866536476526</v>
      </c>
      <c r="O143" s="1">
        <f t="shared" si="39"/>
        <v>117</v>
      </c>
      <c r="P143" s="19">
        <f t="shared" si="40"/>
        <v>42.742374658469011</v>
      </c>
      <c r="Q143" s="18">
        <f t="shared" si="41"/>
        <v>3.247770787927672</v>
      </c>
      <c r="R143" s="2">
        <f t="shared" si="42"/>
        <v>0.91377460119268095</v>
      </c>
      <c r="S143" s="18">
        <f t="shared" si="43"/>
        <v>3.2630003646142169</v>
      </c>
      <c r="T143" s="18">
        <f t="shared" si="44"/>
        <v>0.80661795502914668</v>
      </c>
      <c r="U143" s="1">
        <f t="shared" si="34"/>
        <v>0</v>
      </c>
      <c r="V143" s="2">
        <f t="shared" si="45"/>
        <v>99.541503416092567</v>
      </c>
      <c r="W143" s="19">
        <f t="shared" si="46"/>
        <v>43.091559920386395</v>
      </c>
      <c r="X143" s="20"/>
      <c r="Y143" s="2">
        <f t="shared" si="47"/>
        <v>23.096870979168092</v>
      </c>
      <c r="Z143" s="21">
        <f t="shared" si="48"/>
        <v>0.62409698783469614</v>
      </c>
      <c r="AA143" s="2">
        <f t="shared" si="49"/>
        <v>17.713542170587598</v>
      </c>
      <c r="AB143" s="19">
        <f t="shared" si="52"/>
        <v>38.409520411578804</v>
      </c>
      <c r="AC143" s="2"/>
      <c r="AD143" s="18"/>
      <c r="AE143" s="118"/>
      <c r="AG143" s="2"/>
      <c r="AH143" s="19"/>
      <c r="AI143" s="20"/>
      <c r="AJ143" s="21"/>
      <c r="AK143" s="21"/>
      <c r="AM143" s="19"/>
      <c r="AN143" s="18"/>
      <c r="AO143" s="2"/>
      <c r="AP143" s="18"/>
      <c r="AQ143" s="118"/>
      <c r="AS143" s="2"/>
      <c r="AT143" s="19"/>
      <c r="AU143" s="20"/>
      <c r="AV143" s="21"/>
      <c r="AW143" s="21"/>
      <c r="AY143" s="19"/>
      <c r="AZ143" s="18"/>
      <c r="BA143" s="2"/>
      <c r="BB143" s="18"/>
      <c r="BC143" s="118"/>
      <c r="BE143" s="2"/>
      <c r="BF143" s="19"/>
      <c r="BG143" s="20"/>
      <c r="BH143" s="21"/>
      <c r="BI143" s="21"/>
      <c r="BK143" s="19"/>
      <c r="BL143" s="18"/>
      <c r="BM143" s="2"/>
      <c r="BN143" s="18"/>
      <c r="BO143" s="118"/>
      <c r="BQ143" s="2"/>
      <c r="BR143" s="19"/>
      <c r="BS143" s="20"/>
      <c r="BT143" s="21"/>
      <c r="BU143" s="21"/>
      <c r="BW143" s="19"/>
      <c r="BX143" s="18"/>
      <c r="BY143" s="2"/>
      <c r="BZ143" s="18"/>
      <c r="CA143" s="118"/>
      <c r="CC143" s="2"/>
      <c r="CD143" s="19"/>
      <c r="CE143" s="20"/>
      <c r="CF143" s="21"/>
      <c r="CG143" s="21"/>
      <c r="CI143" s="19"/>
      <c r="CJ143" s="18"/>
      <c r="CK143" s="2"/>
      <c r="CL143" s="18"/>
      <c r="CM143" s="118"/>
      <c r="CO143" s="2"/>
      <c r="CP143" s="19"/>
      <c r="CQ143" s="20"/>
      <c r="CR143" s="21"/>
      <c r="CS143" s="21"/>
    </row>
    <row r="144" spans="1:97" x14ac:dyDescent="0.25">
      <c r="A144" s="1">
        <f t="shared" si="35"/>
        <v>118</v>
      </c>
      <c r="B144" s="19">
        <f t="shared" si="36"/>
        <v>24.236871690876576</v>
      </c>
      <c r="C144" s="18">
        <f t="shared" si="50"/>
        <v>1.7717684008156982</v>
      </c>
      <c r="D144" s="2">
        <f t="shared" si="29"/>
        <v>0.90346522474217428</v>
      </c>
      <c r="E144" s="18">
        <f t="shared" si="37"/>
        <v>1.786826154561401</v>
      </c>
      <c r="F144" s="21">
        <f t="shared" si="30"/>
        <v>0.24698112424647375</v>
      </c>
      <c r="G144" s="1">
        <f t="shared" si="31"/>
        <v>0</v>
      </c>
      <c r="H144" s="2">
        <f t="shared" si="27"/>
        <v>56.234154730171369</v>
      </c>
      <c r="I144" s="19">
        <f t="shared" si="53"/>
        <v>24.343789926481112</v>
      </c>
      <c r="J144" s="20">
        <f t="shared" si="32"/>
        <v>0.93554288744465364</v>
      </c>
      <c r="K144" s="21">
        <f t="shared" si="33"/>
        <v>4.3447889981642058</v>
      </c>
      <c r="L144" s="21">
        <f t="shared" si="28"/>
        <v>0.18714681633304539</v>
      </c>
      <c r="M144" s="2">
        <f t="shared" si="38"/>
        <v>3.2510521744985854</v>
      </c>
      <c r="N144" s="19">
        <f t="shared" si="51"/>
        <v>264.20460560770925</v>
      </c>
      <c r="O144" s="1">
        <f t="shared" si="39"/>
        <v>118</v>
      </c>
      <c r="P144" s="19">
        <f t="shared" si="40"/>
        <v>43.091559920386395</v>
      </c>
      <c r="Q144" s="18">
        <f t="shared" si="41"/>
        <v>3.2630003646142169</v>
      </c>
      <c r="R144" s="2">
        <f t="shared" si="42"/>
        <v>0.9139233089726414</v>
      </c>
      <c r="S144" s="18">
        <f t="shared" si="43"/>
        <v>3.2782324197637611</v>
      </c>
      <c r="T144" s="18">
        <f t="shared" si="44"/>
        <v>0.81403935979094078</v>
      </c>
      <c r="U144" s="1">
        <f t="shared" si="34"/>
        <v>0</v>
      </c>
      <c r="V144" s="2">
        <f t="shared" si="45"/>
        <v>100.35554277588352</v>
      </c>
      <c r="W144" s="19">
        <f t="shared" si="46"/>
        <v>43.443957911637888</v>
      </c>
      <c r="X144" s="20"/>
      <c r="Y144" s="2">
        <f t="shared" si="47"/>
        <v>23.449350021957567</v>
      </c>
      <c r="Z144" s="21">
        <f t="shared" si="48"/>
        <v>0.62993729851058056</v>
      </c>
      <c r="AA144" s="2">
        <f t="shared" si="49"/>
        <v>17.986242299812957</v>
      </c>
      <c r="AB144" s="19">
        <f t="shared" si="52"/>
        <v>38.636463100252065</v>
      </c>
      <c r="AC144" s="2"/>
      <c r="AD144" s="18"/>
      <c r="AE144" s="118"/>
      <c r="AG144" s="2"/>
      <c r="AH144" s="19"/>
      <c r="AI144" s="20"/>
      <c r="AJ144" s="21"/>
      <c r="AK144" s="21"/>
      <c r="AM144" s="19"/>
      <c r="AN144" s="18"/>
      <c r="AO144" s="2"/>
      <c r="AP144" s="18"/>
      <c r="AQ144" s="118"/>
      <c r="AS144" s="2"/>
      <c r="AT144" s="19"/>
      <c r="AU144" s="20"/>
      <c r="AV144" s="21"/>
      <c r="AW144" s="21"/>
      <c r="AY144" s="19"/>
      <c r="AZ144" s="18"/>
      <c r="BA144" s="2"/>
      <c r="BB144" s="18"/>
      <c r="BC144" s="118"/>
      <c r="BE144" s="2"/>
      <c r="BF144" s="19"/>
      <c r="BG144" s="20"/>
      <c r="BH144" s="21"/>
      <c r="BI144" s="21"/>
      <c r="BK144" s="19"/>
      <c r="BL144" s="18"/>
      <c r="BM144" s="2"/>
      <c r="BN144" s="18"/>
      <c r="BO144" s="118"/>
      <c r="BQ144" s="2"/>
      <c r="BR144" s="19"/>
      <c r="BS144" s="20"/>
      <c r="BT144" s="21"/>
      <c r="BU144" s="21"/>
      <c r="BW144" s="19"/>
      <c r="BX144" s="18"/>
      <c r="BY144" s="2"/>
      <c r="BZ144" s="18"/>
      <c r="CA144" s="118"/>
      <c r="CC144" s="2"/>
      <c r="CD144" s="19"/>
      <c r="CE144" s="20"/>
      <c r="CF144" s="21"/>
      <c r="CG144" s="21"/>
      <c r="CI144" s="19"/>
      <c r="CJ144" s="18"/>
      <c r="CK144" s="2"/>
      <c r="CL144" s="18"/>
      <c r="CM144" s="118"/>
      <c r="CO144" s="2"/>
      <c r="CP144" s="19"/>
      <c r="CQ144" s="20"/>
      <c r="CR144" s="21"/>
      <c r="CS144" s="21"/>
    </row>
    <row r="145" spans="1:97" x14ac:dyDescent="0.25">
      <c r="A145" s="1">
        <f t="shared" si="35"/>
        <v>119</v>
      </c>
      <c r="B145" s="19">
        <f t="shared" si="36"/>
        <v>24.343789926481112</v>
      </c>
      <c r="C145" s="18">
        <f t="shared" si="50"/>
        <v>1.786826154561401</v>
      </c>
      <c r="D145" s="2">
        <f t="shared" si="29"/>
        <v>0.90354476364718717</v>
      </c>
      <c r="E145" s="18">
        <f t="shared" si="37"/>
        <v>1.8018852339555209</v>
      </c>
      <c r="F145" s="21">
        <f t="shared" si="30"/>
        <v>0.2510861693406734</v>
      </c>
      <c r="G145" s="1">
        <f t="shared" si="31"/>
        <v>0</v>
      </c>
      <c r="H145" s="2">
        <f t="shared" si="27"/>
        <v>56.485240899512043</v>
      </c>
      <c r="I145" s="19">
        <f t="shared" si="53"/>
        <v>24.452485237884002</v>
      </c>
      <c r="J145" s="20">
        <f t="shared" si="32"/>
        <v>0.93552018088273614</v>
      </c>
      <c r="K145" s="21">
        <f t="shared" si="33"/>
        <v>4.4535093094887177</v>
      </c>
      <c r="L145" s="21">
        <f t="shared" si="28"/>
        <v>0.19031459476621429</v>
      </c>
      <c r="M145" s="2">
        <f t="shared" si="38"/>
        <v>3.3334394449601499</v>
      </c>
      <c r="N145" s="19">
        <f t="shared" si="51"/>
        <v>264.61903544689477</v>
      </c>
      <c r="O145" s="1">
        <f t="shared" si="39"/>
        <v>119</v>
      </c>
      <c r="P145" s="19">
        <f t="shared" si="40"/>
        <v>43.443957911637888</v>
      </c>
      <c r="Q145" s="18">
        <f t="shared" si="41"/>
        <v>3.2782324197637611</v>
      </c>
      <c r="R145" s="2">
        <f t="shared" si="42"/>
        <v>0.91407219246428029</v>
      </c>
      <c r="S145" s="18">
        <f t="shared" si="43"/>
        <v>3.2934669563048327</v>
      </c>
      <c r="T145" s="18">
        <f t="shared" si="44"/>
        <v>0.82149545304710603</v>
      </c>
      <c r="U145" s="1">
        <f t="shared" si="34"/>
        <v>0</v>
      </c>
      <c r="V145" s="2">
        <f t="shared" si="45"/>
        <v>101.17703822893063</v>
      </c>
      <c r="W145" s="19">
        <f t="shared" si="46"/>
        <v>43.799583648887719</v>
      </c>
      <c r="X145" s="20"/>
      <c r="Y145" s="2">
        <f t="shared" si="47"/>
        <v>23.805057553126964</v>
      </c>
      <c r="Z145" s="21">
        <f t="shared" si="48"/>
        <v>0.63580576700009039</v>
      </c>
      <c r="AA145" s="2">
        <f t="shared" si="49"/>
        <v>18.261482891587889</v>
      </c>
      <c r="AB145" s="19">
        <f t="shared" si="52"/>
        <v>38.862351317153035</v>
      </c>
      <c r="AC145" s="2"/>
      <c r="AD145" s="18"/>
      <c r="AE145" s="118"/>
      <c r="AG145" s="2"/>
      <c r="AH145" s="19"/>
      <c r="AI145" s="20"/>
      <c r="AJ145" s="21"/>
      <c r="AK145" s="21"/>
      <c r="AM145" s="19"/>
      <c r="AN145" s="18"/>
      <c r="AO145" s="2"/>
      <c r="AP145" s="18"/>
      <c r="AQ145" s="118"/>
      <c r="AS145" s="2"/>
      <c r="AT145" s="19"/>
      <c r="AU145" s="20"/>
      <c r="AV145" s="21"/>
      <c r="AW145" s="21"/>
      <c r="AY145" s="19"/>
      <c r="AZ145" s="18"/>
      <c r="BA145" s="2"/>
      <c r="BB145" s="18"/>
      <c r="BC145" s="118"/>
      <c r="BE145" s="2"/>
      <c r="BF145" s="19"/>
      <c r="BG145" s="20"/>
      <c r="BH145" s="21"/>
      <c r="BI145" s="21"/>
      <c r="BK145" s="19"/>
      <c r="BL145" s="18"/>
      <c r="BM145" s="2"/>
      <c r="BN145" s="18"/>
      <c r="BO145" s="118"/>
      <c r="BQ145" s="2"/>
      <c r="BR145" s="19"/>
      <c r="BS145" s="20"/>
      <c r="BT145" s="21"/>
      <c r="BU145" s="21"/>
      <c r="BW145" s="19"/>
      <c r="BX145" s="18"/>
      <c r="BY145" s="2"/>
      <c r="BZ145" s="18"/>
      <c r="CA145" s="118"/>
      <c r="CC145" s="2"/>
      <c r="CD145" s="19"/>
      <c r="CE145" s="20"/>
      <c r="CF145" s="21"/>
      <c r="CG145" s="21"/>
      <c r="CI145" s="19"/>
      <c r="CJ145" s="18"/>
      <c r="CK145" s="2"/>
      <c r="CL145" s="18"/>
      <c r="CM145" s="118"/>
      <c r="CO145" s="2"/>
      <c r="CP145" s="19"/>
      <c r="CQ145" s="20"/>
      <c r="CR145" s="21"/>
      <c r="CS145" s="21"/>
    </row>
    <row r="146" spans="1:97" x14ac:dyDescent="0.25">
      <c r="A146" s="1">
        <f t="shared" si="35"/>
        <v>120</v>
      </c>
      <c r="B146" s="19">
        <f t="shared" si="36"/>
        <v>24.452485237884002</v>
      </c>
      <c r="C146" s="18">
        <f t="shared" si="50"/>
        <v>1.8018852339555209</v>
      </c>
      <c r="D146" s="2">
        <f t="shared" si="29"/>
        <v>0.90362527439688789</v>
      </c>
      <c r="E146" s="18">
        <f t="shared" si="37"/>
        <v>1.816945655195469</v>
      </c>
      <c r="F146" s="21">
        <f t="shared" si="30"/>
        <v>0.25522486783131948</v>
      </c>
      <c r="G146" s="1">
        <f t="shared" si="31"/>
        <v>0</v>
      </c>
      <c r="H146" s="2">
        <f t="shared" si="27"/>
        <v>56.740465767343359</v>
      </c>
      <c r="I146" s="19">
        <f t="shared" si="53"/>
        <v>24.562972193655135</v>
      </c>
      <c r="J146" s="20">
        <f t="shared" si="32"/>
        <v>0.93549715982954895</v>
      </c>
      <c r="K146" s="21">
        <f t="shared" si="33"/>
        <v>4.5640216772596789</v>
      </c>
      <c r="L146" s="21">
        <f t="shared" si="28"/>
        <v>0.19350924451000384</v>
      </c>
      <c r="M146" s="2">
        <f t="shared" si="38"/>
        <v>3.4172096806787664</v>
      </c>
      <c r="N146" s="19">
        <f t="shared" si="51"/>
        <v>265.03000172928216</v>
      </c>
      <c r="O146" s="1">
        <f t="shared" si="39"/>
        <v>120</v>
      </c>
      <c r="P146" s="19">
        <f t="shared" si="40"/>
        <v>43.799583648887719</v>
      </c>
      <c r="Q146" s="18">
        <f t="shared" si="41"/>
        <v>3.2934669563048327</v>
      </c>
      <c r="R146" s="2">
        <f t="shared" si="42"/>
        <v>0.91422124459800835</v>
      </c>
      <c r="S146" s="18">
        <f t="shared" si="43"/>
        <v>3.308703977048133</v>
      </c>
      <c r="T146" s="18">
        <f t="shared" si="44"/>
        <v>0.82898624823873157</v>
      </c>
      <c r="U146" s="1">
        <f t="shared" si="34"/>
        <v>0</v>
      </c>
      <c r="V146" s="2">
        <f t="shared" si="45"/>
        <v>102.00602447716936</v>
      </c>
      <c r="W146" s="19">
        <f t="shared" si="46"/>
        <v>44.158452154618772</v>
      </c>
      <c r="X146" s="20"/>
      <c r="Y146" s="2">
        <f t="shared" si="47"/>
        <v>24.164008598614334</v>
      </c>
      <c r="Z146" s="21">
        <f t="shared" si="48"/>
        <v>0.64170240768862374</v>
      </c>
      <c r="AA146" s="2">
        <f t="shared" si="49"/>
        <v>18.539276141669543</v>
      </c>
      <c r="AB146" s="19">
        <f t="shared" si="52"/>
        <v>39.087194646602505</v>
      </c>
      <c r="AC146" s="2"/>
      <c r="AD146" s="18"/>
      <c r="AE146" s="118"/>
      <c r="AG146" s="2"/>
      <c r="AH146" s="19"/>
      <c r="AI146" s="20"/>
      <c r="AJ146" s="21"/>
      <c r="AK146" s="21"/>
      <c r="AM146" s="19"/>
      <c r="AN146" s="18"/>
      <c r="AO146" s="2"/>
      <c r="AP146" s="18"/>
      <c r="AQ146" s="118"/>
      <c r="AS146" s="2"/>
      <c r="AT146" s="19"/>
      <c r="AU146" s="20"/>
      <c r="AV146" s="21"/>
      <c r="AW146" s="21"/>
      <c r="AY146" s="19"/>
      <c r="AZ146" s="18"/>
      <c r="BA146" s="2"/>
      <c r="BB146" s="18"/>
      <c r="BC146" s="118"/>
      <c r="BE146" s="2"/>
      <c r="BF146" s="19"/>
      <c r="BG146" s="20"/>
      <c r="BH146" s="21"/>
      <c r="BI146" s="21"/>
      <c r="BK146" s="19"/>
      <c r="BL146" s="18"/>
      <c r="BM146" s="2"/>
      <c r="BN146" s="18"/>
      <c r="BO146" s="118"/>
      <c r="BQ146" s="2"/>
      <c r="BR146" s="19"/>
      <c r="BS146" s="20"/>
      <c r="BT146" s="21"/>
      <c r="BU146" s="21"/>
      <c r="BW146" s="19"/>
      <c r="BX146" s="18"/>
      <c r="BY146" s="2"/>
      <c r="BZ146" s="18"/>
      <c r="CA146" s="118"/>
      <c r="CC146" s="2"/>
      <c r="CD146" s="19"/>
      <c r="CE146" s="20"/>
      <c r="CF146" s="21"/>
      <c r="CG146" s="21"/>
      <c r="CI146" s="19"/>
      <c r="CJ146" s="18"/>
      <c r="CK146" s="2"/>
      <c r="CL146" s="18"/>
      <c r="CM146" s="118"/>
      <c r="CO146" s="2"/>
      <c r="CP146" s="19"/>
      <c r="CQ146" s="20"/>
      <c r="CR146" s="21"/>
      <c r="CS146" s="21"/>
    </row>
    <row r="147" spans="1:97" x14ac:dyDescent="0.25">
      <c r="A147" s="1">
        <f t="shared" si="35"/>
        <v>121</v>
      </c>
      <c r="B147" s="19">
        <f t="shared" si="36"/>
        <v>24.562972193655135</v>
      </c>
      <c r="C147" s="18">
        <f t="shared" si="50"/>
        <v>1.816945655195469</v>
      </c>
      <c r="D147" s="2">
        <f t="shared" si="29"/>
        <v>0.90370675357197883</v>
      </c>
      <c r="E147" s="18">
        <f t="shared" si="37"/>
        <v>1.8320074344216686</v>
      </c>
      <c r="F147" s="21">
        <f t="shared" si="30"/>
        <v>0.25939722485710071</v>
      </c>
      <c r="G147" s="1">
        <f t="shared" si="31"/>
        <v>0</v>
      </c>
      <c r="H147" s="2">
        <f t="shared" si="27"/>
        <v>56.99986299220047</v>
      </c>
      <c r="I147" s="19">
        <f t="shared" si="53"/>
        <v>24.675265364588949</v>
      </c>
      <c r="J147" s="20">
        <f t="shared" si="32"/>
        <v>0.93547382384996391</v>
      </c>
      <c r="K147" s="21">
        <f t="shared" si="33"/>
        <v>4.6763406756228036</v>
      </c>
      <c r="L147" s="21">
        <f t="shared" si="28"/>
        <v>0.19673077613827269</v>
      </c>
      <c r="M147" s="2">
        <f t="shared" si="38"/>
        <v>3.5023745188338626</v>
      </c>
      <c r="N147" s="19">
        <f t="shared" si="51"/>
        <v>265.43756156673243</v>
      </c>
      <c r="O147" s="1">
        <f t="shared" si="39"/>
        <v>121</v>
      </c>
      <c r="P147" s="19">
        <f t="shared" si="40"/>
        <v>44.158452154618772</v>
      </c>
      <c r="Q147" s="18">
        <f t="shared" si="41"/>
        <v>3.308703977048133</v>
      </c>
      <c r="R147" s="2">
        <f t="shared" si="42"/>
        <v>0.91437045839203634</v>
      </c>
      <c r="S147" s="18">
        <f t="shared" si="43"/>
        <v>3.3239434846880003</v>
      </c>
      <c r="T147" s="18">
        <f t="shared" si="44"/>
        <v>0.83651175879529394</v>
      </c>
      <c r="U147" s="1">
        <f t="shared" si="34"/>
        <v>0</v>
      </c>
      <c r="V147" s="2">
        <f t="shared" si="45"/>
        <v>102.84253623596466</v>
      </c>
      <c r="W147" s="19">
        <f t="shared" si="46"/>
        <v>44.520578457127556</v>
      </c>
      <c r="X147" s="20"/>
      <c r="Y147" s="2">
        <f t="shared" si="47"/>
        <v>24.526218190172695</v>
      </c>
      <c r="Z147" s="21">
        <f t="shared" si="48"/>
        <v>0.64762723493848617</v>
      </c>
      <c r="AA147" s="2">
        <f t="shared" si="49"/>
        <v>18.819634252032525</v>
      </c>
      <c r="AB147" s="19">
        <f t="shared" si="52"/>
        <v>39.311002542692393</v>
      </c>
      <c r="AC147" s="2"/>
      <c r="AD147" s="18"/>
      <c r="AE147" s="118"/>
      <c r="AG147" s="2"/>
      <c r="AH147" s="19"/>
      <c r="AI147" s="20"/>
      <c r="AJ147" s="21"/>
      <c r="AK147" s="21"/>
      <c r="AM147" s="19"/>
      <c r="AN147" s="18"/>
      <c r="AO147" s="2"/>
      <c r="AP147" s="18"/>
      <c r="AQ147" s="118"/>
      <c r="AS147" s="2"/>
      <c r="AT147" s="19"/>
      <c r="AU147" s="20"/>
      <c r="AV147" s="21"/>
      <c r="AW147" s="21"/>
      <c r="AY147" s="19"/>
      <c r="AZ147" s="18"/>
      <c r="BA147" s="2"/>
      <c r="BB147" s="18"/>
      <c r="BC147" s="118"/>
      <c r="BE147" s="2"/>
      <c r="BF147" s="19"/>
      <c r="BG147" s="20"/>
      <c r="BH147" s="21"/>
      <c r="BI147" s="21"/>
      <c r="BK147" s="19"/>
      <c r="BL147" s="18"/>
      <c r="BM147" s="2"/>
      <c r="BN147" s="18"/>
      <c r="BO147" s="118"/>
      <c r="BQ147" s="2"/>
      <c r="BR147" s="19"/>
      <c r="BS147" s="20"/>
      <c r="BT147" s="21"/>
      <c r="BU147" s="21"/>
      <c r="BW147" s="19"/>
      <c r="BX147" s="18"/>
      <c r="BY147" s="2"/>
      <c r="BZ147" s="18"/>
      <c r="CA147" s="118"/>
      <c r="CC147" s="2"/>
      <c r="CD147" s="19"/>
      <c r="CE147" s="20"/>
      <c r="CF147" s="21"/>
      <c r="CG147" s="21"/>
      <c r="CI147" s="19"/>
      <c r="CJ147" s="18"/>
      <c r="CK147" s="2"/>
      <c r="CL147" s="18"/>
      <c r="CM147" s="118"/>
      <c r="CO147" s="2"/>
      <c r="CP147" s="19"/>
      <c r="CQ147" s="20"/>
      <c r="CR147" s="21"/>
      <c r="CS147" s="21"/>
    </row>
    <row r="148" spans="1:97" x14ac:dyDescent="0.25">
      <c r="A148" s="1">
        <f t="shared" si="35"/>
        <v>122</v>
      </c>
      <c r="B148" s="19">
        <f t="shared" si="36"/>
        <v>24.675265364588949</v>
      </c>
      <c r="C148" s="18">
        <f t="shared" si="50"/>
        <v>1.8320074344216686</v>
      </c>
      <c r="D148" s="2">
        <f t="shared" si="29"/>
        <v>0.90378919754788878</v>
      </c>
      <c r="E148" s="18">
        <f t="shared" si="37"/>
        <v>1.8470705877141333</v>
      </c>
      <c r="F148" s="21">
        <f t="shared" si="30"/>
        <v>0.26360324575694027</v>
      </c>
      <c r="G148" s="1">
        <f t="shared" si="31"/>
        <v>0</v>
      </c>
      <c r="H148" s="2">
        <f t="shared" si="27"/>
        <v>57.26346623795741</v>
      </c>
      <c r="I148" s="19">
        <f t="shared" si="53"/>
        <v>24.789379323791085</v>
      </c>
      <c r="J148" s="20">
        <f t="shared" si="32"/>
        <v>0.93545017255583851</v>
      </c>
      <c r="K148" s="21">
        <f t="shared" si="33"/>
        <v>4.7904808810355588</v>
      </c>
      <c r="L148" s="21">
        <f t="shared" si="28"/>
        <v>0.19997920032644079</v>
      </c>
      <c r="M148" s="2">
        <f t="shared" si="38"/>
        <v>3.5889456012262611</v>
      </c>
      <c r="N148" s="19">
        <f t="shared" si="51"/>
        <v>265.84177066652853</v>
      </c>
      <c r="O148" s="1">
        <f t="shared" si="39"/>
        <v>122</v>
      </c>
      <c r="P148" s="19">
        <f t="shared" si="40"/>
        <v>44.520578457127556</v>
      </c>
      <c r="Q148" s="18">
        <f t="shared" si="41"/>
        <v>3.3239434846880003</v>
      </c>
      <c r="R148" s="2">
        <f t="shared" si="42"/>
        <v>0.91451982695234901</v>
      </c>
      <c r="S148" s="18">
        <f t="shared" si="43"/>
        <v>3.3391854818038729</v>
      </c>
      <c r="T148" s="18">
        <f t="shared" si="44"/>
        <v>0.84407199813392009</v>
      </c>
      <c r="U148" s="1">
        <f t="shared" si="34"/>
        <v>0</v>
      </c>
      <c r="V148" s="2">
        <f t="shared" si="45"/>
        <v>103.68660823409859</v>
      </c>
      <c r="W148" s="19">
        <f t="shared" si="46"/>
        <v>44.88597759051887</v>
      </c>
      <c r="X148" s="20"/>
      <c r="Y148" s="2">
        <f t="shared" si="47"/>
        <v>24.891701365364682</v>
      </c>
      <c r="Z148" s="21">
        <f t="shared" si="48"/>
        <v>0.65358026308843253</v>
      </c>
      <c r="AA148" s="2">
        <f t="shared" si="49"/>
        <v>19.102569430858686</v>
      </c>
      <c r="AB148" s="19">
        <f t="shared" si="52"/>
        <v>39.533784331642366</v>
      </c>
      <c r="AC148" s="2"/>
      <c r="AD148" s="18"/>
      <c r="AE148" s="118"/>
      <c r="AG148" s="2"/>
      <c r="AH148" s="19"/>
      <c r="AI148" s="20"/>
      <c r="AJ148" s="21"/>
      <c r="AK148" s="21"/>
      <c r="AM148" s="19"/>
      <c r="AN148" s="18"/>
      <c r="AO148" s="2"/>
      <c r="AP148" s="18"/>
      <c r="AQ148" s="118"/>
      <c r="AS148" s="2"/>
      <c r="AT148" s="19"/>
      <c r="AU148" s="20"/>
      <c r="AV148" s="21"/>
      <c r="AW148" s="21"/>
      <c r="AY148" s="19"/>
      <c r="AZ148" s="18"/>
      <c r="BA148" s="2"/>
      <c r="BB148" s="18"/>
      <c r="BC148" s="118"/>
      <c r="BE148" s="2"/>
      <c r="BF148" s="19"/>
      <c r="BG148" s="20"/>
      <c r="BH148" s="21"/>
      <c r="BI148" s="21"/>
      <c r="BK148" s="19"/>
      <c r="BL148" s="18"/>
      <c r="BM148" s="2"/>
      <c r="BN148" s="18"/>
      <c r="BO148" s="118"/>
      <c r="BQ148" s="2"/>
      <c r="BR148" s="19"/>
      <c r="BS148" s="20"/>
      <c r="BT148" s="21"/>
      <c r="BU148" s="21"/>
      <c r="BW148" s="19"/>
      <c r="BX148" s="18"/>
      <c r="BY148" s="2"/>
      <c r="BZ148" s="18"/>
      <c r="CA148" s="118"/>
      <c r="CC148" s="2"/>
      <c r="CD148" s="19"/>
      <c r="CE148" s="20"/>
      <c r="CF148" s="21"/>
      <c r="CG148" s="21"/>
      <c r="CI148" s="19"/>
      <c r="CJ148" s="18"/>
      <c r="CK148" s="2"/>
      <c r="CL148" s="18"/>
      <c r="CM148" s="118"/>
      <c r="CO148" s="2"/>
      <c r="CP148" s="19"/>
      <c r="CQ148" s="20"/>
      <c r="CR148" s="21"/>
      <c r="CS148" s="21"/>
    </row>
    <row r="149" spans="1:97" x14ac:dyDescent="0.25">
      <c r="A149" s="1">
        <f t="shared" si="35"/>
        <v>123</v>
      </c>
      <c r="B149" s="19">
        <f t="shared" si="36"/>
        <v>24.789379323791085</v>
      </c>
      <c r="C149" s="18">
        <f t="shared" si="50"/>
        <v>1.8470705877141333</v>
      </c>
      <c r="D149" s="2">
        <f t="shared" si="29"/>
        <v>0.90387260249783097</v>
      </c>
      <c r="E149" s="18">
        <f t="shared" si="37"/>
        <v>1.8621351310890972</v>
      </c>
      <c r="F149" s="21">
        <f t="shared" si="30"/>
        <v>0.26784293606701626</v>
      </c>
      <c r="G149" s="1">
        <f t="shared" si="31"/>
        <v>0</v>
      </c>
      <c r="H149" s="2">
        <f t="shared" si="27"/>
        <v>57.531309174024429</v>
      </c>
      <c r="I149" s="19">
        <f t="shared" si="53"/>
        <v>24.90532864676382</v>
      </c>
      <c r="J149" s="20">
        <f t="shared" si="32"/>
        <v>0.935426205605836</v>
      </c>
      <c r="K149" s="21">
        <f t="shared" si="33"/>
        <v>4.9064568723525772</v>
      </c>
      <c r="L149" s="21">
        <f t="shared" si="28"/>
        <v>0.20325452785024556</v>
      </c>
      <c r="M149" s="2">
        <f t="shared" si="38"/>
        <v>3.6769345743216055</v>
      </c>
      <c r="N149" s="19">
        <f t="shared" si="51"/>
        <v>266.24268337707298</v>
      </c>
      <c r="O149" s="1">
        <f t="shared" si="39"/>
        <v>123</v>
      </c>
      <c r="P149" s="19">
        <f t="shared" si="40"/>
        <v>44.88597759051887</v>
      </c>
      <c r="Q149" s="18">
        <f t="shared" si="41"/>
        <v>3.3391854818038729</v>
      </c>
      <c r="R149" s="2">
        <f t="shared" si="42"/>
        <v>0.91466934347264317</v>
      </c>
      <c r="S149" s="18">
        <f t="shared" si="43"/>
        <v>3.3544299708617502</v>
      </c>
      <c r="T149" s="18">
        <f t="shared" si="44"/>
        <v>0.851666979658668</v>
      </c>
      <c r="U149" s="1">
        <f t="shared" si="34"/>
        <v>0</v>
      </c>
      <c r="V149" s="2">
        <f t="shared" si="45"/>
        <v>104.53827521375726</v>
      </c>
      <c r="W149" s="19">
        <f t="shared" si="46"/>
        <v>45.25466459470011</v>
      </c>
      <c r="X149" s="20"/>
      <c r="Y149" s="2">
        <f t="shared" si="47"/>
        <v>25.260473167556885</v>
      </c>
      <c r="Z149" s="21">
        <f t="shared" si="48"/>
        <v>0.65956150645322276</v>
      </c>
      <c r="AA149" s="2">
        <f t="shared" si="49"/>
        <v>19.388093892526747</v>
      </c>
      <c r="AB149" s="19">
        <f t="shared" si="52"/>
        <v>39.755549214103269</v>
      </c>
      <c r="AC149" s="2"/>
      <c r="AD149" s="18"/>
      <c r="AE149" s="118"/>
      <c r="AG149" s="2"/>
      <c r="AH149" s="19"/>
      <c r="AI149" s="20"/>
      <c r="AJ149" s="21"/>
      <c r="AK149" s="21"/>
      <c r="AM149" s="19"/>
      <c r="AN149" s="18"/>
      <c r="AO149" s="2"/>
      <c r="AP149" s="18"/>
      <c r="AQ149" s="118"/>
      <c r="AS149" s="2"/>
      <c r="AT149" s="19"/>
      <c r="AU149" s="20"/>
      <c r="AV149" s="21"/>
      <c r="AW149" s="21"/>
      <c r="AY149" s="19"/>
      <c r="AZ149" s="18"/>
      <c r="BA149" s="2"/>
      <c r="BB149" s="18"/>
      <c r="BC149" s="118"/>
      <c r="BE149" s="2"/>
      <c r="BF149" s="19"/>
      <c r="BG149" s="20"/>
      <c r="BH149" s="21"/>
      <c r="BI149" s="21"/>
      <c r="BK149" s="19"/>
      <c r="BL149" s="18"/>
      <c r="BM149" s="2"/>
      <c r="BN149" s="18"/>
      <c r="BO149" s="118"/>
      <c r="BQ149" s="2"/>
      <c r="BR149" s="19"/>
      <c r="BS149" s="20"/>
      <c r="BT149" s="21"/>
      <c r="BU149" s="21"/>
      <c r="BW149" s="19"/>
      <c r="BX149" s="18"/>
      <c r="BY149" s="2"/>
      <c r="BZ149" s="18"/>
      <c r="CA149" s="118"/>
      <c r="CC149" s="2"/>
      <c r="CD149" s="19"/>
      <c r="CE149" s="20"/>
      <c r="CF149" s="21"/>
      <c r="CG149" s="21"/>
      <c r="CI149" s="19"/>
      <c r="CJ149" s="18"/>
      <c r="CK149" s="2"/>
      <c r="CL149" s="18"/>
      <c r="CM149" s="118"/>
      <c r="CO149" s="2"/>
      <c r="CP149" s="19"/>
      <c r="CQ149" s="20"/>
      <c r="CR149" s="21"/>
      <c r="CS149" s="21"/>
    </row>
    <row r="150" spans="1:97" x14ac:dyDescent="0.25">
      <c r="A150" s="1">
        <f t="shared" si="35"/>
        <v>124</v>
      </c>
      <c r="B150" s="19">
        <f t="shared" si="36"/>
        <v>24.90532864676382</v>
      </c>
      <c r="C150" s="18">
        <f t="shared" si="50"/>
        <v>1.8621351310890972</v>
      </c>
      <c r="D150" s="2">
        <f t="shared" si="29"/>
        <v>0.90395696439595796</v>
      </c>
      <c r="E150" s="18">
        <f t="shared" si="37"/>
        <v>1.8772010804956965</v>
      </c>
      <c r="F150" s="21">
        <f t="shared" si="30"/>
        <v>0.27211630151778926</v>
      </c>
      <c r="G150" s="1">
        <f t="shared" si="31"/>
        <v>0</v>
      </c>
      <c r="H150" s="2">
        <f t="shared" si="27"/>
        <v>57.80342547554222</v>
      </c>
      <c r="I150" s="19">
        <f t="shared" si="53"/>
        <v>25.023127911490139</v>
      </c>
      <c r="J150" s="20">
        <f t="shared" si="32"/>
        <v>0.93540192270522493</v>
      </c>
      <c r="K150" s="21">
        <f t="shared" si="33"/>
        <v>5.0242832309097798</v>
      </c>
      <c r="L150" s="21">
        <f t="shared" si="28"/>
        <v>0.20655676958447503</v>
      </c>
      <c r="M150" s="2">
        <f t="shared" si="38"/>
        <v>3.7663530892932395</v>
      </c>
      <c r="N150" s="19">
        <f t="shared" si="51"/>
        <v>266.64035273174238</v>
      </c>
      <c r="O150" s="1">
        <f t="shared" si="39"/>
        <v>124</v>
      </c>
      <c r="P150" s="19">
        <f t="shared" si="40"/>
        <v>45.25466459470011</v>
      </c>
      <c r="Q150" s="18">
        <f t="shared" si="41"/>
        <v>3.3544299708617502</v>
      </c>
      <c r="R150" s="2">
        <f t="shared" si="42"/>
        <v>0.91481900123422522</v>
      </c>
      <c r="S150" s="18">
        <f t="shared" si="43"/>
        <v>3.3696769542156542</v>
      </c>
      <c r="T150" s="18">
        <f t="shared" si="44"/>
        <v>0.85929671675983132</v>
      </c>
      <c r="U150" s="1">
        <f t="shared" si="34"/>
        <v>0</v>
      </c>
      <c r="V150" s="2">
        <f t="shared" si="45"/>
        <v>105.39757193051709</v>
      </c>
      <c r="W150" s="19">
        <f t="shared" si="46"/>
        <v>45.626654515375364</v>
      </c>
      <c r="X150" s="20"/>
      <c r="Y150" s="2">
        <f t="shared" si="47"/>
        <v>25.632548645913893</v>
      </c>
      <c r="Z150" s="21">
        <f t="shared" si="48"/>
        <v>0.66557097932319209</v>
      </c>
      <c r="AA150" s="2">
        <f t="shared" si="49"/>
        <v>19.676219857601723</v>
      </c>
      <c r="AB150" s="19">
        <f t="shared" si="52"/>
        <v>39.976306267408859</v>
      </c>
      <c r="AC150" s="2"/>
      <c r="AD150" s="18"/>
      <c r="AE150" s="118"/>
      <c r="AG150" s="2"/>
      <c r="AH150" s="19"/>
      <c r="AI150" s="20"/>
      <c r="AJ150" s="21"/>
      <c r="AK150" s="21"/>
      <c r="AM150" s="19"/>
      <c r="AN150" s="18"/>
      <c r="AO150" s="2"/>
      <c r="AP150" s="18"/>
      <c r="AQ150" s="118"/>
      <c r="AS150" s="2"/>
      <c r="AT150" s="19"/>
      <c r="AU150" s="20"/>
      <c r="AV150" s="21"/>
      <c r="AW150" s="21"/>
      <c r="AY150" s="19"/>
      <c r="AZ150" s="18"/>
      <c r="BA150" s="2"/>
      <c r="BB150" s="18"/>
      <c r="BC150" s="118"/>
      <c r="BE150" s="2"/>
      <c r="BF150" s="19"/>
      <c r="BG150" s="20"/>
      <c r="BH150" s="21"/>
      <c r="BI150" s="21"/>
      <c r="BK150" s="19"/>
      <c r="BL150" s="18"/>
      <c r="BM150" s="2"/>
      <c r="BN150" s="18"/>
      <c r="BO150" s="118"/>
      <c r="BQ150" s="2"/>
      <c r="BR150" s="19"/>
      <c r="BS150" s="20"/>
      <c r="BT150" s="21"/>
      <c r="BU150" s="21"/>
      <c r="BW150" s="19"/>
      <c r="BX150" s="18"/>
      <c r="BY150" s="2"/>
      <c r="BZ150" s="18"/>
      <c r="CA150" s="118"/>
      <c r="CC150" s="2"/>
      <c r="CD150" s="19"/>
      <c r="CE150" s="20"/>
      <c r="CF150" s="21"/>
      <c r="CG150" s="21"/>
      <c r="CI150" s="19"/>
      <c r="CJ150" s="18"/>
      <c r="CK150" s="2"/>
      <c r="CL150" s="18"/>
      <c r="CM150" s="118"/>
      <c r="CO150" s="2"/>
      <c r="CP150" s="19"/>
      <c r="CQ150" s="20"/>
      <c r="CR150" s="21"/>
      <c r="CS150" s="21"/>
    </row>
    <row r="151" spans="1:97" x14ac:dyDescent="0.25">
      <c r="A151" s="1">
        <f t="shared" si="35"/>
        <v>125</v>
      </c>
      <c r="B151" s="19">
        <f t="shared" si="36"/>
        <v>25.023127911490139</v>
      </c>
      <c r="C151" s="18">
        <f t="shared" si="50"/>
        <v>1.8772010804956965</v>
      </c>
      <c r="D151" s="2">
        <f t="shared" si="29"/>
        <v>0.90404227902060985</v>
      </c>
      <c r="E151" s="18">
        <f t="shared" si="37"/>
        <v>1.8922684518127066</v>
      </c>
      <c r="F151" s="21">
        <f t="shared" si="30"/>
        <v>0.27642334803103485</v>
      </c>
      <c r="G151" s="1">
        <f t="shared" si="31"/>
        <v>0</v>
      </c>
      <c r="H151" s="2">
        <f t="shared" si="27"/>
        <v>58.079848823573258</v>
      </c>
      <c r="I151" s="19">
        <f t="shared" si="53"/>
        <v>25.142791698516561</v>
      </c>
      <c r="J151" s="20">
        <f t="shared" si="32"/>
        <v>0.93537732360566261</v>
      </c>
      <c r="K151" s="21">
        <f t="shared" si="33"/>
        <v>5.1439745406072177</v>
      </c>
      <c r="L151" s="21">
        <f t="shared" si="28"/>
        <v>0.20988593650167717</v>
      </c>
      <c r="M151" s="2">
        <f t="shared" si="38"/>
        <v>3.8572128020645282</v>
      </c>
      <c r="N151" s="19">
        <f t="shared" si="51"/>
        <v>267.03483049098799</v>
      </c>
      <c r="O151" s="1">
        <f t="shared" si="39"/>
        <v>125</v>
      </c>
      <c r="P151" s="19">
        <f t="shared" si="40"/>
        <v>45.626654515375364</v>
      </c>
      <c r="Q151" s="18">
        <f t="shared" si="41"/>
        <v>3.3696769542156542</v>
      </c>
      <c r="R151" s="2">
        <f t="shared" si="42"/>
        <v>0.91496879360587291</v>
      </c>
      <c r="S151" s="18">
        <f t="shared" si="43"/>
        <v>3.3849264341090852</v>
      </c>
      <c r="T151" s="18">
        <f t="shared" si="44"/>
        <v>0.86696122281326227</v>
      </c>
      <c r="U151" s="1">
        <f t="shared" si="34"/>
        <v>0</v>
      </c>
      <c r="V151" s="2">
        <f t="shared" si="45"/>
        <v>106.26453315333035</v>
      </c>
      <c r="W151" s="19">
        <f t="shared" si="46"/>
        <v>46.001962404039112</v>
      </c>
      <c r="X151" s="20"/>
      <c r="Y151" s="2">
        <f t="shared" si="47"/>
        <v>26.007942855392034</v>
      </c>
      <c r="Z151" s="21">
        <f t="shared" si="48"/>
        <v>0.67160869596383588</v>
      </c>
      <c r="AA151" s="2">
        <f t="shared" si="49"/>
        <v>19.966959552824161</v>
      </c>
      <c r="AB151" s="19">
        <f t="shared" si="52"/>
        <v>40.196064447777147</v>
      </c>
      <c r="AC151" s="2"/>
      <c r="AD151" s="18"/>
      <c r="AE151" s="118"/>
      <c r="AG151" s="2"/>
      <c r="AH151" s="19"/>
      <c r="AI151" s="20"/>
      <c r="AJ151" s="21"/>
      <c r="AK151" s="21"/>
      <c r="AM151" s="19"/>
      <c r="AN151" s="18"/>
      <c r="AO151" s="2"/>
      <c r="AP151" s="18"/>
      <c r="AQ151" s="118"/>
      <c r="AS151" s="2"/>
      <c r="AT151" s="19"/>
      <c r="AU151" s="20"/>
      <c r="AV151" s="21"/>
      <c r="AW151" s="21"/>
      <c r="AY151" s="19"/>
      <c r="AZ151" s="18"/>
      <c r="BA151" s="2"/>
      <c r="BB151" s="18"/>
      <c r="BC151" s="118"/>
      <c r="BE151" s="2"/>
      <c r="BF151" s="19"/>
      <c r="BG151" s="20"/>
      <c r="BH151" s="21"/>
      <c r="BI151" s="21"/>
      <c r="BK151" s="19"/>
      <c r="BL151" s="18"/>
      <c r="BM151" s="2"/>
      <c r="BN151" s="18"/>
      <c r="BO151" s="118"/>
      <c r="BQ151" s="2"/>
      <c r="BR151" s="19"/>
      <c r="BS151" s="20"/>
      <c r="BT151" s="21"/>
      <c r="BU151" s="21"/>
      <c r="BW151" s="19"/>
      <c r="BX151" s="18"/>
      <c r="BY151" s="2"/>
      <c r="BZ151" s="18"/>
      <c r="CA151" s="118"/>
      <c r="CC151" s="2"/>
      <c r="CD151" s="19"/>
      <c r="CE151" s="20"/>
      <c r="CF151" s="21"/>
      <c r="CG151" s="21"/>
      <c r="CI151" s="19"/>
      <c r="CJ151" s="18"/>
      <c r="CK151" s="2"/>
      <c r="CL151" s="18"/>
      <c r="CM151" s="118"/>
      <c r="CO151" s="2"/>
      <c r="CP151" s="19"/>
      <c r="CQ151" s="20"/>
      <c r="CR151" s="21"/>
      <c r="CS151" s="21"/>
    </row>
    <row r="152" spans="1:97" x14ac:dyDescent="0.25">
      <c r="A152" s="1">
        <f t="shared" si="35"/>
        <v>126</v>
      </c>
      <c r="B152" s="19">
        <f t="shared" si="36"/>
        <v>25.142791698516561</v>
      </c>
      <c r="C152" s="18">
        <f t="shared" si="50"/>
        <v>1.8922684518127066</v>
      </c>
      <c r="D152" s="2">
        <f t="shared" si="29"/>
        <v>0.90412854195765191</v>
      </c>
      <c r="E152" s="18">
        <f t="shared" si="37"/>
        <v>1.9073372608453343</v>
      </c>
      <c r="F152" s="21">
        <f t="shared" si="30"/>
        <v>0.28076408171688322</v>
      </c>
      <c r="G152" s="1">
        <f t="shared" si="31"/>
        <v>0</v>
      </c>
      <c r="H152" s="2">
        <f t="shared" si="27"/>
        <v>58.360612905290139</v>
      </c>
      <c r="I152" s="19">
        <f t="shared" si="53"/>
        <v>25.264334591034693</v>
      </c>
      <c r="J152" s="20">
        <f t="shared" si="32"/>
        <v>0.93535240810495923</v>
      </c>
      <c r="K152" s="21">
        <f t="shared" si="33"/>
        <v>5.2655453879906284</v>
      </c>
      <c r="L152" s="21">
        <f t="shared" si="28"/>
        <v>0.21324203967084818</v>
      </c>
      <c r="M152" s="2">
        <f t="shared" si="38"/>
        <v>3.9495253733506095</v>
      </c>
      <c r="N152" s="19">
        <f t="shared" si="51"/>
        <v>267.42616718276554</v>
      </c>
      <c r="O152" s="1">
        <f t="shared" si="39"/>
        <v>126</v>
      </c>
      <c r="P152" s="19">
        <f t="shared" si="40"/>
        <v>46.001962404039112</v>
      </c>
      <c r="Q152" s="18">
        <f t="shared" si="41"/>
        <v>3.3849264341090852</v>
      </c>
      <c r="R152" s="2">
        <f t="shared" si="42"/>
        <v>0.91511871404366263</v>
      </c>
      <c r="S152" s="18">
        <f t="shared" si="43"/>
        <v>3.4001784126764796</v>
      </c>
      <c r="T152" s="18">
        <f t="shared" si="44"/>
        <v>0.87466051117971755</v>
      </c>
      <c r="U152" s="1">
        <f t="shared" si="34"/>
        <v>0</v>
      </c>
      <c r="V152" s="2">
        <f t="shared" si="45"/>
        <v>107.13919366451006</v>
      </c>
      <c r="W152" s="19">
        <f t="shared" si="46"/>
        <v>46.380603317969722</v>
      </c>
      <c r="X152" s="20"/>
      <c r="Y152" s="2">
        <f t="shared" si="47"/>
        <v>26.386670856732852</v>
      </c>
      <c r="Z152" s="21">
        <f t="shared" si="48"/>
        <v>0.67767467061540965</v>
      </c>
      <c r="AA152" s="2">
        <f t="shared" si="49"/>
        <v>20.260325211099229</v>
      </c>
      <c r="AB152" s="19">
        <f t="shared" si="52"/>
        <v>40.41483259246278</v>
      </c>
      <c r="AC152" s="2"/>
      <c r="AD152" s="18"/>
      <c r="AE152" s="118"/>
      <c r="AG152" s="2"/>
      <c r="AH152" s="19"/>
      <c r="AI152" s="20"/>
      <c r="AJ152" s="21"/>
      <c r="AK152" s="21"/>
      <c r="AM152" s="19"/>
      <c r="AN152" s="18"/>
      <c r="AO152" s="2"/>
      <c r="AP152" s="18"/>
      <c r="AQ152" s="118"/>
      <c r="AS152" s="2"/>
      <c r="AT152" s="19"/>
      <c r="AU152" s="20"/>
      <c r="AV152" s="21"/>
      <c r="AW152" s="21"/>
      <c r="AY152" s="19"/>
      <c r="AZ152" s="18"/>
      <c r="BA152" s="2"/>
      <c r="BB152" s="18"/>
      <c r="BC152" s="118"/>
      <c r="BE152" s="2"/>
      <c r="BF152" s="19"/>
      <c r="BG152" s="20"/>
      <c r="BH152" s="21"/>
      <c r="BI152" s="21"/>
      <c r="BK152" s="19"/>
      <c r="BL152" s="18"/>
      <c r="BM152" s="2"/>
      <c r="BN152" s="18"/>
      <c r="BO152" s="118"/>
      <c r="BQ152" s="2"/>
      <c r="BR152" s="19"/>
      <c r="BS152" s="20"/>
      <c r="BT152" s="21"/>
      <c r="BU152" s="21"/>
      <c r="BW152" s="19"/>
      <c r="BX152" s="18"/>
      <c r="BY152" s="2"/>
      <c r="BZ152" s="18"/>
      <c r="CA152" s="118"/>
      <c r="CC152" s="2"/>
      <c r="CD152" s="19"/>
      <c r="CE152" s="20"/>
      <c r="CF152" s="21"/>
      <c r="CG152" s="21"/>
      <c r="CI152" s="19"/>
      <c r="CJ152" s="18"/>
      <c r="CK152" s="2"/>
      <c r="CL152" s="18"/>
      <c r="CM152" s="118"/>
      <c r="CO152" s="2"/>
      <c r="CP152" s="19"/>
      <c r="CQ152" s="20"/>
      <c r="CR152" s="21"/>
      <c r="CS152" s="21"/>
    </row>
    <row r="153" spans="1:97" x14ac:dyDescent="0.25">
      <c r="A153" s="1">
        <f t="shared" si="35"/>
        <v>127</v>
      </c>
      <c r="B153" s="19">
        <f t="shared" si="36"/>
        <v>25.264334591034693</v>
      </c>
      <c r="C153" s="18">
        <f t="shared" si="50"/>
        <v>1.9073372608453343</v>
      </c>
      <c r="D153" s="2">
        <f t="shared" si="29"/>
        <v>0.90421574860389786</v>
      </c>
      <c r="E153" s="18">
        <f t="shared" si="37"/>
        <v>1.9224075233220659</v>
      </c>
      <c r="F153" s="21">
        <f t="shared" si="30"/>
        <v>0.28513850887086339</v>
      </c>
      <c r="G153" s="1">
        <f t="shared" si="31"/>
        <v>0</v>
      </c>
      <c r="H153" s="2">
        <f t="shared" si="27"/>
        <v>58.645751414161005</v>
      </c>
      <c r="I153" s="19">
        <f t="shared" si="53"/>
        <v>25.387771174961472</v>
      </c>
      <c r="J153" s="20">
        <f t="shared" si="32"/>
        <v>0.9353271760468258</v>
      </c>
      <c r="K153" s="21">
        <f t="shared" si="33"/>
        <v>5.389010362331712</v>
      </c>
      <c r="L153" s="21">
        <f t="shared" si="28"/>
        <v>0.21662509025609797</v>
      </c>
      <c r="M153" s="2">
        <f t="shared" si="38"/>
        <v>4.0433024686995696</v>
      </c>
      <c r="N153" s="19">
        <f t="shared" si="51"/>
        <v>267.814412141373</v>
      </c>
      <c r="O153" s="1">
        <f t="shared" si="39"/>
        <v>127</v>
      </c>
      <c r="P153" s="19">
        <f t="shared" si="40"/>
        <v>46.380603317969722</v>
      </c>
      <c r="Q153" s="18">
        <f t="shared" si="41"/>
        <v>3.4001784126764796</v>
      </c>
      <c r="R153" s="2">
        <f t="shared" si="42"/>
        <v>0.91526875609076042</v>
      </c>
      <c r="S153" s="18">
        <f t="shared" si="43"/>
        <v>3.415432891944659</v>
      </c>
      <c r="T153" s="18">
        <f t="shared" si="44"/>
        <v>0.88239459520422114</v>
      </c>
      <c r="U153" s="1">
        <f t="shared" si="34"/>
        <v>0</v>
      </c>
      <c r="V153" s="2">
        <f t="shared" si="45"/>
        <v>108.02158825971428</v>
      </c>
      <c r="W153" s="19">
        <f t="shared" si="46"/>
        <v>46.76259232022263</v>
      </c>
      <c r="X153" s="20"/>
      <c r="Y153" s="2">
        <f t="shared" si="47"/>
        <v>26.768747716456279</v>
      </c>
      <c r="Z153" s="21">
        <f t="shared" si="48"/>
        <v>0.68376891749253998</v>
      </c>
      <c r="AA153" s="2">
        <f t="shared" si="49"/>
        <v>20.55632907148561</v>
      </c>
      <c r="AB153" s="19">
        <f t="shared" si="52"/>
        <v>40.632619421861676</v>
      </c>
      <c r="AC153" s="2"/>
      <c r="AD153" s="18"/>
      <c r="AE153" s="118"/>
      <c r="AG153" s="2"/>
      <c r="AH153" s="19"/>
      <c r="AI153" s="20"/>
      <c r="AJ153" s="21"/>
      <c r="AK153" s="21"/>
      <c r="AM153" s="19"/>
      <c r="AN153" s="18"/>
      <c r="AO153" s="2"/>
      <c r="AP153" s="18"/>
      <c r="AQ153" s="118"/>
      <c r="AS153" s="2"/>
      <c r="AT153" s="19"/>
      <c r="AU153" s="20"/>
      <c r="AV153" s="21"/>
      <c r="AW153" s="21"/>
      <c r="AY153" s="19"/>
      <c r="AZ153" s="18"/>
      <c r="BA153" s="2"/>
      <c r="BB153" s="18"/>
      <c r="BC153" s="118"/>
      <c r="BE153" s="2"/>
      <c r="BF153" s="19"/>
      <c r="BG153" s="20"/>
      <c r="BH153" s="21"/>
      <c r="BI153" s="21"/>
      <c r="BK153" s="19"/>
      <c r="BL153" s="18"/>
      <c r="BM153" s="2"/>
      <c r="BN153" s="18"/>
      <c r="BO153" s="118"/>
      <c r="BQ153" s="2"/>
      <c r="BR153" s="19"/>
      <c r="BS153" s="20"/>
      <c r="BT153" s="21"/>
      <c r="BU153" s="21"/>
      <c r="BW153" s="19"/>
      <c r="BX153" s="18"/>
      <c r="BY153" s="2"/>
      <c r="BZ153" s="18"/>
      <c r="CA153" s="118"/>
      <c r="CC153" s="2"/>
      <c r="CD153" s="19"/>
      <c r="CE153" s="20"/>
      <c r="CF153" s="21"/>
      <c r="CG153" s="21"/>
      <c r="CI153" s="19"/>
      <c r="CJ153" s="18"/>
      <c r="CK153" s="2"/>
      <c r="CL153" s="18"/>
      <c r="CM153" s="118"/>
      <c r="CO153" s="2"/>
      <c r="CP153" s="19"/>
      <c r="CQ153" s="20"/>
      <c r="CR153" s="21"/>
      <c r="CS153" s="21"/>
    </row>
    <row r="154" spans="1:97" x14ac:dyDescent="0.25">
      <c r="A154" s="1">
        <f t="shared" si="35"/>
        <v>128</v>
      </c>
      <c r="B154" s="19">
        <f t="shared" si="36"/>
        <v>25.387771174961472</v>
      </c>
      <c r="C154" s="18">
        <f t="shared" si="50"/>
        <v>1.9224075233220659</v>
      </c>
      <c r="D154" s="2">
        <f t="shared" si="29"/>
        <v>0.90430389417061507</v>
      </c>
      <c r="E154" s="18">
        <f t="shared" si="37"/>
        <v>1.9374792548915762</v>
      </c>
      <c r="F154" s="21">
        <f t="shared" si="30"/>
        <v>0.28954663597095676</v>
      </c>
      <c r="G154" s="1">
        <f t="shared" si="31"/>
        <v>0</v>
      </c>
      <c r="H154" s="2">
        <f t="shared" ref="H154:H217" si="54">(B154*2.31)+F154-G154</f>
        <v>58.935298050131962</v>
      </c>
      <c r="I154" s="19">
        <f t="shared" si="53"/>
        <v>25.513116039018165</v>
      </c>
      <c r="J154" s="20">
        <f t="shared" si="32"/>
        <v>0.93530162732060285</v>
      </c>
      <c r="K154" s="21">
        <f t="shared" si="33"/>
        <v>5.5143840557071364</v>
      </c>
      <c r="L154" s="21">
        <f t="shared" ref="L154:L217" si="55">($C$11*((0.4085*E154/$C$5^2))^2)/64.4</f>
        <v>0.22003509951529807</v>
      </c>
      <c r="M154" s="2">
        <f t="shared" si="38"/>
        <v>4.1385557585330321</v>
      </c>
      <c r="N154" s="19">
        <f t="shared" si="51"/>
        <v>268.19961354477147</v>
      </c>
      <c r="O154" s="1">
        <f t="shared" si="39"/>
        <v>128</v>
      </c>
      <c r="P154" s="19">
        <f t="shared" si="40"/>
        <v>46.76259232022263</v>
      </c>
      <c r="Q154" s="18">
        <f t="shared" si="41"/>
        <v>3.415432891944659</v>
      </c>
      <c r="R154" s="2">
        <f t="shared" si="42"/>
        <v>0.91541891337718229</v>
      </c>
      <c r="S154" s="18">
        <f t="shared" si="43"/>
        <v>3.4306898738342788</v>
      </c>
      <c r="T154" s="18">
        <f t="shared" si="44"/>
        <v>0.89016348821544833</v>
      </c>
      <c r="U154" s="1">
        <f t="shared" si="34"/>
        <v>0</v>
      </c>
      <c r="V154" s="2">
        <f t="shared" si="45"/>
        <v>108.91175174792973</v>
      </c>
      <c r="W154" s="19">
        <f t="shared" si="46"/>
        <v>47.147944479623256</v>
      </c>
      <c r="X154" s="20"/>
      <c r="Y154" s="2">
        <f t="shared" si="47"/>
        <v>27.154188506853568</v>
      </c>
      <c r="Z154" s="21">
        <f t="shared" si="48"/>
        <v>0.6898914507838505</v>
      </c>
      <c r="AA154" s="2">
        <f t="shared" si="49"/>
        <v>20.854983379184247</v>
      </c>
      <c r="AB154" s="19">
        <f t="shared" si="52"/>
        <v>40.849433541569283</v>
      </c>
      <c r="AC154" s="2"/>
      <c r="AD154" s="18"/>
      <c r="AE154" s="118"/>
      <c r="AG154" s="2"/>
      <c r="AH154" s="19"/>
      <c r="AI154" s="20"/>
      <c r="AJ154" s="21"/>
      <c r="AK154" s="21"/>
      <c r="AM154" s="19"/>
      <c r="AN154" s="18"/>
      <c r="AO154" s="2"/>
      <c r="AP154" s="18"/>
      <c r="AQ154" s="118"/>
      <c r="AS154" s="2"/>
      <c r="AT154" s="19"/>
      <c r="AU154" s="20"/>
      <c r="AV154" s="21"/>
      <c r="AW154" s="21"/>
      <c r="AY154" s="19"/>
      <c r="AZ154" s="18"/>
      <c r="BA154" s="2"/>
      <c r="BB154" s="18"/>
      <c r="BC154" s="118"/>
      <c r="BE154" s="2"/>
      <c r="BF154" s="19"/>
      <c r="BG154" s="20"/>
      <c r="BH154" s="21"/>
      <c r="BI154" s="21"/>
      <c r="BK154" s="19"/>
      <c r="BL154" s="18"/>
      <c r="BM154" s="2"/>
      <c r="BN154" s="18"/>
      <c r="BO154" s="118"/>
      <c r="BQ154" s="2"/>
      <c r="BR154" s="19"/>
      <c r="BS154" s="20"/>
      <c r="BT154" s="21"/>
      <c r="BU154" s="21"/>
      <c r="BW154" s="19"/>
      <c r="BX154" s="18"/>
      <c r="BY154" s="2"/>
      <c r="BZ154" s="18"/>
      <c r="CA154" s="118"/>
      <c r="CC154" s="2"/>
      <c r="CD154" s="19"/>
      <c r="CE154" s="20"/>
      <c r="CF154" s="21"/>
      <c r="CG154" s="21"/>
      <c r="CI154" s="19"/>
      <c r="CJ154" s="18"/>
      <c r="CK154" s="2"/>
      <c r="CL154" s="18"/>
      <c r="CM154" s="118"/>
      <c r="CO154" s="2"/>
      <c r="CP154" s="19"/>
      <c r="CQ154" s="20"/>
      <c r="CR154" s="21"/>
      <c r="CS154" s="21"/>
    </row>
    <row r="155" spans="1:97" x14ac:dyDescent="0.25">
      <c r="A155" s="1">
        <f t="shared" si="35"/>
        <v>129</v>
      </c>
      <c r="B155" s="19">
        <f t="shared" si="36"/>
        <v>25.513116039018165</v>
      </c>
      <c r="C155" s="18">
        <f t="shared" si="50"/>
        <v>1.9374792548915762</v>
      </c>
      <c r="D155" s="2">
        <f t="shared" ref="D155:D218" si="56">$C$17*I154^$C$18</f>
        <v>0.90439297368710703</v>
      </c>
      <c r="E155" s="18">
        <f t="shared" si="37"/>
        <v>1.9525524711196947</v>
      </c>
      <c r="F155" s="21">
        <f t="shared" ref="F155:F218" si="57">(($C$7*($C$16/12)*(E155)^1.852)/($C$5^4.871)+L155)-G155</f>
        <v>0.29398846967465486</v>
      </c>
      <c r="G155" s="1">
        <f t="shared" ref="G155:G218" si="58">$C$9*($C$16/12)/100</f>
        <v>0</v>
      </c>
      <c r="H155" s="2">
        <f t="shared" si="54"/>
        <v>59.229286519806614</v>
      </c>
      <c r="I155" s="19">
        <f t="shared" si="53"/>
        <v>25.640383774808058</v>
      </c>
      <c r="J155" s="20">
        <f t="shared" ref="J155:J218" si="59">(1-1.27*0.05)*($D$26/((E155*60)/((A155/($C$16/12)+1))))</f>
        <v>0.93527576186097416</v>
      </c>
      <c r="K155" s="21">
        <f t="shared" ref="K155:K218" si="60">K154+(F155*0.433)</f>
        <v>5.6416810630762617</v>
      </c>
      <c r="L155" s="21">
        <f t="shared" si="55"/>
        <v>0.22347207879870826</v>
      </c>
      <c r="M155" s="2">
        <f t="shared" si="38"/>
        <v>4.2352969181861528</v>
      </c>
      <c r="N155" s="19">
        <f t="shared" si="51"/>
        <v>268.58181845045902</v>
      </c>
      <c r="O155" s="1">
        <f t="shared" si="39"/>
        <v>129</v>
      </c>
      <c r="P155" s="19">
        <f t="shared" si="40"/>
        <v>47.147944479623256</v>
      </c>
      <c r="Q155" s="18">
        <f t="shared" si="41"/>
        <v>3.4306898738342788</v>
      </c>
      <c r="R155" s="2">
        <f t="shared" si="42"/>
        <v>0.91556917961952278</v>
      </c>
      <c r="S155" s="18">
        <f t="shared" si="43"/>
        <v>3.4459493601612707</v>
      </c>
      <c r="T155" s="18">
        <f t="shared" si="44"/>
        <v>0.89796720352512915</v>
      </c>
      <c r="U155" s="1">
        <f t="shared" ref="U155:U218" si="61">$C$9*($C$16/12)/100</f>
        <v>0</v>
      </c>
      <c r="V155" s="2">
        <f t="shared" si="45"/>
        <v>109.80971895145485</v>
      </c>
      <c r="W155" s="19">
        <f t="shared" si="46"/>
        <v>47.536674870759676</v>
      </c>
      <c r="X155" s="20"/>
      <c r="Y155" s="2">
        <f t="shared" si="47"/>
        <v>27.543008305979949</v>
      </c>
      <c r="Z155" s="21">
        <f t="shared" si="48"/>
        <v>0.69604228465160323</v>
      </c>
      <c r="AA155" s="2">
        <f t="shared" si="49"/>
        <v>21.156300385526933</v>
      </c>
      <c r="AB155" s="19">
        <f t="shared" si="52"/>
        <v>41.065283444393572</v>
      </c>
      <c r="AC155" s="2"/>
      <c r="AD155" s="18"/>
      <c r="AE155" s="118"/>
      <c r="AG155" s="2"/>
      <c r="AH155" s="19"/>
      <c r="AI155" s="20"/>
      <c r="AJ155" s="21"/>
      <c r="AK155" s="21"/>
      <c r="AM155" s="19"/>
      <c r="AN155" s="18"/>
      <c r="AO155" s="2"/>
      <c r="AP155" s="18"/>
      <c r="AQ155" s="118"/>
      <c r="AS155" s="2"/>
      <c r="AT155" s="19"/>
      <c r="AU155" s="20"/>
      <c r="AV155" s="21"/>
      <c r="AW155" s="21"/>
      <c r="AY155" s="19"/>
      <c r="AZ155" s="18"/>
      <c r="BA155" s="2"/>
      <c r="BB155" s="18"/>
      <c r="BC155" s="118"/>
      <c r="BE155" s="2"/>
      <c r="BF155" s="19"/>
      <c r="BG155" s="20"/>
      <c r="BH155" s="21"/>
      <c r="BI155" s="21"/>
      <c r="BK155" s="19"/>
      <c r="BL155" s="18"/>
      <c r="BM155" s="2"/>
      <c r="BN155" s="18"/>
      <c r="BO155" s="118"/>
      <c r="BQ155" s="2"/>
      <c r="BR155" s="19"/>
      <c r="BS155" s="20"/>
      <c r="BT155" s="21"/>
      <c r="BU155" s="21"/>
      <c r="BW155" s="19"/>
      <c r="BX155" s="18"/>
      <c r="BY155" s="2"/>
      <c r="BZ155" s="18"/>
      <c r="CA155" s="118"/>
      <c r="CC155" s="2"/>
      <c r="CD155" s="19"/>
      <c r="CE155" s="20"/>
      <c r="CF155" s="21"/>
      <c r="CG155" s="21"/>
      <c r="CI155" s="19"/>
      <c r="CJ155" s="18"/>
      <c r="CK155" s="2"/>
      <c r="CL155" s="18"/>
      <c r="CM155" s="118"/>
      <c r="CO155" s="2"/>
      <c r="CP155" s="19"/>
      <c r="CQ155" s="20"/>
      <c r="CR155" s="21"/>
      <c r="CS155" s="21"/>
    </row>
    <row r="156" spans="1:97" x14ac:dyDescent="0.25">
      <c r="A156" s="1">
        <f t="shared" ref="A156:A219" si="62">A155+$C$16/12</f>
        <v>130</v>
      </c>
      <c r="B156" s="19">
        <f t="shared" ref="B156:B219" si="63">I155</f>
        <v>25.640383774808058</v>
      </c>
      <c r="C156" s="18">
        <f t="shared" si="50"/>
        <v>1.9525524711196947</v>
      </c>
      <c r="D156" s="2">
        <f t="shared" si="56"/>
        <v>0.90448298200436905</v>
      </c>
      <c r="E156" s="18">
        <f t="shared" ref="E156:E219" si="64">C156+D156/60</f>
        <v>1.9676271874864342</v>
      </c>
      <c r="F156" s="21">
        <f t="shared" si="57"/>
        <v>0.29846401681602608</v>
      </c>
      <c r="G156" s="1">
        <f t="shared" si="58"/>
        <v>0</v>
      </c>
      <c r="H156" s="2">
        <f t="shared" si="54"/>
        <v>59.527750536622641</v>
      </c>
      <c r="I156" s="19">
        <f t="shared" si="53"/>
        <v>25.769588976892919</v>
      </c>
      <c r="J156" s="20">
        <f t="shared" si="59"/>
        <v>0.93524957964766264</v>
      </c>
      <c r="K156" s="21">
        <f t="shared" si="60"/>
        <v>5.7709159823576011</v>
      </c>
      <c r="L156" s="21">
        <f t="shared" si="55"/>
        <v>0.22693603954758657</v>
      </c>
      <c r="M156" s="2">
        <f t="shared" ref="M156:M219" si="65">(L156/2.31)+M155</f>
        <v>4.3335376279470132</v>
      </c>
      <c r="N156" s="19">
        <f t="shared" si="51"/>
        <v>268.96107282996502</v>
      </c>
      <c r="O156" s="1">
        <f t="shared" ref="O156:O219" si="66">O155+$C$16/12</f>
        <v>130</v>
      </c>
      <c r="P156" s="19">
        <f t="shared" ref="P156:P219" si="67">W155</f>
        <v>47.536674870759676</v>
      </c>
      <c r="Q156" s="18">
        <f t="shared" ref="Q156:Q219" si="68">S155</f>
        <v>3.4459493601612707</v>
      </c>
      <c r="R156" s="2">
        <f t="shared" ref="R156:R219" si="69">$C$17*W155^$C$18</f>
        <v>0.91571954862065297</v>
      </c>
      <c r="S156" s="18">
        <f t="shared" ref="S156:S219" si="70">Q156+R156/60</f>
        <v>3.4612113526382817</v>
      </c>
      <c r="T156" s="18">
        <f t="shared" ref="T156:T219" si="71">(($C$7*($C$16/12)*(S156)^1.852)/($C$5^4.871)+Z156)-U156</f>
        <v>0.90580575442746936</v>
      </c>
      <c r="U156" s="1">
        <f t="shared" si="61"/>
        <v>0</v>
      </c>
      <c r="V156" s="2">
        <f t="shared" ref="V156:V219" si="72">(P156*2.31)+T156-U156</f>
        <v>110.71552470588233</v>
      </c>
      <c r="W156" s="19">
        <f t="shared" ref="W156:W219" si="73">V156/2.31</f>
        <v>47.928798573975037</v>
      </c>
      <c r="X156" s="20"/>
      <c r="Y156" s="2">
        <f t="shared" ref="Y156:Y219" si="74">Y155+(T156*0.433)</f>
        <v>27.935222197647043</v>
      </c>
      <c r="Z156" s="21">
        <f t="shared" ref="Z156:Z219" si="75">($C$11*((0.4085*S156/$C$5^2))^2)/64.4</f>
        <v>0.70222143323134845</v>
      </c>
      <c r="AA156" s="2">
        <f t="shared" ref="AA156:AA219" si="76">(Z156/2.31)+AA155</f>
        <v>21.460292347964746</v>
      </c>
      <c r="AB156" s="19">
        <f t="shared" si="52"/>
        <v>41.280177512324023</v>
      </c>
      <c r="AC156" s="2"/>
      <c r="AD156" s="18"/>
      <c r="AE156" s="118"/>
      <c r="AG156" s="2"/>
      <c r="AH156" s="19"/>
      <c r="AI156" s="20"/>
      <c r="AJ156" s="21"/>
      <c r="AK156" s="21"/>
      <c r="AM156" s="19"/>
      <c r="AN156" s="18"/>
      <c r="AO156" s="2"/>
      <c r="AP156" s="18"/>
      <c r="AQ156" s="118"/>
      <c r="AS156" s="2"/>
      <c r="AT156" s="19"/>
      <c r="AU156" s="20"/>
      <c r="AV156" s="21"/>
      <c r="AW156" s="21"/>
      <c r="AY156" s="19"/>
      <c r="AZ156" s="18"/>
      <c r="BA156" s="2"/>
      <c r="BB156" s="18"/>
      <c r="BC156" s="118"/>
      <c r="BE156" s="2"/>
      <c r="BF156" s="19"/>
      <c r="BG156" s="20"/>
      <c r="BH156" s="21"/>
      <c r="BI156" s="21"/>
      <c r="BK156" s="19"/>
      <c r="BL156" s="18"/>
      <c r="BM156" s="2"/>
      <c r="BN156" s="18"/>
      <c r="BO156" s="118"/>
      <c r="BQ156" s="2"/>
      <c r="BR156" s="19"/>
      <c r="BS156" s="20"/>
      <c r="BT156" s="21"/>
      <c r="BU156" s="21"/>
      <c r="BW156" s="19"/>
      <c r="BX156" s="18"/>
      <c r="BY156" s="2"/>
      <c r="BZ156" s="18"/>
      <c r="CA156" s="118"/>
      <c r="CC156" s="2"/>
      <c r="CD156" s="19"/>
      <c r="CE156" s="20"/>
      <c r="CF156" s="21"/>
      <c r="CG156" s="21"/>
      <c r="CI156" s="19"/>
      <c r="CJ156" s="18"/>
      <c r="CK156" s="2"/>
      <c r="CL156" s="18"/>
      <c r="CM156" s="118"/>
      <c r="CO156" s="2"/>
      <c r="CP156" s="19"/>
      <c r="CQ156" s="20"/>
      <c r="CR156" s="21"/>
      <c r="CS156" s="21"/>
    </row>
    <row r="157" spans="1:97" x14ac:dyDescent="0.25">
      <c r="A157" s="1">
        <f t="shared" si="62"/>
        <v>131</v>
      </c>
      <c r="B157" s="19">
        <f t="shared" si="63"/>
        <v>25.769588976892919</v>
      </c>
      <c r="C157" s="18">
        <f t="shared" ref="C157:C220" si="77">E156</f>
        <v>1.9676271874864342</v>
      </c>
      <c r="D157" s="2">
        <f t="shared" si="56"/>
        <v>0.9045739137988148</v>
      </c>
      <c r="E157" s="18">
        <f t="shared" si="64"/>
        <v>1.982703419383081</v>
      </c>
      <c r="F157" s="21">
        <f t="shared" si="57"/>
        <v>0.30297328440278959</v>
      </c>
      <c r="G157" s="1">
        <f t="shared" si="58"/>
        <v>0</v>
      </c>
      <c r="H157" s="2">
        <f t="shared" si="54"/>
        <v>59.830723821025437</v>
      </c>
      <c r="I157" s="19">
        <f t="shared" si="53"/>
        <v>25.900746242868156</v>
      </c>
      <c r="J157" s="20">
        <f t="shared" si="59"/>
        <v>0.93522308070510984</v>
      </c>
      <c r="K157" s="21">
        <f t="shared" si="60"/>
        <v>5.9021034145040092</v>
      </c>
      <c r="L157" s="21">
        <f t="shared" si="55"/>
        <v>0.23042699329278182</v>
      </c>
      <c r="M157" s="2">
        <f t="shared" si="65"/>
        <v>4.4332895730954034</v>
      </c>
      <c r="N157" s="19">
        <f t="shared" ref="N157:N220" si="78">($C$16/12)/(0.4085*E156/$C$5^2)+N156</f>
        <v>269.33742160202758</v>
      </c>
      <c r="O157" s="1">
        <f t="shared" si="66"/>
        <v>131</v>
      </c>
      <c r="P157" s="19">
        <f t="shared" si="67"/>
        <v>47.928798573975037</v>
      </c>
      <c r="Q157" s="18">
        <f t="shared" si="68"/>
        <v>3.4612113526382817</v>
      </c>
      <c r="R157" s="2">
        <f t="shared" si="69"/>
        <v>0.91587001426938874</v>
      </c>
      <c r="S157" s="18">
        <f t="shared" si="70"/>
        <v>3.4764758528761051</v>
      </c>
      <c r="T157" s="18">
        <f t="shared" si="71"/>
        <v>0.91367915419859003</v>
      </c>
      <c r="U157" s="1">
        <f t="shared" si="61"/>
        <v>0</v>
      </c>
      <c r="V157" s="2">
        <f t="shared" si="72"/>
        <v>111.62920386008092</v>
      </c>
      <c r="W157" s="19">
        <f t="shared" si="73"/>
        <v>48.324330675359704</v>
      </c>
      <c r="X157" s="20"/>
      <c r="Y157" s="2">
        <f t="shared" si="74"/>
        <v>28.330845271415033</v>
      </c>
      <c r="Z157" s="21">
        <f t="shared" si="75"/>
        <v>0.70842891063159064</v>
      </c>
      <c r="AA157" s="2">
        <f t="shared" si="76"/>
        <v>21.766971530056342</v>
      </c>
      <c r="AB157" s="19">
        <f t="shared" ref="AB157:AB220" si="79">($C$16/12)/(0.4085*S156/$C$5^2)+AB156</f>
        <v>41.494124018457761</v>
      </c>
      <c r="AC157" s="2"/>
      <c r="AD157" s="18"/>
      <c r="AE157" s="118"/>
      <c r="AG157" s="2"/>
      <c r="AH157" s="19"/>
      <c r="AI157" s="20"/>
      <c r="AJ157" s="21"/>
      <c r="AK157" s="21"/>
      <c r="AM157" s="19"/>
      <c r="AN157" s="18"/>
      <c r="AO157" s="2"/>
      <c r="AP157" s="18"/>
      <c r="AQ157" s="118"/>
      <c r="AS157" s="2"/>
      <c r="AT157" s="19"/>
      <c r="AU157" s="20"/>
      <c r="AV157" s="21"/>
      <c r="AW157" s="21"/>
      <c r="AY157" s="19"/>
      <c r="AZ157" s="18"/>
      <c r="BA157" s="2"/>
      <c r="BB157" s="18"/>
      <c r="BC157" s="118"/>
      <c r="BE157" s="2"/>
      <c r="BF157" s="19"/>
      <c r="BG157" s="20"/>
      <c r="BH157" s="21"/>
      <c r="BI157" s="21"/>
      <c r="BK157" s="19"/>
      <c r="BL157" s="18"/>
      <c r="BM157" s="2"/>
      <c r="BN157" s="18"/>
      <c r="BO157" s="118"/>
      <c r="BQ157" s="2"/>
      <c r="BR157" s="19"/>
      <c r="BS157" s="20"/>
      <c r="BT157" s="21"/>
      <c r="BU157" s="21"/>
      <c r="BW157" s="19"/>
      <c r="BX157" s="18"/>
      <c r="BY157" s="2"/>
      <c r="BZ157" s="18"/>
      <c r="CA157" s="118"/>
      <c r="CC157" s="2"/>
      <c r="CD157" s="19"/>
      <c r="CE157" s="20"/>
      <c r="CF157" s="21"/>
      <c r="CG157" s="21"/>
      <c r="CI157" s="19"/>
      <c r="CJ157" s="18"/>
      <c r="CK157" s="2"/>
      <c r="CL157" s="18"/>
      <c r="CM157" s="118"/>
      <c r="CO157" s="2"/>
      <c r="CP157" s="19"/>
      <c r="CQ157" s="20"/>
      <c r="CR157" s="21"/>
      <c r="CS157" s="21"/>
    </row>
    <row r="158" spans="1:97" x14ac:dyDescent="0.25">
      <c r="A158" s="1">
        <f t="shared" si="62"/>
        <v>132</v>
      </c>
      <c r="B158" s="19">
        <f t="shared" si="63"/>
        <v>25.900746242868156</v>
      </c>
      <c r="C158" s="18">
        <f t="shared" si="77"/>
        <v>1.982703419383081</v>
      </c>
      <c r="D158" s="2">
        <f t="shared" si="56"/>
        <v>0.90466576357606676</v>
      </c>
      <c r="E158" s="18">
        <f t="shared" si="64"/>
        <v>1.9977811821093487</v>
      </c>
      <c r="F158" s="21">
        <f t="shared" si="57"/>
        <v>0.30751627961339678</v>
      </c>
      <c r="G158" s="1">
        <f t="shared" si="58"/>
        <v>0</v>
      </c>
      <c r="H158" s="2">
        <f t="shared" si="54"/>
        <v>60.138240100638839</v>
      </c>
      <c r="I158" s="19">
        <f t="shared" si="53"/>
        <v>26.033870173436725</v>
      </c>
      <c r="J158" s="20">
        <f t="shared" si="59"/>
        <v>0.9351962651021396</v>
      </c>
      <c r="K158" s="21">
        <f t="shared" si="60"/>
        <v>6.0352579635766102</v>
      </c>
      <c r="L158" s="21">
        <f t="shared" si="55"/>
        <v>0.23394495165330986</v>
      </c>
      <c r="M158" s="2">
        <f t="shared" si="65"/>
        <v>4.534564443940992</v>
      </c>
      <c r="N158" s="19">
        <f t="shared" si="78"/>
        <v>269.71090866451414</v>
      </c>
      <c r="O158" s="1">
        <f t="shared" si="66"/>
        <v>132</v>
      </c>
      <c r="P158" s="19">
        <f t="shared" si="67"/>
        <v>48.324330675359704</v>
      </c>
      <c r="Q158" s="18">
        <f t="shared" si="68"/>
        <v>3.4764758528761051</v>
      </c>
      <c r="R158" s="2">
        <f t="shared" si="69"/>
        <v>0.91602057054013308</v>
      </c>
      <c r="S158" s="18">
        <f t="shared" si="70"/>
        <v>3.4917428623851072</v>
      </c>
      <c r="T158" s="18">
        <f t="shared" si="71"/>
        <v>0.92158741609598638</v>
      </c>
      <c r="U158" s="1">
        <f t="shared" si="61"/>
        <v>0</v>
      </c>
      <c r="V158" s="2">
        <f t="shared" si="72"/>
        <v>112.55079127617691</v>
      </c>
      <c r="W158" s="19">
        <f t="shared" si="73"/>
        <v>48.723286266743251</v>
      </c>
      <c r="X158" s="20"/>
      <c r="Y158" s="2">
        <f t="shared" si="74"/>
        <v>28.729892622584593</v>
      </c>
      <c r="Z158" s="21">
        <f t="shared" si="75"/>
        <v>0.71466473093346627</v>
      </c>
      <c r="AA158" s="2">
        <f t="shared" si="76"/>
        <v>22.076350201456112</v>
      </c>
      <c r="AB158" s="19">
        <f t="shared" si="79"/>
        <v>41.707131128883901</v>
      </c>
      <c r="AC158" s="2"/>
      <c r="AD158" s="18"/>
      <c r="AE158" s="118"/>
      <c r="AG158" s="2"/>
      <c r="AH158" s="19"/>
      <c r="AI158" s="20"/>
      <c r="AJ158" s="21"/>
      <c r="AK158" s="21"/>
      <c r="AM158" s="19"/>
      <c r="AN158" s="18"/>
      <c r="AO158" s="2"/>
      <c r="AP158" s="18"/>
      <c r="AQ158" s="118"/>
      <c r="AS158" s="2"/>
      <c r="AT158" s="19"/>
      <c r="AU158" s="20"/>
      <c r="AV158" s="21"/>
      <c r="AW158" s="21"/>
      <c r="AY158" s="19"/>
      <c r="AZ158" s="18"/>
      <c r="BA158" s="2"/>
      <c r="BB158" s="18"/>
      <c r="BC158" s="118"/>
      <c r="BE158" s="2"/>
      <c r="BF158" s="19"/>
      <c r="BG158" s="20"/>
      <c r="BH158" s="21"/>
      <c r="BI158" s="21"/>
      <c r="BK158" s="19"/>
      <c r="BL158" s="18"/>
      <c r="BM158" s="2"/>
      <c r="BN158" s="18"/>
      <c r="BO158" s="118"/>
      <c r="BQ158" s="2"/>
      <c r="BR158" s="19"/>
      <c r="BS158" s="20"/>
      <c r="BT158" s="21"/>
      <c r="BU158" s="21"/>
      <c r="BW158" s="19"/>
      <c r="BX158" s="18"/>
      <c r="BY158" s="2"/>
      <c r="BZ158" s="18"/>
      <c r="CA158" s="118"/>
      <c r="CC158" s="2"/>
      <c r="CD158" s="19"/>
      <c r="CE158" s="20"/>
      <c r="CF158" s="21"/>
      <c r="CG158" s="21"/>
      <c r="CI158" s="19"/>
      <c r="CJ158" s="18"/>
      <c r="CK158" s="2"/>
      <c r="CL158" s="18"/>
      <c r="CM158" s="118"/>
      <c r="CO158" s="2"/>
      <c r="CP158" s="19"/>
      <c r="CQ158" s="20"/>
      <c r="CR158" s="21"/>
      <c r="CS158" s="21"/>
    </row>
    <row r="159" spans="1:97" x14ac:dyDescent="0.25">
      <c r="A159" s="1">
        <f t="shared" si="62"/>
        <v>133</v>
      </c>
      <c r="B159" s="19">
        <f t="shared" si="63"/>
        <v>26.033870173436725</v>
      </c>
      <c r="C159" s="18">
        <f t="shared" si="77"/>
        <v>1.9977811821093487</v>
      </c>
      <c r="D159" s="2">
        <f t="shared" si="56"/>
        <v>0.90475852567480786</v>
      </c>
      <c r="E159" s="18">
        <f t="shared" si="64"/>
        <v>2.0128604908705956</v>
      </c>
      <c r="F159" s="21">
        <f t="shared" si="57"/>
        <v>0.31209300979412213</v>
      </c>
      <c r="G159" s="1">
        <f t="shared" si="58"/>
        <v>0</v>
      </c>
      <c r="H159" s="2">
        <f t="shared" si="54"/>
        <v>60.450333110432965</v>
      </c>
      <c r="I159" s="19">
        <f t="shared" si="53"/>
        <v>26.168975372481803</v>
      </c>
      <c r="J159" s="20">
        <f t="shared" si="59"/>
        <v>0.93516913295160653</v>
      </c>
      <c r="K159" s="21">
        <f t="shared" si="60"/>
        <v>6.1703942368174651</v>
      </c>
      <c r="L159" s="21">
        <f t="shared" si="55"/>
        <v>0.23748992633491531</v>
      </c>
      <c r="M159" s="2">
        <f t="shared" si="65"/>
        <v>4.637373935860869</v>
      </c>
      <c r="N159" s="19">
        <f t="shared" si="78"/>
        <v>270.08157692514192</v>
      </c>
      <c r="O159" s="1">
        <f t="shared" si="66"/>
        <v>133</v>
      </c>
      <c r="P159" s="19">
        <f t="shared" si="67"/>
        <v>48.723286266743251</v>
      </c>
      <c r="Q159" s="18">
        <f t="shared" si="68"/>
        <v>3.4917428623851072</v>
      </c>
      <c r="R159" s="2">
        <f t="shared" si="69"/>
        <v>0.91617121149249148</v>
      </c>
      <c r="S159" s="18">
        <f t="shared" si="70"/>
        <v>3.5070123825766486</v>
      </c>
      <c r="T159" s="18">
        <f t="shared" si="71"/>
        <v>0.9295305533580025</v>
      </c>
      <c r="U159" s="1">
        <f t="shared" si="61"/>
        <v>0</v>
      </c>
      <c r="V159" s="2">
        <f t="shared" si="72"/>
        <v>113.48032182953492</v>
      </c>
      <c r="W159" s="19">
        <f t="shared" si="73"/>
        <v>49.125680445686108</v>
      </c>
      <c r="X159" s="20"/>
      <c r="Y159" s="2">
        <f t="shared" si="74"/>
        <v>29.132379352188607</v>
      </c>
      <c r="Z159" s="21">
        <f t="shared" si="75"/>
        <v>0.72092890819043287</v>
      </c>
      <c r="AA159" s="2">
        <f t="shared" si="76"/>
        <v>22.388440637902185</v>
      </c>
      <c r="AB159" s="19">
        <f t="shared" si="79"/>
        <v>41.919206904527236</v>
      </c>
      <c r="AC159" s="2"/>
      <c r="AD159" s="18"/>
      <c r="AE159" s="118"/>
      <c r="AG159" s="2"/>
      <c r="AH159" s="19"/>
      <c r="AI159" s="20"/>
      <c r="AJ159" s="21"/>
      <c r="AK159" s="21"/>
      <c r="AM159" s="19"/>
      <c r="AN159" s="18"/>
      <c r="AO159" s="2"/>
      <c r="AP159" s="18"/>
      <c r="AQ159" s="118"/>
      <c r="AS159" s="2"/>
      <c r="AT159" s="19"/>
      <c r="AU159" s="20"/>
      <c r="AV159" s="21"/>
      <c r="AW159" s="21"/>
      <c r="AY159" s="19"/>
      <c r="AZ159" s="18"/>
      <c r="BA159" s="2"/>
      <c r="BB159" s="18"/>
      <c r="BC159" s="118"/>
      <c r="BE159" s="2"/>
      <c r="BF159" s="19"/>
      <c r="BG159" s="20"/>
      <c r="BH159" s="21"/>
      <c r="BI159" s="21"/>
      <c r="BK159" s="19"/>
      <c r="BL159" s="18"/>
      <c r="BM159" s="2"/>
      <c r="BN159" s="18"/>
      <c r="BO159" s="118"/>
      <c r="BQ159" s="2"/>
      <c r="BR159" s="19"/>
      <c r="BS159" s="20"/>
      <c r="BT159" s="21"/>
      <c r="BU159" s="21"/>
      <c r="BW159" s="19"/>
      <c r="BX159" s="18"/>
      <c r="BY159" s="2"/>
      <c r="BZ159" s="18"/>
      <c r="CA159" s="118"/>
      <c r="CC159" s="2"/>
      <c r="CD159" s="19"/>
      <c r="CE159" s="20"/>
      <c r="CF159" s="21"/>
      <c r="CG159" s="21"/>
      <c r="CI159" s="19"/>
      <c r="CJ159" s="18"/>
      <c r="CK159" s="2"/>
      <c r="CL159" s="18"/>
      <c r="CM159" s="118"/>
      <c r="CO159" s="2"/>
      <c r="CP159" s="19"/>
      <c r="CQ159" s="20"/>
      <c r="CR159" s="21"/>
      <c r="CS159" s="21"/>
    </row>
    <row r="160" spans="1:97" x14ac:dyDescent="0.25">
      <c r="A160" s="1">
        <f t="shared" si="62"/>
        <v>134</v>
      </c>
      <c r="B160" s="19">
        <f t="shared" si="63"/>
        <v>26.168975372481803</v>
      </c>
      <c r="C160" s="18">
        <f t="shared" si="77"/>
        <v>2.0128604908705956</v>
      </c>
      <c r="D160" s="2">
        <f t="shared" si="56"/>
        <v>0.90485219427069097</v>
      </c>
      <c r="E160" s="18">
        <f t="shared" si="64"/>
        <v>2.0279413607751069</v>
      </c>
      <c r="F160" s="21">
        <f t="shared" si="57"/>
        <v>0.31670348245616264</v>
      </c>
      <c r="G160" s="1">
        <f t="shared" si="58"/>
        <v>0</v>
      </c>
      <c r="H160" s="2">
        <f t="shared" si="54"/>
        <v>60.767036592889127</v>
      </c>
      <c r="I160" s="19">
        <f t="shared" si="53"/>
        <v>26.30607644713815</v>
      </c>
      <c r="J160" s="20">
        <f t="shared" si="59"/>
        <v>0.93514168441002921</v>
      </c>
      <c r="K160" s="21">
        <f t="shared" si="60"/>
        <v>6.3075268447209831</v>
      </c>
      <c r="L160" s="21">
        <f t="shared" si="55"/>
        <v>0.24106192912861921</v>
      </c>
      <c r="M160" s="2">
        <f t="shared" si="65"/>
        <v>4.7417297493364616</v>
      </c>
      <c r="N160" s="19">
        <f t="shared" si="78"/>
        <v>270.44946833105206</v>
      </c>
      <c r="O160" s="1">
        <f t="shared" si="66"/>
        <v>134</v>
      </c>
      <c r="P160" s="19">
        <f t="shared" si="67"/>
        <v>49.125680445686108</v>
      </c>
      <c r="Q160" s="18">
        <f t="shared" si="68"/>
        <v>3.5070123825766486</v>
      </c>
      <c r="R160" s="2">
        <f t="shared" si="69"/>
        <v>0.91632193127085992</v>
      </c>
      <c r="S160" s="18">
        <f t="shared" si="70"/>
        <v>3.5222844147644961</v>
      </c>
      <c r="T160" s="18">
        <f t="shared" si="71"/>
        <v>0.93750857920332487</v>
      </c>
      <c r="U160" s="1">
        <f t="shared" si="61"/>
        <v>0</v>
      </c>
      <c r="V160" s="2">
        <f t="shared" si="72"/>
        <v>114.41783040873824</v>
      </c>
      <c r="W160" s="19">
        <f t="shared" si="73"/>
        <v>49.5315283154711</v>
      </c>
      <c r="X160" s="20"/>
      <c r="Y160" s="2">
        <f t="shared" si="74"/>
        <v>29.538320566983646</v>
      </c>
      <c r="Z160" s="21">
        <f t="shared" si="75"/>
        <v>0.72722145642797142</v>
      </c>
      <c r="AA160" s="2">
        <f t="shared" si="76"/>
        <v>22.703255121204336</v>
      </c>
      <c r="AB160" s="19">
        <f t="shared" si="79"/>
        <v>42.130359302952279</v>
      </c>
      <c r="AC160" s="2"/>
      <c r="AD160" s="18"/>
      <c r="AE160" s="118"/>
      <c r="AG160" s="2"/>
      <c r="AH160" s="19"/>
      <c r="AI160" s="20"/>
      <c r="AJ160" s="21"/>
      <c r="AK160" s="21"/>
      <c r="AM160" s="19"/>
      <c r="AN160" s="18"/>
      <c r="AO160" s="2"/>
      <c r="AP160" s="18"/>
      <c r="AQ160" s="118"/>
      <c r="AS160" s="2"/>
      <c r="AT160" s="19"/>
      <c r="AU160" s="20"/>
      <c r="AV160" s="21"/>
      <c r="AW160" s="21"/>
      <c r="AY160" s="19"/>
      <c r="AZ160" s="18"/>
      <c r="BA160" s="2"/>
      <c r="BB160" s="18"/>
      <c r="BC160" s="118"/>
      <c r="BE160" s="2"/>
      <c r="BF160" s="19"/>
      <c r="BG160" s="20"/>
      <c r="BH160" s="21"/>
      <c r="BI160" s="21"/>
      <c r="BK160" s="19"/>
      <c r="BL160" s="18"/>
      <c r="BM160" s="2"/>
      <c r="BN160" s="18"/>
      <c r="BO160" s="118"/>
      <c r="BQ160" s="2"/>
      <c r="BR160" s="19"/>
      <c r="BS160" s="20"/>
      <c r="BT160" s="21"/>
      <c r="BU160" s="21"/>
      <c r="BW160" s="19"/>
      <c r="BX160" s="18"/>
      <c r="BY160" s="2"/>
      <c r="BZ160" s="18"/>
      <c r="CA160" s="118"/>
      <c r="CC160" s="2"/>
      <c r="CD160" s="19"/>
      <c r="CE160" s="20"/>
      <c r="CF160" s="21"/>
      <c r="CG160" s="21"/>
      <c r="CI160" s="19"/>
      <c r="CJ160" s="18"/>
      <c r="CK160" s="2"/>
      <c r="CL160" s="18"/>
      <c r="CM160" s="118"/>
      <c r="CO160" s="2"/>
      <c r="CP160" s="19"/>
      <c r="CQ160" s="20"/>
      <c r="CR160" s="21"/>
      <c r="CS160" s="21"/>
    </row>
    <row r="161" spans="1:97" x14ac:dyDescent="0.25">
      <c r="A161" s="1">
        <f t="shared" si="62"/>
        <v>135</v>
      </c>
      <c r="B161" s="19">
        <f t="shared" si="63"/>
        <v>26.30607644713815</v>
      </c>
      <c r="C161" s="18">
        <f t="shared" si="77"/>
        <v>2.0279413607751069</v>
      </c>
      <c r="D161" s="2">
        <f t="shared" si="56"/>
        <v>0.90494676338029989</v>
      </c>
      <c r="E161" s="18">
        <f t="shared" si="64"/>
        <v>2.043023806831445</v>
      </c>
      <c r="F161" s="21">
        <f t="shared" si="57"/>
        <v>0.32134770527274648</v>
      </c>
      <c r="G161" s="1">
        <f t="shared" si="58"/>
        <v>0</v>
      </c>
      <c r="H161" s="2">
        <f t="shared" si="54"/>
        <v>61.088384298161877</v>
      </c>
      <c r="I161" s="19">
        <f t="shared" ref="I161:I224" si="80">H161/2.31</f>
        <v>26.445188007862285</v>
      </c>
      <c r="J161" s="20">
        <f t="shared" si="59"/>
        <v>0.93511391967720636</v>
      </c>
      <c r="K161" s="21">
        <f t="shared" si="60"/>
        <v>6.4466704011040825</v>
      </c>
      <c r="L161" s="21">
        <f t="shared" si="55"/>
        <v>0.24466097190925312</v>
      </c>
      <c r="M161" s="2">
        <f t="shared" si="65"/>
        <v>4.8476435899898176</v>
      </c>
      <c r="N161" s="19">
        <f t="shared" si="78"/>
        <v>270.81462389728813</v>
      </c>
      <c r="O161" s="1">
        <f t="shared" si="66"/>
        <v>135</v>
      </c>
      <c r="P161" s="19">
        <f t="shared" si="67"/>
        <v>49.5315283154711</v>
      </c>
      <c r="Q161" s="18">
        <f t="shared" si="68"/>
        <v>3.5222844147644961</v>
      </c>
      <c r="R161" s="2">
        <f t="shared" si="69"/>
        <v>0.9164727241039915</v>
      </c>
      <c r="S161" s="18">
        <f t="shared" si="70"/>
        <v>3.5375589601662294</v>
      </c>
      <c r="T161" s="18">
        <f t="shared" si="71"/>
        <v>0.94552150683049196</v>
      </c>
      <c r="U161" s="1">
        <f t="shared" si="61"/>
        <v>0</v>
      </c>
      <c r="V161" s="2">
        <f t="shared" si="72"/>
        <v>115.36335191556873</v>
      </c>
      <c r="W161" s="19">
        <f t="shared" si="73"/>
        <v>49.940844985094685</v>
      </c>
      <c r="X161" s="20"/>
      <c r="Y161" s="2">
        <f t="shared" si="74"/>
        <v>29.947731379441251</v>
      </c>
      <c r="Z161" s="21">
        <f t="shared" si="75"/>
        <v>0.73354238964329954</v>
      </c>
      <c r="AA161" s="2">
        <f t="shared" si="76"/>
        <v>23.020805939231739</v>
      </c>
      <c r="AB161" s="19">
        <f t="shared" si="79"/>
        <v>42.340596180128735</v>
      </c>
      <c r="AC161" s="2"/>
      <c r="AD161" s="18"/>
      <c r="AE161" s="118"/>
      <c r="AG161" s="2"/>
      <c r="AH161" s="19"/>
      <c r="AI161" s="20"/>
      <c r="AJ161" s="21"/>
      <c r="AK161" s="21"/>
      <c r="AM161" s="19"/>
      <c r="AN161" s="18"/>
      <c r="AO161" s="2"/>
      <c r="AP161" s="18"/>
      <c r="AQ161" s="118"/>
      <c r="AS161" s="2"/>
      <c r="AT161" s="19"/>
      <c r="AU161" s="20"/>
      <c r="AV161" s="21"/>
      <c r="AW161" s="21"/>
      <c r="AY161" s="19"/>
      <c r="AZ161" s="18"/>
      <c r="BA161" s="2"/>
      <c r="BB161" s="18"/>
      <c r="BC161" s="118"/>
      <c r="BE161" s="2"/>
      <c r="BF161" s="19"/>
      <c r="BG161" s="20"/>
      <c r="BH161" s="21"/>
      <c r="BI161" s="21"/>
      <c r="BK161" s="19"/>
      <c r="BL161" s="18"/>
      <c r="BM161" s="2"/>
      <c r="BN161" s="18"/>
      <c r="BO161" s="118"/>
      <c r="BQ161" s="2"/>
      <c r="BR161" s="19"/>
      <c r="BS161" s="20"/>
      <c r="BT161" s="21"/>
      <c r="BU161" s="21"/>
      <c r="BW161" s="19"/>
      <c r="BX161" s="18"/>
      <c r="BY161" s="2"/>
      <c r="BZ161" s="18"/>
      <c r="CA161" s="118"/>
      <c r="CC161" s="2"/>
      <c r="CD161" s="19"/>
      <c r="CE161" s="20"/>
      <c r="CF161" s="21"/>
      <c r="CG161" s="21"/>
      <c r="CI161" s="19"/>
      <c r="CJ161" s="18"/>
      <c r="CK161" s="2"/>
      <c r="CL161" s="18"/>
      <c r="CM161" s="118"/>
      <c r="CO161" s="2"/>
      <c r="CP161" s="19"/>
      <c r="CQ161" s="20"/>
      <c r="CR161" s="21"/>
      <c r="CS161" s="21"/>
    </row>
    <row r="162" spans="1:97" x14ac:dyDescent="0.25">
      <c r="A162" s="1">
        <f t="shared" si="62"/>
        <v>136</v>
      </c>
      <c r="B162" s="19">
        <f t="shared" si="63"/>
        <v>26.445188007862285</v>
      </c>
      <c r="C162" s="18">
        <f t="shared" si="77"/>
        <v>2.043023806831445</v>
      </c>
      <c r="D162" s="2">
        <f t="shared" si="56"/>
        <v>0.90504222686515923</v>
      </c>
      <c r="E162" s="18">
        <f t="shared" si="64"/>
        <v>2.0581078439458644</v>
      </c>
      <c r="F162" s="21">
        <f t="shared" si="57"/>
        <v>0.32602568607625237</v>
      </c>
      <c r="G162" s="1">
        <f t="shared" si="58"/>
        <v>0</v>
      </c>
      <c r="H162" s="2">
        <f t="shared" si="54"/>
        <v>61.414409984238127</v>
      </c>
      <c r="I162" s="19">
        <f t="shared" si="80"/>
        <v>26.586324668501351</v>
      </c>
      <c r="J162" s="20">
        <f t="shared" si="59"/>
        <v>0.93508583899582176</v>
      </c>
      <c r="K162" s="21">
        <f t="shared" si="60"/>
        <v>6.5878395231750995</v>
      </c>
      <c r="L162" s="21">
        <f t="shared" si="55"/>
        <v>0.24828706663398245</v>
      </c>
      <c r="M162" s="2">
        <f t="shared" si="65"/>
        <v>4.9551271686192475</v>
      </c>
      <c r="N162" s="19">
        <f t="shared" si="78"/>
        <v>271.17708373422749</v>
      </c>
      <c r="O162" s="1">
        <f t="shared" si="66"/>
        <v>136</v>
      </c>
      <c r="P162" s="19">
        <f t="shared" si="67"/>
        <v>49.940844985094685</v>
      </c>
      <c r="Q162" s="18">
        <f t="shared" si="68"/>
        <v>3.5375589601662294</v>
      </c>
      <c r="R162" s="2">
        <f t="shared" si="69"/>
        <v>0.91662358430453816</v>
      </c>
      <c r="S162" s="18">
        <f t="shared" si="70"/>
        <v>3.5528360199046385</v>
      </c>
      <c r="T162" s="18">
        <f t="shared" si="71"/>
        <v>0.95356934941741867</v>
      </c>
      <c r="U162" s="1">
        <f t="shared" si="61"/>
        <v>0</v>
      </c>
      <c r="V162" s="2">
        <f t="shared" si="72"/>
        <v>116.31692126498615</v>
      </c>
      <c r="W162" s="19">
        <f t="shared" si="73"/>
        <v>50.35364556925807</v>
      </c>
      <c r="X162" s="20"/>
      <c r="Y162" s="2">
        <f t="shared" si="74"/>
        <v>30.360626907738993</v>
      </c>
      <c r="Z162" s="21">
        <f t="shared" si="75"/>
        <v>0.7398917218050951</v>
      </c>
      <c r="AA162" s="2">
        <f t="shared" si="76"/>
        <v>23.341105385900612</v>
      </c>
      <c r="AB162" s="19">
        <f t="shared" si="79"/>
        <v>42.549925292159308</v>
      </c>
      <c r="AC162" s="2"/>
      <c r="AD162" s="18"/>
      <c r="AE162" s="118"/>
      <c r="AG162" s="2"/>
      <c r="AH162" s="19"/>
      <c r="AI162" s="20"/>
      <c r="AJ162" s="21"/>
      <c r="AK162" s="21"/>
      <c r="AM162" s="19"/>
      <c r="AN162" s="18"/>
      <c r="AO162" s="2"/>
      <c r="AP162" s="18"/>
      <c r="AQ162" s="118"/>
      <c r="AS162" s="2"/>
      <c r="AT162" s="19"/>
      <c r="AU162" s="20"/>
      <c r="AV162" s="21"/>
      <c r="AW162" s="21"/>
      <c r="AY162" s="19"/>
      <c r="AZ162" s="18"/>
      <c r="BA162" s="2"/>
      <c r="BB162" s="18"/>
      <c r="BC162" s="118"/>
      <c r="BE162" s="2"/>
      <c r="BF162" s="19"/>
      <c r="BG162" s="20"/>
      <c r="BH162" s="21"/>
      <c r="BI162" s="21"/>
      <c r="BK162" s="19"/>
      <c r="BL162" s="18"/>
      <c r="BM162" s="2"/>
      <c r="BN162" s="18"/>
      <c r="BO162" s="118"/>
      <c r="BQ162" s="2"/>
      <c r="BR162" s="19"/>
      <c r="BS162" s="20"/>
      <c r="BT162" s="21"/>
      <c r="BU162" s="21"/>
      <c r="BW162" s="19"/>
      <c r="BX162" s="18"/>
      <c r="BY162" s="2"/>
      <c r="BZ162" s="18"/>
      <c r="CA162" s="118"/>
      <c r="CC162" s="2"/>
      <c r="CD162" s="19"/>
      <c r="CE162" s="20"/>
      <c r="CF162" s="21"/>
      <c r="CG162" s="21"/>
      <c r="CI162" s="19"/>
      <c r="CJ162" s="18"/>
      <c r="CK162" s="2"/>
      <c r="CL162" s="18"/>
      <c r="CM162" s="118"/>
      <c r="CO162" s="2"/>
      <c r="CP162" s="19"/>
      <c r="CQ162" s="20"/>
      <c r="CR162" s="21"/>
      <c r="CS162" s="21"/>
    </row>
    <row r="163" spans="1:97" x14ac:dyDescent="0.25">
      <c r="A163" s="1">
        <f t="shared" si="62"/>
        <v>137</v>
      </c>
      <c r="B163" s="19">
        <f t="shared" si="63"/>
        <v>26.586324668501351</v>
      </c>
      <c r="C163" s="18">
        <f t="shared" si="77"/>
        <v>2.0581078439458644</v>
      </c>
      <c r="D163" s="2">
        <f t="shared" si="56"/>
        <v>0.90513857843578882</v>
      </c>
      <c r="E163" s="18">
        <f t="shared" si="64"/>
        <v>2.0731934869197941</v>
      </c>
      <c r="F163" s="21">
        <f t="shared" si="57"/>
        <v>0.33073743285533813</v>
      </c>
      <c r="G163" s="1">
        <f t="shared" si="58"/>
        <v>0</v>
      </c>
      <c r="H163" s="2">
        <f t="shared" si="54"/>
        <v>61.745147417093463</v>
      </c>
      <c r="I163" s="19">
        <f t="shared" si="80"/>
        <v>26.729501046360806</v>
      </c>
      <c r="J163" s="20">
        <f t="shared" si="59"/>
        <v>0.93505744265103286</v>
      </c>
      <c r="K163" s="21">
        <f t="shared" si="60"/>
        <v>6.7310488316014609</v>
      </c>
      <c r="L163" s="21">
        <f t="shared" si="55"/>
        <v>0.25194022534081661</v>
      </c>
      <c r="M163" s="2">
        <f t="shared" si="65"/>
        <v>5.0641922012343192</v>
      </c>
      <c r="N163" s="19">
        <f t="shared" si="78"/>
        <v>271.53688707401153</v>
      </c>
      <c r="O163" s="1">
        <f t="shared" si="66"/>
        <v>137</v>
      </c>
      <c r="P163" s="19">
        <f t="shared" si="67"/>
        <v>50.35364556925807</v>
      </c>
      <c r="Q163" s="18">
        <f t="shared" si="68"/>
        <v>3.5528360199046385</v>
      </c>
      <c r="R163" s="2">
        <f t="shared" si="69"/>
        <v>0.91677450626857149</v>
      </c>
      <c r="S163" s="18">
        <f t="shared" si="70"/>
        <v>3.5681155950091146</v>
      </c>
      <c r="T163" s="18">
        <f t="shared" si="71"/>
        <v>0.96165212012094248</v>
      </c>
      <c r="U163" s="1">
        <f t="shared" si="61"/>
        <v>0</v>
      </c>
      <c r="V163" s="2">
        <f t="shared" si="72"/>
        <v>117.27857338510709</v>
      </c>
      <c r="W163" s="19">
        <f t="shared" si="73"/>
        <v>50.769945188358051</v>
      </c>
      <c r="X163" s="20"/>
      <c r="Y163" s="2">
        <f t="shared" si="74"/>
        <v>30.77702227575136</v>
      </c>
      <c r="Z163" s="21">
        <f t="shared" si="75"/>
        <v>0.74626946685323514</v>
      </c>
      <c r="AA163" s="2">
        <f t="shared" si="76"/>
        <v>23.664165761161751</v>
      </c>
      <c r="AB163" s="19">
        <f t="shared" si="79"/>
        <v>42.758354296970872</v>
      </c>
      <c r="AC163" s="2"/>
      <c r="AD163" s="18"/>
      <c r="AE163" s="118"/>
      <c r="AG163" s="2"/>
      <c r="AH163" s="19"/>
      <c r="AI163" s="20"/>
      <c r="AJ163" s="21"/>
      <c r="AK163" s="21"/>
      <c r="AM163" s="19"/>
      <c r="AN163" s="18"/>
      <c r="AO163" s="2"/>
      <c r="AP163" s="18"/>
      <c r="AQ163" s="118"/>
      <c r="AS163" s="2"/>
      <c r="AT163" s="19"/>
      <c r="AU163" s="20"/>
      <c r="AV163" s="21"/>
      <c r="AW163" s="21"/>
      <c r="AY163" s="19"/>
      <c r="AZ163" s="18"/>
      <c r="BA163" s="2"/>
      <c r="BB163" s="18"/>
      <c r="BC163" s="118"/>
      <c r="BE163" s="2"/>
      <c r="BF163" s="19"/>
      <c r="BG163" s="20"/>
      <c r="BH163" s="21"/>
      <c r="BI163" s="21"/>
      <c r="BK163" s="19"/>
      <c r="BL163" s="18"/>
      <c r="BM163" s="2"/>
      <c r="BN163" s="18"/>
      <c r="BO163" s="118"/>
      <c r="BQ163" s="2"/>
      <c r="BR163" s="19"/>
      <c r="BS163" s="20"/>
      <c r="BT163" s="21"/>
      <c r="BU163" s="21"/>
      <c r="BW163" s="19"/>
      <c r="BX163" s="18"/>
      <c r="BY163" s="2"/>
      <c r="BZ163" s="18"/>
      <c r="CA163" s="118"/>
      <c r="CC163" s="2"/>
      <c r="CD163" s="19"/>
      <c r="CE163" s="20"/>
      <c r="CF163" s="21"/>
      <c r="CG163" s="21"/>
      <c r="CI163" s="19"/>
      <c r="CJ163" s="18"/>
      <c r="CK163" s="2"/>
      <c r="CL163" s="18"/>
      <c r="CM163" s="118"/>
      <c r="CO163" s="2"/>
      <c r="CP163" s="19"/>
      <c r="CQ163" s="20"/>
      <c r="CR163" s="21"/>
      <c r="CS163" s="21"/>
    </row>
    <row r="164" spans="1:97" x14ac:dyDescent="0.25">
      <c r="A164" s="1">
        <f t="shared" si="62"/>
        <v>138</v>
      </c>
      <c r="B164" s="19">
        <f t="shared" si="63"/>
        <v>26.729501046360806</v>
      </c>
      <c r="C164" s="18">
        <f t="shared" si="77"/>
        <v>2.0731934869197941</v>
      </c>
      <c r="D164" s="2">
        <f t="shared" si="56"/>
        <v>0.90523581165579736</v>
      </c>
      <c r="E164" s="18">
        <f t="shared" si="64"/>
        <v>2.0882807504473906</v>
      </c>
      <c r="F164" s="21">
        <f t="shared" si="57"/>
        <v>0.3354829537520827</v>
      </c>
      <c r="G164" s="1">
        <f t="shared" si="58"/>
        <v>0</v>
      </c>
      <c r="H164" s="2">
        <f t="shared" si="54"/>
        <v>62.080630370845547</v>
      </c>
      <c r="I164" s="19">
        <f t="shared" si="80"/>
        <v>26.874731762270798</v>
      </c>
      <c r="J164" s="20">
        <f t="shared" si="59"/>
        <v>0.93502873097004668</v>
      </c>
      <c r="K164" s="21">
        <f t="shared" si="60"/>
        <v>6.8763129505761125</v>
      </c>
      <c r="L164" s="21">
        <f t="shared" si="55"/>
        <v>0.25562046014711204</v>
      </c>
      <c r="M164" s="2">
        <f t="shared" si="65"/>
        <v>5.1748504090902117</v>
      </c>
      <c r="N164" s="19">
        <f t="shared" si="78"/>
        <v>271.89407229601778</v>
      </c>
      <c r="O164" s="1">
        <f t="shared" si="66"/>
        <v>138</v>
      </c>
      <c r="P164" s="19">
        <f t="shared" si="67"/>
        <v>50.769945188358051</v>
      </c>
      <c r="Q164" s="18">
        <f t="shared" si="68"/>
        <v>3.5681155950091146</v>
      </c>
      <c r="R164" s="2">
        <f t="shared" si="69"/>
        <v>0.91692548447508126</v>
      </c>
      <c r="S164" s="18">
        <f t="shared" si="70"/>
        <v>3.5833976864170327</v>
      </c>
      <c r="T164" s="18">
        <f t="shared" si="71"/>
        <v>0.96976983207637812</v>
      </c>
      <c r="U164" s="1">
        <f t="shared" si="61"/>
        <v>0</v>
      </c>
      <c r="V164" s="2">
        <f t="shared" si="72"/>
        <v>118.24834321718347</v>
      </c>
      <c r="W164" s="19">
        <f t="shared" si="73"/>
        <v>51.18975896847769</v>
      </c>
      <c r="X164" s="20"/>
      <c r="Y164" s="2">
        <f t="shared" si="74"/>
        <v>31.196932613040431</v>
      </c>
      <c r="Z164" s="21">
        <f t="shared" si="75"/>
        <v>0.75267563869854037</v>
      </c>
      <c r="AA164" s="2">
        <f t="shared" si="76"/>
        <v>23.98999937098796</v>
      </c>
      <c r="AB164" s="19">
        <f t="shared" si="79"/>
        <v>42.965890755969895</v>
      </c>
      <c r="AC164" s="2"/>
      <c r="AD164" s="18"/>
      <c r="AE164" s="118"/>
      <c r="AG164" s="2"/>
      <c r="AH164" s="19"/>
      <c r="AI164" s="20"/>
      <c r="AJ164" s="21"/>
      <c r="AK164" s="21"/>
      <c r="AM164" s="19"/>
      <c r="AN164" s="18"/>
      <c r="AO164" s="2"/>
      <c r="AP164" s="18"/>
      <c r="AQ164" s="118"/>
      <c r="AS164" s="2"/>
      <c r="AT164" s="19"/>
      <c r="AU164" s="20"/>
      <c r="AV164" s="21"/>
      <c r="AW164" s="21"/>
      <c r="AY164" s="19"/>
      <c r="AZ164" s="18"/>
      <c r="BA164" s="2"/>
      <c r="BB164" s="18"/>
      <c r="BC164" s="118"/>
      <c r="BE164" s="2"/>
      <c r="BF164" s="19"/>
      <c r="BG164" s="20"/>
      <c r="BH164" s="21"/>
      <c r="BI164" s="21"/>
      <c r="BK164" s="19"/>
      <c r="BL164" s="18"/>
      <c r="BM164" s="2"/>
      <c r="BN164" s="18"/>
      <c r="BO164" s="118"/>
      <c r="BQ164" s="2"/>
      <c r="BR164" s="19"/>
      <c r="BS164" s="20"/>
      <c r="BT164" s="21"/>
      <c r="BU164" s="21"/>
      <c r="BW164" s="19"/>
      <c r="BX164" s="18"/>
      <c r="BY164" s="2"/>
      <c r="BZ164" s="18"/>
      <c r="CA164" s="118"/>
      <c r="CC164" s="2"/>
      <c r="CD164" s="19"/>
      <c r="CE164" s="20"/>
      <c r="CF164" s="21"/>
      <c r="CG164" s="21"/>
      <c r="CI164" s="19"/>
      <c r="CJ164" s="18"/>
      <c r="CK164" s="2"/>
      <c r="CL164" s="18"/>
      <c r="CM164" s="118"/>
      <c r="CO164" s="2"/>
      <c r="CP164" s="19"/>
      <c r="CQ164" s="20"/>
      <c r="CR164" s="21"/>
      <c r="CS164" s="21"/>
    </row>
    <row r="165" spans="1:97" x14ac:dyDescent="0.25">
      <c r="A165" s="1">
        <f t="shared" si="62"/>
        <v>139</v>
      </c>
      <c r="B165" s="19">
        <f t="shared" si="63"/>
        <v>26.874731762270798</v>
      </c>
      <c r="C165" s="18">
        <f t="shared" si="77"/>
        <v>2.0882807504473906</v>
      </c>
      <c r="D165" s="2">
        <f t="shared" si="56"/>
        <v>0.9053339199460122</v>
      </c>
      <c r="E165" s="18">
        <f t="shared" si="64"/>
        <v>2.1033696491131573</v>
      </c>
      <c r="F165" s="21">
        <f t="shared" si="57"/>
        <v>0.34026225705913732</v>
      </c>
      <c r="G165" s="1">
        <f t="shared" si="58"/>
        <v>0</v>
      </c>
      <c r="H165" s="2">
        <f t="shared" si="54"/>
        <v>62.420892627904685</v>
      </c>
      <c r="I165" s="19">
        <f t="shared" si="80"/>
        <v>27.022031440651379</v>
      </c>
      <c r="J165" s="20">
        <f t="shared" si="59"/>
        <v>0.93499970432168122</v>
      </c>
      <c r="K165" s="21">
        <f t="shared" si="60"/>
        <v>7.0236465078827193</v>
      </c>
      <c r="L165" s="21">
        <f t="shared" si="55"/>
        <v>0.25932778324806371</v>
      </c>
      <c r="M165" s="2">
        <f t="shared" si="65"/>
        <v>5.2871135187214078</v>
      </c>
      <c r="N165" s="19">
        <f t="shared" si="78"/>
        <v>272.24867695141614</v>
      </c>
      <c r="O165" s="1">
        <f t="shared" si="66"/>
        <v>139</v>
      </c>
      <c r="P165" s="19">
        <f t="shared" si="67"/>
        <v>51.18975896847769</v>
      </c>
      <c r="Q165" s="18">
        <f t="shared" si="68"/>
        <v>3.5833976864170327</v>
      </c>
      <c r="R165" s="2">
        <f t="shared" si="69"/>
        <v>0.9170765134854546</v>
      </c>
      <c r="S165" s="18">
        <f t="shared" si="70"/>
        <v>3.5986822949751236</v>
      </c>
      <c r="T165" s="18">
        <f t="shared" si="71"/>
        <v>0.97792249839709378</v>
      </c>
      <c r="U165" s="1">
        <f t="shared" si="61"/>
        <v>0</v>
      </c>
      <c r="V165" s="2">
        <f t="shared" si="72"/>
        <v>119.22626571558055</v>
      </c>
      <c r="W165" s="19">
        <f t="shared" si="73"/>
        <v>51.613102041376862</v>
      </c>
      <c r="X165" s="20"/>
      <c r="Y165" s="2">
        <f t="shared" si="74"/>
        <v>31.620373054846372</v>
      </c>
      <c r="Z165" s="21">
        <f t="shared" si="75"/>
        <v>0.75911025122253528</v>
      </c>
      <c r="AA165" s="2">
        <f t="shared" si="76"/>
        <v>24.318618527361352</v>
      </c>
      <c r="AB165" s="19">
        <f t="shared" si="79"/>
        <v>43.172542135663065</v>
      </c>
      <c r="AC165" s="2"/>
      <c r="AD165" s="18"/>
      <c r="AE165" s="118"/>
      <c r="AG165" s="2"/>
      <c r="AH165" s="19"/>
      <c r="AI165" s="20"/>
      <c r="AJ165" s="21"/>
      <c r="AK165" s="21"/>
      <c r="AM165" s="19"/>
      <c r="AN165" s="18"/>
      <c r="AO165" s="2"/>
      <c r="AP165" s="18"/>
      <c r="AQ165" s="118"/>
      <c r="AS165" s="2"/>
      <c r="AT165" s="19"/>
      <c r="AU165" s="20"/>
      <c r="AV165" s="21"/>
      <c r="AW165" s="21"/>
      <c r="AY165" s="19"/>
      <c r="AZ165" s="18"/>
      <c r="BA165" s="2"/>
      <c r="BB165" s="18"/>
      <c r="BC165" s="118"/>
      <c r="BE165" s="2"/>
      <c r="BF165" s="19"/>
      <c r="BG165" s="20"/>
      <c r="BH165" s="21"/>
      <c r="BI165" s="21"/>
      <c r="BK165" s="19"/>
      <c r="BL165" s="18"/>
      <c r="BM165" s="2"/>
      <c r="BN165" s="18"/>
      <c r="BO165" s="118"/>
      <c r="BQ165" s="2"/>
      <c r="BR165" s="19"/>
      <c r="BS165" s="20"/>
      <c r="BT165" s="21"/>
      <c r="BU165" s="21"/>
      <c r="BW165" s="19"/>
      <c r="BX165" s="18"/>
      <c r="BY165" s="2"/>
      <c r="BZ165" s="18"/>
      <c r="CA165" s="118"/>
      <c r="CC165" s="2"/>
      <c r="CD165" s="19"/>
      <c r="CE165" s="20"/>
      <c r="CF165" s="21"/>
      <c r="CG165" s="21"/>
      <c r="CI165" s="19"/>
      <c r="CJ165" s="18"/>
      <c r="CK165" s="2"/>
      <c r="CL165" s="18"/>
      <c r="CM165" s="118"/>
      <c r="CO165" s="2"/>
      <c r="CP165" s="19"/>
      <c r="CQ165" s="20"/>
      <c r="CR165" s="21"/>
      <c r="CS165" s="21"/>
    </row>
    <row r="166" spans="1:97" x14ac:dyDescent="0.25">
      <c r="A166" s="1">
        <f t="shared" si="62"/>
        <v>140</v>
      </c>
      <c r="B166" s="19">
        <f t="shared" si="63"/>
        <v>27.022031440651379</v>
      </c>
      <c r="C166" s="18">
        <f t="shared" si="77"/>
        <v>2.1033696491131573</v>
      </c>
      <c r="D166" s="2">
        <f t="shared" si="56"/>
        <v>0.90543289658864012</v>
      </c>
      <c r="E166" s="18">
        <f t="shared" si="64"/>
        <v>2.1184601973896346</v>
      </c>
      <c r="F166" s="21">
        <f t="shared" si="57"/>
        <v>0.34507535121689042</v>
      </c>
      <c r="G166" s="1">
        <f t="shared" si="58"/>
        <v>0</v>
      </c>
      <c r="H166" s="2">
        <f t="shared" si="54"/>
        <v>62.765967979121577</v>
      </c>
      <c r="I166" s="19">
        <f t="shared" si="80"/>
        <v>27.171414709576439</v>
      </c>
      <c r="J166" s="20">
        <f t="shared" si="59"/>
        <v>0.9349703631159153</v>
      </c>
      <c r="K166" s="21">
        <f t="shared" si="60"/>
        <v>7.1730641349596329</v>
      </c>
      <c r="L166" s="21">
        <f t="shared" si="55"/>
        <v>0.26306220691518933</v>
      </c>
      <c r="M166" s="2">
        <f t="shared" si="65"/>
        <v>5.4009932619747367</v>
      </c>
      <c r="N166" s="19">
        <f t="shared" si="78"/>
        <v>272.60073778684733</v>
      </c>
      <c r="O166" s="1">
        <f t="shared" si="66"/>
        <v>140</v>
      </c>
      <c r="P166" s="19">
        <f t="shared" si="67"/>
        <v>51.613102041376862</v>
      </c>
      <c r="Q166" s="18">
        <f t="shared" si="68"/>
        <v>3.5986822949751236</v>
      </c>
      <c r="R166" s="2">
        <f t="shared" si="69"/>
        <v>0.91722758794293779</v>
      </c>
      <c r="S166" s="18">
        <f t="shared" si="70"/>
        <v>3.6139694214408391</v>
      </c>
      <c r="T166" s="18">
        <f t="shared" si="71"/>
        <v>0.9861101321740986</v>
      </c>
      <c r="U166" s="1">
        <f t="shared" si="61"/>
        <v>0</v>
      </c>
      <c r="V166" s="2">
        <f t="shared" si="72"/>
        <v>120.21237584775466</v>
      </c>
      <c r="W166" s="19">
        <f t="shared" si="73"/>
        <v>52.039989544482538</v>
      </c>
      <c r="X166" s="20"/>
      <c r="Y166" s="2">
        <f t="shared" si="74"/>
        <v>32.047358742077755</v>
      </c>
      <c r="Z166" s="21">
        <f t="shared" si="75"/>
        <v>0.76557331827721509</v>
      </c>
      <c r="AA166" s="2">
        <f t="shared" si="76"/>
        <v>24.650035548260579</v>
      </c>
      <c r="AB166" s="19">
        <f t="shared" si="79"/>
        <v>43.378315809243915</v>
      </c>
      <c r="AC166" s="2"/>
      <c r="AD166" s="18"/>
      <c r="AE166" s="118"/>
      <c r="AG166" s="2"/>
      <c r="AH166" s="19"/>
      <c r="AI166" s="20"/>
      <c r="AJ166" s="21"/>
      <c r="AK166" s="21"/>
      <c r="AM166" s="19"/>
      <c r="AN166" s="18"/>
      <c r="AO166" s="2"/>
      <c r="AP166" s="18"/>
      <c r="AQ166" s="118"/>
      <c r="AS166" s="2"/>
      <c r="AT166" s="19"/>
      <c r="AU166" s="20"/>
      <c r="AV166" s="21"/>
      <c r="AW166" s="21"/>
      <c r="AY166" s="19"/>
      <c r="AZ166" s="18"/>
      <c r="BA166" s="2"/>
      <c r="BB166" s="18"/>
      <c r="BC166" s="118"/>
      <c r="BE166" s="2"/>
      <c r="BF166" s="19"/>
      <c r="BG166" s="20"/>
      <c r="BH166" s="21"/>
      <c r="BI166" s="21"/>
      <c r="BK166" s="19"/>
      <c r="BL166" s="18"/>
      <c r="BM166" s="2"/>
      <c r="BN166" s="18"/>
      <c r="BO166" s="118"/>
      <c r="BQ166" s="2"/>
      <c r="BR166" s="19"/>
      <c r="BS166" s="20"/>
      <c r="BT166" s="21"/>
      <c r="BU166" s="21"/>
      <c r="BW166" s="19"/>
      <c r="BX166" s="18"/>
      <c r="BY166" s="2"/>
      <c r="BZ166" s="18"/>
      <c r="CA166" s="118"/>
      <c r="CC166" s="2"/>
      <c r="CD166" s="19"/>
      <c r="CE166" s="20"/>
      <c r="CF166" s="21"/>
      <c r="CG166" s="21"/>
      <c r="CI166" s="19"/>
      <c r="CJ166" s="18"/>
      <c r="CK166" s="2"/>
      <c r="CL166" s="18"/>
      <c r="CM166" s="118"/>
      <c r="CO166" s="2"/>
      <c r="CP166" s="19"/>
      <c r="CQ166" s="20"/>
      <c r="CR166" s="21"/>
      <c r="CS166" s="21"/>
    </row>
    <row r="167" spans="1:97" x14ac:dyDescent="0.25">
      <c r="A167" s="1">
        <f t="shared" si="62"/>
        <v>141</v>
      </c>
      <c r="B167" s="19">
        <f t="shared" si="63"/>
        <v>27.171414709576439</v>
      </c>
      <c r="C167" s="18">
        <f t="shared" si="77"/>
        <v>2.1184601973896346</v>
      </c>
      <c r="D167" s="2">
        <f t="shared" si="56"/>
        <v>0.90553273473145568</v>
      </c>
      <c r="E167" s="18">
        <f t="shared" si="64"/>
        <v>2.133552409635159</v>
      </c>
      <c r="F167" s="21">
        <f t="shared" si="57"/>
        <v>0.34992224481064527</v>
      </c>
      <c r="G167" s="1">
        <f t="shared" si="58"/>
        <v>0</v>
      </c>
      <c r="H167" s="2">
        <f t="shared" si="54"/>
        <v>63.115890223932219</v>
      </c>
      <c r="I167" s="19">
        <f t="shared" si="80"/>
        <v>27.322896200836457</v>
      </c>
      <c r="J167" s="20">
        <f t="shared" si="59"/>
        <v>0.93494070780342575</v>
      </c>
      <c r="K167" s="21">
        <f t="shared" si="60"/>
        <v>7.324580466962642</v>
      </c>
      <c r="L167" s="21">
        <f t="shared" si="55"/>
        <v>0.26682374349480731</v>
      </c>
      <c r="M167" s="2">
        <f t="shared" si="65"/>
        <v>5.5165013760417532</v>
      </c>
      <c r="N167" s="19">
        <f t="shared" si="78"/>
        <v>272.950290767262</v>
      </c>
      <c r="O167" s="1">
        <f t="shared" si="66"/>
        <v>141</v>
      </c>
      <c r="P167" s="19">
        <f t="shared" si="67"/>
        <v>52.039989544482538</v>
      </c>
      <c r="Q167" s="18">
        <f t="shared" si="68"/>
        <v>3.6139694214408391</v>
      </c>
      <c r="R167" s="2">
        <f t="shared" si="69"/>
        <v>0.91737870257207765</v>
      </c>
      <c r="S167" s="18">
        <f t="shared" si="70"/>
        <v>3.6292590664837072</v>
      </c>
      <c r="T167" s="18">
        <f t="shared" si="71"/>
        <v>0.99433274647564751</v>
      </c>
      <c r="U167" s="1">
        <f t="shared" si="61"/>
        <v>0</v>
      </c>
      <c r="V167" s="2">
        <f t="shared" si="72"/>
        <v>121.20670859423032</v>
      </c>
      <c r="W167" s="19">
        <f t="shared" si="73"/>
        <v>52.470436620878928</v>
      </c>
      <c r="X167" s="20"/>
      <c r="Y167" s="2">
        <f t="shared" si="74"/>
        <v>32.477904821301713</v>
      </c>
      <c r="Z167" s="21">
        <f t="shared" si="75"/>
        <v>0.77206485368482536</v>
      </c>
      <c r="AA167" s="2">
        <f t="shared" si="76"/>
        <v>24.984262757647951</v>
      </c>
      <c r="AB167" s="19">
        <f t="shared" si="79"/>
        <v>43.583219058146383</v>
      </c>
      <c r="AC167" s="2"/>
      <c r="AD167" s="18"/>
      <c r="AE167" s="118"/>
      <c r="AG167" s="2"/>
      <c r="AH167" s="19"/>
      <c r="AI167" s="20"/>
      <c r="AJ167" s="21"/>
      <c r="AK167" s="21"/>
      <c r="AM167" s="19"/>
      <c r="AN167" s="18"/>
      <c r="AO167" s="2"/>
      <c r="AP167" s="18"/>
      <c r="AQ167" s="118"/>
      <c r="AS167" s="2"/>
      <c r="AT167" s="19"/>
      <c r="AU167" s="20"/>
      <c r="AV167" s="21"/>
      <c r="AW167" s="21"/>
      <c r="AY167" s="19"/>
      <c r="AZ167" s="18"/>
      <c r="BA167" s="2"/>
      <c r="BB167" s="18"/>
      <c r="BC167" s="118"/>
      <c r="BE167" s="2"/>
      <c r="BF167" s="19"/>
      <c r="BG167" s="20"/>
      <c r="BH167" s="21"/>
      <c r="BI167" s="21"/>
      <c r="BK167" s="19"/>
      <c r="BL167" s="18"/>
      <c r="BM167" s="2"/>
      <c r="BN167" s="18"/>
      <c r="BO167" s="118"/>
      <c r="BQ167" s="2"/>
      <c r="BR167" s="19"/>
      <c r="BS167" s="20"/>
      <c r="BT167" s="21"/>
      <c r="BU167" s="21"/>
      <c r="BW167" s="19"/>
      <c r="BX167" s="18"/>
      <c r="BY167" s="2"/>
      <c r="BZ167" s="18"/>
      <c r="CA167" s="118"/>
      <c r="CC167" s="2"/>
      <c r="CD167" s="19"/>
      <c r="CE167" s="20"/>
      <c r="CF167" s="21"/>
      <c r="CG167" s="21"/>
      <c r="CI167" s="19"/>
      <c r="CJ167" s="18"/>
      <c r="CK167" s="2"/>
      <c r="CL167" s="18"/>
      <c r="CM167" s="118"/>
      <c r="CO167" s="2"/>
      <c r="CP167" s="19"/>
      <c r="CQ167" s="20"/>
      <c r="CR167" s="21"/>
      <c r="CS167" s="21"/>
    </row>
    <row r="168" spans="1:97" x14ac:dyDescent="0.25">
      <c r="A168" s="1">
        <f t="shared" si="62"/>
        <v>142</v>
      </c>
      <c r="B168" s="19">
        <f t="shared" si="63"/>
        <v>27.322896200836457</v>
      </c>
      <c r="C168" s="18">
        <f t="shared" si="77"/>
        <v>2.133552409635159</v>
      </c>
      <c r="D168" s="2">
        <f t="shared" si="56"/>
        <v>0.90563342739201425</v>
      </c>
      <c r="E168" s="18">
        <f t="shared" si="64"/>
        <v>2.1486463000916927</v>
      </c>
      <c r="F168" s="21">
        <f t="shared" si="57"/>
        <v>0.35480294656781042</v>
      </c>
      <c r="G168" s="1">
        <f t="shared" si="58"/>
        <v>0</v>
      </c>
      <c r="H168" s="2">
        <f t="shared" si="54"/>
        <v>63.470693170500027</v>
      </c>
      <c r="I168" s="19">
        <f t="shared" si="80"/>
        <v>27.476490550000012</v>
      </c>
      <c r="J168" s="20">
        <f t="shared" si="59"/>
        <v>0.93491073887511211</v>
      </c>
      <c r="K168" s="21">
        <f t="shared" si="60"/>
        <v>7.4782101428265042</v>
      </c>
      <c r="L168" s="21">
        <f t="shared" si="55"/>
        <v>0.27061240540650688</v>
      </c>
      <c r="M168" s="2">
        <f t="shared" si="65"/>
        <v>5.6336496034904577</v>
      </c>
      <c r="N168" s="19">
        <f t="shared" si="78"/>
        <v>273.29737109795519</v>
      </c>
      <c r="O168" s="1">
        <f t="shared" si="66"/>
        <v>142</v>
      </c>
      <c r="P168" s="19">
        <f t="shared" si="67"/>
        <v>52.470436620878928</v>
      </c>
      <c r="Q168" s="18">
        <f t="shared" si="68"/>
        <v>3.6292590664837072</v>
      </c>
      <c r="R168" s="2">
        <f t="shared" si="69"/>
        <v>0.91752985217814775</v>
      </c>
      <c r="S168" s="18">
        <f t="shared" si="70"/>
        <v>3.6445512306866763</v>
      </c>
      <c r="T168" s="18">
        <f t="shared" si="71"/>
        <v>1.0025903543468588</v>
      </c>
      <c r="U168" s="1">
        <f t="shared" si="61"/>
        <v>0</v>
      </c>
      <c r="V168" s="2">
        <f t="shared" si="72"/>
        <v>122.20929894857719</v>
      </c>
      <c r="W168" s="19">
        <f t="shared" si="73"/>
        <v>52.904458419297484</v>
      </c>
      <c r="X168" s="20"/>
      <c r="Y168" s="2">
        <f t="shared" si="74"/>
        <v>32.912026444733904</v>
      </c>
      <c r="Z168" s="21">
        <f t="shared" si="75"/>
        <v>0.77858487123765119</v>
      </c>
      <c r="AA168" s="2">
        <f t="shared" si="76"/>
        <v>25.321312485456456</v>
      </c>
      <c r="AB168" s="19">
        <f t="shared" si="79"/>
        <v>43.787259073566076</v>
      </c>
      <c r="AC168" s="2"/>
      <c r="AD168" s="18"/>
      <c r="AE168" s="118"/>
      <c r="AG168" s="2"/>
      <c r="AH168" s="19"/>
      <c r="AI168" s="20"/>
      <c r="AJ168" s="21"/>
      <c r="AK168" s="21"/>
      <c r="AM168" s="19"/>
      <c r="AN168" s="18"/>
      <c r="AO168" s="2"/>
      <c r="AP168" s="18"/>
      <c r="AQ168" s="118"/>
      <c r="AS168" s="2"/>
      <c r="AT168" s="19"/>
      <c r="AU168" s="20"/>
      <c r="AV168" s="21"/>
      <c r="AW168" s="21"/>
      <c r="AY168" s="19"/>
      <c r="AZ168" s="18"/>
      <c r="BA168" s="2"/>
      <c r="BB168" s="18"/>
      <c r="BC168" s="118"/>
      <c r="BE168" s="2"/>
      <c r="BF168" s="19"/>
      <c r="BG168" s="20"/>
      <c r="BH168" s="21"/>
      <c r="BI168" s="21"/>
      <c r="BK168" s="19"/>
      <c r="BL168" s="18"/>
      <c r="BM168" s="2"/>
      <c r="BN168" s="18"/>
      <c r="BO168" s="118"/>
      <c r="BQ168" s="2"/>
      <c r="BR168" s="19"/>
      <c r="BS168" s="20"/>
      <c r="BT168" s="21"/>
      <c r="BU168" s="21"/>
      <c r="BW168" s="19"/>
      <c r="BX168" s="18"/>
      <c r="BY168" s="2"/>
      <c r="BZ168" s="18"/>
      <c r="CA168" s="118"/>
      <c r="CC168" s="2"/>
      <c r="CD168" s="19"/>
      <c r="CE168" s="20"/>
      <c r="CF168" s="21"/>
      <c r="CG168" s="21"/>
      <c r="CI168" s="19"/>
      <c r="CJ168" s="18"/>
      <c r="CK168" s="2"/>
      <c r="CL168" s="18"/>
      <c r="CM168" s="118"/>
      <c r="CO168" s="2"/>
      <c r="CP168" s="19"/>
      <c r="CQ168" s="20"/>
      <c r="CR168" s="21"/>
      <c r="CS168" s="21"/>
    </row>
    <row r="169" spans="1:97" x14ac:dyDescent="0.25">
      <c r="A169" s="1">
        <f t="shared" si="62"/>
        <v>143</v>
      </c>
      <c r="B169" s="19">
        <f t="shared" si="63"/>
        <v>27.476490550000012</v>
      </c>
      <c r="C169" s="18">
        <f t="shared" si="77"/>
        <v>2.1486463000916927</v>
      </c>
      <c r="D169" s="2">
        <f t="shared" si="56"/>
        <v>0.90573496746188065</v>
      </c>
      <c r="E169" s="18">
        <f t="shared" si="64"/>
        <v>2.1637418828827242</v>
      </c>
      <c r="F169" s="21">
        <f t="shared" si="57"/>
        <v>0.35971746535510513</v>
      </c>
      <c r="G169" s="1">
        <f t="shared" si="58"/>
        <v>0</v>
      </c>
      <c r="H169" s="2">
        <f t="shared" si="54"/>
        <v>63.830410635855131</v>
      </c>
      <c r="I169" s="19">
        <f t="shared" si="80"/>
        <v>27.632212396474081</v>
      </c>
      <c r="J169" s="20">
        <f t="shared" si="59"/>
        <v>0.93488045686160948</v>
      </c>
      <c r="K169" s="21">
        <f t="shared" si="60"/>
        <v>7.6339678053252644</v>
      </c>
      <c r="L169" s="21">
        <f t="shared" si="55"/>
        <v>0.27442820514161465</v>
      </c>
      <c r="M169" s="2">
        <f t="shared" si="65"/>
        <v>5.7524496922963513</v>
      </c>
      <c r="N169" s="19">
        <f t="shared" si="78"/>
        <v>273.64201324583024</v>
      </c>
      <c r="O169" s="1">
        <f t="shared" si="66"/>
        <v>143</v>
      </c>
      <c r="P169" s="19">
        <f t="shared" si="67"/>
        <v>52.904458419297484</v>
      </c>
      <c r="Q169" s="18">
        <f t="shared" si="68"/>
        <v>3.6445512306866763</v>
      </c>
      <c r="R169" s="2">
        <f t="shared" si="69"/>
        <v>0.91768103164655734</v>
      </c>
      <c r="S169" s="18">
        <f t="shared" si="70"/>
        <v>3.6598459145474522</v>
      </c>
      <c r="T169" s="18">
        <f t="shared" si="71"/>
        <v>1.0108829688093475</v>
      </c>
      <c r="U169" s="1">
        <f t="shared" si="61"/>
        <v>0</v>
      </c>
      <c r="V169" s="2">
        <f t="shared" si="72"/>
        <v>123.22018191738653</v>
      </c>
      <c r="W169" s="19">
        <f t="shared" si="73"/>
        <v>53.342070094106717</v>
      </c>
      <c r="X169" s="20"/>
      <c r="Y169" s="2">
        <f t="shared" si="74"/>
        <v>33.349738770228349</v>
      </c>
      <c r="Z169" s="21">
        <f t="shared" si="75"/>
        <v>0.78513338469781546</v>
      </c>
      <c r="AA169" s="2">
        <f t="shared" si="76"/>
        <v>25.661197067576722</v>
      </c>
      <c r="AB169" s="19">
        <f t="shared" si="79"/>
        <v>43.990442957950073</v>
      </c>
      <c r="AC169" s="2"/>
      <c r="AD169" s="18"/>
      <c r="AE169" s="118"/>
      <c r="AG169" s="2"/>
      <c r="AH169" s="19"/>
      <c r="AI169" s="20"/>
      <c r="AJ169" s="21"/>
      <c r="AK169" s="21"/>
      <c r="AM169" s="19"/>
      <c r="AN169" s="18"/>
      <c r="AO169" s="2"/>
      <c r="AP169" s="18"/>
      <c r="AQ169" s="118"/>
      <c r="AS169" s="2"/>
      <c r="AT169" s="19"/>
      <c r="AU169" s="20"/>
      <c r="AV169" s="21"/>
      <c r="AW169" s="21"/>
      <c r="AY169" s="19"/>
      <c r="AZ169" s="18"/>
      <c r="BA169" s="2"/>
      <c r="BB169" s="18"/>
      <c r="BC169" s="118"/>
      <c r="BE169" s="2"/>
      <c r="BF169" s="19"/>
      <c r="BG169" s="20"/>
      <c r="BH169" s="21"/>
      <c r="BI169" s="21"/>
      <c r="BK169" s="19"/>
      <c r="BL169" s="18"/>
      <c r="BM169" s="2"/>
      <c r="BN169" s="18"/>
      <c r="BO169" s="118"/>
      <c r="BQ169" s="2"/>
      <c r="BR169" s="19"/>
      <c r="BS169" s="20"/>
      <c r="BT169" s="21"/>
      <c r="BU169" s="21"/>
      <c r="BW169" s="19"/>
      <c r="BX169" s="18"/>
      <c r="BY169" s="2"/>
      <c r="BZ169" s="18"/>
      <c r="CA169" s="118"/>
      <c r="CC169" s="2"/>
      <c r="CD169" s="19"/>
      <c r="CE169" s="20"/>
      <c r="CF169" s="21"/>
      <c r="CG169" s="21"/>
      <c r="CI169" s="19"/>
      <c r="CJ169" s="18"/>
      <c r="CK169" s="2"/>
      <c r="CL169" s="18"/>
      <c r="CM169" s="118"/>
      <c r="CO169" s="2"/>
      <c r="CP169" s="19"/>
      <c r="CQ169" s="20"/>
      <c r="CR169" s="21"/>
      <c r="CS169" s="21"/>
    </row>
    <row r="170" spans="1:97" x14ac:dyDescent="0.25">
      <c r="A170" s="1">
        <f t="shared" si="62"/>
        <v>144</v>
      </c>
      <c r="B170" s="19">
        <f t="shared" si="63"/>
        <v>27.632212396474081</v>
      </c>
      <c r="C170" s="18">
        <f t="shared" si="77"/>
        <v>2.1637418828827242</v>
      </c>
      <c r="D170" s="2">
        <f t="shared" si="56"/>
        <v>0.90583734771087665</v>
      </c>
      <c r="E170" s="18">
        <f t="shared" si="64"/>
        <v>2.178839172011239</v>
      </c>
      <c r="F170" s="21">
        <f t="shared" si="57"/>
        <v>0.36466581017577882</v>
      </c>
      <c r="G170" s="1">
        <f t="shared" si="58"/>
        <v>0</v>
      </c>
      <c r="H170" s="2">
        <f t="shared" si="54"/>
        <v>64.19507644603091</v>
      </c>
      <c r="I170" s="19">
        <f t="shared" si="80"/>
        <v>27.790076383563164</v>
      </c>
      <c r="J170" s="20">
        <f t="shared" si="59"/>
        <v>0.93484986233279155</v>
      </c>
      <c r="K170" s="21">
        <f t="shared" si="60"/>
        <v>7.7918681011313771</v>
      </c>
      <c r="L170" s="21">
        <f t="shared" si="55"/>
        <v>0.27827115526165541</v>
      </c>
      <c r="M170" s="2">
        <f t="shared" si="65"/>
        <v>5.8729133958728257</v>
      </c>
      <c r="N170" s="19">
        <f t="shared" si="78"/>
        <v>273.98425095992434</v>
      </c>
      <c r="O170" s="1">
        <f t="shared" si="66"/>
        <v>144</v>
      </c>
      <c r="P170" s="19">
        <f t="shared" si="67"/>
        <v>53.342070094106717</v>
      </c>
      <c r="Q170" s="18">
        <f t="shared" si="68"/>
        <v>3.6598459145474522</v>
      </c>
      <c r="R170" s="2">
        <f t="shared" si="69"/>
        <v>0.91783223594224739</v>
      </c>
      <c r="S170" s="18">
        <f t="shared" si="70"/>
        <v>3.6751431184798231</v>
      </c>
      <c r="T170" s="18">
        <f t="shared" si="71"/>
        <v>1.0192106028608707</v>
      </c>
      <c r="U170" s="1">
        <f t="shared" si="61"/>
        <v>0</v>
      </c>
      <c r="V170" s="2">
        <f t="shared" si="72"/>
        <v>124.23939252024738</v>
      </c>
      <c r="W170" s="19">
        <f t="shared" si="73"/>
        <v>53.783286805301891</v>
      </c>
      <c r="X170" s="20"/>
      <c r="Y170" s="2">
        <f t="shared" si="74"/>
        <v>33.791056961267103</v>
      </c>
      <c r="Z170" s="21">
        <f t="shared" si="75"/>
        <v>0.79171040779708812</v>
      </c>
      <c r="AA170" s="2">
        <f t="shared" si="76"/>
        <v>26.003928845843859</v>
      </c>
      <c r="AB170" s="19">
        <f t="shared" si="79"/>
        <v>44.192777726456022</v>
      </c>
      <c r="AC170" s="2"/>
      <c r="AD170" s="18"/>
      <c r="AE170" s="118"/>
      <c r="AG170" s="2"/>
      <c r="AH170" s="19"/>
      <c r="AI170" s="20"/>
      <c r="AJ170" s="21"/>
      <c r="AK170" s="21"/>
      <c r="AM170" s="19"/>
      <c r="AN170" s="18"/>
      <c r="AO170" s="2"/>
      <c r="AP170" s="18"/>
      <c r="AQ170" s="118"/>
      <c r="AS170" s="2"/>
      <c r="AT170" s="19"/>
      <c r="AU170" s="20"/>
      <c r="AV170" s="21"/>
      <c r="AW170" s="21"/>
      <c r="AY170" s="19"/>
      <c r="AZ170" s="18"/>
      <c r="BA170" s="2"/>
      <c r="BB170" s="18"/>
      <c r="BC170" s="118"/>
      <c r="BE170" s="2"/>
      <c r="BF170" s="19"/>
      <c r="BG170" s="20"/>
      <c r="BH170" s="21"/>
      <c r="BI170" s="21"/>
      <c r="BK170" s="19"/>
      <c r="BL170" s="18"/>
      <c r="BM170" s="2"/>
      <c r="BN170" s="18"/>
      <c r="BO170" s="118"/>
      <c r="BQ170" s="2"/>
      <c r="BR170" s="19"/>
      <c r="BS170" s="20"/>
      <c r="BT170" s="21"/>
      <c r="BU170" s="21"/>
      <c r="BW170" s="19"/>
      <c r="BX170" s="18"/>
      <c r="BY170" s="2"/>
      <c r="BZ170" s="18"/>
      <c r="CA170" s="118"/>
      <c r="CC170" s="2"/>
      <c r="CD170" s="19"/>
      <c r="CE170" s="20"/>
      <c r="CF170" s="21"/>
      <c r="CG170" s="21"/>
      <c r="CI170" s="19"/>
      <c r="CJ170" s="18"/>
      <c r="CK170" s="2"/>
      <c r="CL170" s="18"/>
      <c r="CM170" s="118"/>
      <c r="CO170" s="2"/>
      <c r="CP170" s="19"/>
      <c r="CQ170" s="20"/>
      <c r="CR170" s="21"/>
      <c r="CS170" s="21"/>
    </row>
    <row r="171" spans="1:97" x14ac:dyDescent="0.25">
      <c r="A171" s="1">
        <f t="shared" si="62"/>
        <v>145</v>
      </c>
      <c r="B171" s="19">
        <f t="shared" si="63"/>
        <v>27.790076383563164</v>
      </c>
      <c r="C171" s="18">
        <f t="shared" si="77"/>
        <v>2.178839172011239</v>
      </c>
      <c r="D171" s="2">
        <f t="shared" si="56"/>
        <v>0.90594056079133678</v>
      </c>
      <c r="E171" s="18">
        <f t="shared" si="64"/>
        <v>2.1939381813577614</v>
      </c>
      <c r="F171" s="21">
        <f t="shared" si="57"/>
        <v>0.3696479901668458</v>
      </c>
      <c r="G171" s="1">
        <f t="shared" si="58"/>
        <v>0</v>
      </c>
      <c r="H171" s="2">
        <f t="shared" si="54"/>
        <v>64.56472443619775</v>
      </c>
      <c r="I171" s="19">
        <f t="shared" si="80"/>
        <v>27.950097158527164</v>
      </c>
      <c r="J171" s="20">
        <f t="shared" si="59"/>
        <v>0.93481895589726183</v>
      </c>
      <c r="K171" s="21">
        <f t="shared" si="60"/>
        <v>7.9519256808736216</v>
      </c>
      <c r="L171" s="21">
        <f t="shared" si="55"/>
        <v>0.28214126839681053</v>
      </c>
      <c r="M171" s="2">
        <f t="shared" si="65"/>
        <v>5.9950524731008823</v>
      </c>
      <c r="N171" s="19">
        <f t="shared" si="78"/>
        <v>274.32411729122583</v>
      </c>
      <c r="O171" s="1">
        <f t="shared" si="66"/>
        <v>145</v>
      </c>
      <c r="P171" s="19">
        <f t="shared" si="67"/>
        <v>53.783286805301891</v>
      </c>
      <c r="Q171" s="18">
        <f t="shared" si="68"/>
        <v>3.6751431184798231</v>
      </c>
      <c r="R171" s="2">
        <f t="shared" si="69"/>
        <v>0.91798346010906928</v>
      </c>
      <c r="S171" s="18">
        <f t="shared" si="70"/>
        <v>3.6904428428149743</v>
      </c>
      <c r="T171" s="18">
        <f t="shared" si="71"/>
        <v>1.0275732694749882</v>
      </c>
      <c r="U171" s="1">
        <f t="shared" si="61"/>
        <v>0</v>
      </c>
      <c r="V171" s="2">
        <f t="shared" si="72"/>
        <v>125.26696578972236</v>
      </c>
      <c r="W171" s="19">
        <f t="shared" si="73"/>
        <v>54.22812371849453</v>
      </c>
      <c r="X171" s="20"/>
      <c r="Y171" s="2">
        <f t="shared" si="74"/>
        <v>34.23599618694977</v>
      </c>
      <c r="Z171" s="21">
        <f t="shared" si="75"/>
        <v>0.79831595423670265</v>
      </c>
      <c r="AA171" s="2">
        <f t="shared" si="76"/>
        <v>26.349520168024249</v>
      </c>
      <c r="AB171" s="19">
        <f t="shared" si="79"/>
        <v>44.394270308381294</v>
      </c>
      <c r="AC171" s="2"/>
      <c r="AD171" s="18"/>
      <c r="AE171" s="118"/>
      <c r="AG171" s="2"/>
      <c r="AH171" s="19"/>
      <c r="AI171" s="20"/>
      <c r="AJ171" s="21"/>
      <c r="AK171" s="21"/>
      <c r="AM171" s="19"/>
      <c r="AN171" s="18"/>
      <c r="AO171" s="2"/>
      <c r="AP171" s="18"/>
      <c r="AQ171" s="118"/>
      <c r="AS171" s="2"/>
      <c r="AT171" s="19"/>
      <c r="AU171" s="20"/>
      <c r="AV171" s="21"/>
      <c r="AW171" s="21"/>
      <c r="AY171" s="19"/>
      <c r="AZ171" s="18"/>
      <c r="BA171" s="2"/>
      <c r="BB171" s="18"/>
      <c r="BC171" s="118"/>
      <c r="BE171" s="2"/>
      <c r="BF171" s="19"/>
      <c r="BG171" s="20"/>
      <c r="BH171" s="21"/>
      <c r="BI171" s="21"/>
      <c r="BK171" s="19"/>
      <c r="BL171" s="18"/>
      <c r="BM171" s="2"/>
      <c r="BN171" s="18"/>
      <c r="BO171" s="118"/>
      <c r="BQ171" s="2"/>
      <c r="BR171" s="19"/>
      <c r="BS171" s="20"/>
      <c r="BT171" s="21"/>
      <c r="BU171" s="21"/>
      <c r="BW171" s="19"/>
      <c r="BX171" s="18"/>
      <c r="BY171" s="2"/>
      <c r="BZ171" s="18"/>
      <c r="CA171" s="118"/>
      <c r="CC171" s="2"/>
      <c r="CD171" s="19"/>
      <c r="CE171" s="20"/>
      <c r="CF171" s="21"/>
      <c r="CG171" s="21"/>
      <c r="CI171" s="19"/>
      <c r="CJ171" s="18"/>
      <c r="CK171" s="2"/>
      <c r="CL171" s="18"/>
      <c r="CM171" s="118"/>
      <c r="CO171" s="2"/>
      <c r="CP171" s="19"/>
      <c r="CQ171" s="20"/>
      <c r="CR171" s="21"/>
      <c r="CS171" s="21"/>
    </row>
    <row r="172" spans="1:97" x14ac:dyDescent="0.25">
      <c r="A172" s="1">
        <f t="shared" si="62"/>
        <v>146</v>
      </c>
      <c r="B172" s="19">
        <f t="shared" si="63"/>
        <v>27.950097158527164</v>
      </c>
      <c r="C172" s="18">
        <f t="shared" si="77"/>
        <v>2.1939381813577614</v>
      </c>
      <c r="D172" s="2">
        <f t="shared" si="56"/>
        <v>0.90604459924237302</v>
      </c>
      <c r="E172" s="18">
        <f t="shared" si="64"/>
        <v>2.2090389246784676</v>
      </c>
      <c r="F172" s="21">
        <f t="shared" si="57"/>
        <v>0.37466401459633625</v>
      </c>
      <c r="G172" s="1">
        <f t="shared" si="58"/>
        <v>0</v>
      </c>
      <c r="H172" s="2">
        <f t="shared" si="54"/>
        <v>64.939388450794084</v>
      </c>
      <c r="I172" s="19">
        <f t="shared" si="80"/>
        <v>28.112289372638131</v>
      </c>
      <c r="J172" s="20">
        <f t="shared" si="59"/>
        <v>0.93478773820183592</v>
      </c>
      <c r="K172" s="21">
        <f t="shared" si="60"/>
        <v>8.114155199193835</v>
      </c>
      <c r="L172" s="21">
        <f t="shared" si="55"/>
        <v>0.28603855724437316</v>
      </c>
      <c r="M172" s="2">
        <f t="shared" si="65"/>
        <v>6.1188786883581869</v>
      </c>
      <c r="N172" s="19">
        <f t="shared" si="78"/>
        <v>274.6616446118129</v>
      </c>
      <c r="O172" s="1">
        <f t="shared" si="66"/>
        <v>146</v>
      </c>
      <c r="P172" s="19">
        <f t="shared" si="67"/>
        <v>54.22812371849453</v>
      </c>
      <c r="Q172" s="18">
        <f t="shared" si="68"/>
        <v>3.6904428428149743</v>
      </c>
      <c r="R172" s="2">
        <f t="shared" si="69"/>
        <v>0.91813469926915314</v>
      </c>
      <c r="S172" s="18">
        <f t="shared" si="70"/>
        <v>3.7057450878027933</v>
      </c>
      <c r="T172" s="18">
        <f t="shared" si="71"/>
        <v>1.0359709816007354</v>
      </c>
      <c r="U172" s="1">
        <f t="shared" si="61"/>
        <v>0</v>
      </c>
      <c r="V172" s="2">
        <f t="shared" si="72"/>
        <v>126.3029367713231</v>
      </c>
      <c r="W172" s="19">
        <f t="shared" si="73"/>
        <v>54.676596004901775</v>
      </c>
      <c r="X172" s="20"/>
      <c r="Y172" s="2">
        <f t="shared" si="74"/>
        <v>34.68457162198289</v>
      </c>
      <c r="Z172" s="21">
        <f t="shared" si="75"/>
        <v>0.80495003768718487</v>
      </c>
      <c r="AA172" s="2">
        <f t="shared" si="76"/>
        <v>26.69798338780225</v>
      </c>
      <c r="AB172" s="19">
        <f t="shared" si="79"/>
        <v>44.59492754856295</v>
      </c>
      <c r="AC172" s="2"/>
      <c r="AD172" s="18"/>
      <c r="AE172" s="118"/>
      <c r="AG172" s="2"/>
      <c r="AH172" s="19"/>
      <c r="AI172" s="20"/>
      <c r="AJ172" s="21"/>
      <c r="AK172" s="21"/>
      <c r="AM172" s="19"/>
      <c r="AN172" s="18"/>
      <c r="AO172" s="2"/>
      <c r="AP172" s="18"/>
      <c r="AQ172" s="118"/>
      <c r="AS172" s="2"/>
      <c r="AT172" s="19"/>
      <c r="AU172" s="20"/>
      <c r="AV172" s="21"/>
      <c r="AW172" s="21"/>
      <c r="AY172" s="19"/>
      <c r="AZ172" s="18"/>
      <c r="BA172" s="2"/>
      <c r="BB172" s="18"/>
      <c r="BC172" s="118"/>
      <c r="BE172" s="2"/>
      <c r="BF172" s="19"/>
      <c r="BG172" s="20"/>
      <c r="BH172" s="21"/>
      <c r="BI172" s="21"/>
      <c r="BK172" s="19"/>
      <c r="BL172" s="18"/>
      <c r="BM172" s="2"/>
      <c r="BN172" s="18"/>
      <c r="BO172" s="118"/>
      <c r="BQ172" s="2"/>
      <c r="BR172" s="19"/>
      <c r="BS172" s="20"/>
      <c r="BT172" s="21"/>
      <c r="BU172" s="21"/>
      <c r="BW172" s="19"/>
      <c r="BX172" s="18"/>
      <c r="BY172" s="2"/>
      <c r="BZ172" s="18"/>
      <c r="CA172" s="118"/>
      <c r="CC172" s="2"/>
      <c r="CD172" s="19"/>
      <c r="CE172" s="20"/>
      <c r="CF172" s="21"/>
      <c r="CG172" s="21"/>
      <c r="CI172" s="19"/>
      <c r="CJ172" s="18"/>
      <c r="CK172" s="2"/>
      <c r="CL172" s="18"/>
      <c r="CM172" s="118"/>
      <c r="CO172" s="2"/>
      <c r="CP172" s="19"/>
      <c r="CQ172" s="20"/>
      <c r="CR172" s="21"/>
      <c r="CS172" s="21"/>
    </row>
    <row r="173" spans="1:97" x14ac:dyDescent="0.25">
      <c r="A173" s="1">
        <f t="shared" si="62"/>
        <v>147</v>
      </c>
      <c r="B173" s="19">
        <f t="shared" si="63"/>
        <v>28.112289372638131</v>
      </c>
      <c r="C173" s="18">
        <f t="shared" si="77"/>
        <v>2.2090389246784676</v>
      </c>
      <c r="D173" s="2">
        <f t="shared" si="56"/>
        <v>0.90614945549414183</v>
      </c>
      <c r="E173" s="18">
        <f t="shared" si="64"/>
        <v>2.2241414156033699</v>
      </c>
      <c r="F173" s="21">
        <f t="shared" si="57"/>
        <v>0.37971389286056351</v>
      </c>
      <c r="G173" s="1">
        <f t="shared" si="58"/>
        <v>0</v>
      </c>
      <c r="H173" s="2">
        <f t="shared" si="54"/>
        <v>65.319102343654649</v>
      </c>
      <c r="I173" s="19">
        <f t="shared" si="80"/>
        <v>28.276667681235779</v>
      </c>
      <c r="J173" s="20">
        <f t="shared" si="59"/>
        <v>0.93475620993101127</v>
      </c>
      <c r="K173" s="21">
        <f t="shared" si="60"/>
        <v>8.2785713148024591</v>
      </c>
      <c r="L173" s="21">
        <f t="shared" si="55"/>
        <v>0.28996303456720218</v>
      </c>
      <c r="M173" s="2">
        <f t="shared" si="65"/>
        <v>6.2444038115474516</v>
      </c>
      <c r="N173" s="19">
        <f t="shared" si="78"/>
        <v>274.99686463334115</v>
      </c>
      <c r="O173" s="1">
        <f t="shared" si="66"/>
        <v>147</v>
      </c>
      <c r="P173" s="19">
        <f t="shared" si="67"/>
        <v>54.676596004901775</v>
      </c>
      <c r="Q173" s="18">
        <f t="shared" si="68"/>
        <v>3.7057450878027933</v>
      </c>
      <c r="R173" s="2">
        <f t="shared" si="69"/>
        <v>0.91828594862226109</v>
      </c>
      <c r="S173" s="18">
        <f t="shared" si="70"/>
        <v>3.7210498536131644</v>
      </c>
      <c r="T173" s="18">
        <f t="shared" si="71"/>
        <v>1.0444037521623095</v>
      </c>
      <c r="U173" s="1">
        <f t="shared" si="61"/>
        <v>0</v>
      </c>
      <c r="V173" s="2">
        <f t="shared" si="72"/>
        <v>127.34734052348541</v>
      </c>
      <c r="W173" s="19">
        <f t="shared" si="73"/>
        <v>55.128718841335676</v>
      </c>
      <c r="X173" s="20"/>
      <c r="Y173" s="2">
        <f t="shared" si="74"/>
        <v>35.136798446669168</v>
      </c>
      <c r="Z173" s="21">
        <f t="shared" si="75"/>
        <v>0.81161267178818819</v>
      </c>
      <c r="AA173" s="2">
        <f t="shared" si="76"/>
        <v>27.049330864766834</v>
      </c>
      <c r="AB173" s="19">
        <f t="shared" si="79"/>
        <v>44.794756208749199</v>
      </c>
      <c r="AC173" s="2"/>
      <c r="AD173" s="18"/>
      <c r="AE173" s="118"/>
      <c r="AG173" s="2"/>
      <c r="AH173" s="19"/>
      <c r="AI173" s="20"/>
      <c r="AJ173" s="21"/>
      <c r="AK173" s="21"/>
      <c r="AM173" s="19"/>
      <c r="AN173" s="18"/>
      <c r="AO173" s="2"/>
      <c r="AP173" s="18"/>
      <c r="AQ173" s="118"/>
      <c r="AS173" s="2"/>
      <c r="AT173" s="19"/>
      <c r="AU173" s="20"/>
      <c r="AV173" s="21"/>
      <c r="AW173" s="21"/>
      <c r="AY173" s="19"/>
      <c r="AZ173" s="18"/>
      <c r="BA173" s="2"/>
      <c r="BB173" s="18"/>
      <c r="BC173" s="118"/>
      <c r="BE173" s="2"/>
      <c r="BF173" s="19"/>
      <c r="BG173" s="20"/>
      <c r="BH173" s="21"/>
      <c r="BI173" s="21"/>
      <c r="BK173" s="19"/>
      <c r="BL173" s="18"/>
      <c r="BM173" s="2"/>
      <c r="BN173" s="18"/>
      <c r="BO173" s="118"/>
      <c r="BQ173" s="2"/>
      <c r="BR173" s="19"/>
      <c r="BS173" s="20"/>
      <c r="BT173" s="21"/>
      <c r="BU173" s="21"/>
      <c r="BW173" s="19"/>
      <c r="BX173" s="18"/>
      <c r="BY173" s="2"/>
      <c r="BZ173" s="18"/>
      <c r="CA173" s="118"/>
      <c r="CC173" s="2"/>
      <c r="CD173" s="19"/>
      <c r="CE173" s="20"/>
      <c r="CF173" s="21"/>
      <c r="CG173" s="21"/>
      <c r="CI173" s="19"/>
      <c r="CJ173" s="18"/>
      <c r="CK173" s="2"/>
      <c r="CL173" s="18"/>
      <c r="CM173" s="118"/>
      <c r="CO173" s="2"/>
      <c r="CP173" s="19"/>
      <c r="CQ173" s="20"/>
      <c r="CR173" s="21"/>
      <c r="CS173" s="21"/>
    </row>
    <row r="174" spans="1:97" x14ac:dyDescent="0.25">
      <c r="A174" s="1">
        <f t="shared" si="62"/>
        <v>148</v>
      </c>
      <c r="B174" s="19">
        <f t="shared" si="63"/>
        <v>28.276667681235779</v>
      </c>
      <c r="C174" s="18">
        <f t="shared" si="77"/>
        <v>2.2241414156033699</v>
      </c>
      <c r="D174" s="2">
        <f t="shared" si="56"/>
        <v>0.90625512187211066</v>
      </c>
      <c r="E174" s="18">
        <f t="shared" si="64"/>
        <v>2.2392456676345716</v>
      </c>
      <c r="F174" s="21">
        <f t="shared" si="57"/>
        <v>0.38479763448140869</v>
      </c>
      <c r="G174" s="1">
        <f t="shared" si="58"/>
        <v>0</v>
      </c>
      <c r="H174" s="2">
        <f t="shared" si="54"/>
        <v>65.703899978136064</v>
      </c>
      <c r="I174" s="19">
        <f t="shared" si="80"/>
        <v>28.443246743781845</v>
      </c>
      <c r="J174" s="20">
        <f t="shared" si="59"/>
        <v>0.93472437180643242</v>
      </c>
      <c r="K174" s="21">
        <f t="shared" si="60"/>
        <v>8.445188690532909</v>
      </c>
      <c r="L174" s="21">
        <f t="shared" si="55"/>
        <v>0.29391471319217538</v>
      </c>
      <c r="M174" s="2">
        <f t="shared" si="65"/>
        <v>6.371639618124151</v>
      </c>
      <c r="N174" s="19">
        <f t="shared" si="78"/>
        <v>275.32980842490599</v>
      </c>
      <c r="O174" s="1">
        <f t="shared" si="66"/>
        <v>148</v>
      </c>
      <c r="P174" s="19">
        <f t="shared" si="67"/>
        <v>55.128718841335676</v>
      </c>
      <c r="Q174" s="18">
        <f t="shared" si="68"/>
        <v>3.7210498536131644</v>
      </c>
      <c r="R174" s="2">
        <f t="shared" si="69"/>
        <v>0.91843720344513191</v>
      </c>
      <c r="S174" s="18">
        <f t="shared" si="70"/>
        <v>3.7363571403372497</v>
      </c>
      <c r="T174" s="18">
        <f t="shared" si="71"/>
        <v>1.052871594058767</v>
      </c>
      <c r="U174" s="1">
        <f t="shared" si="61"/>
        <v>0</v>
      </c>
      <c r="V174" s="2">
        <f t="shared" si="72"/>
        <v>128.40021211754419</v>
      </c>
      <c r="W174" s="19">
        <f t="shared" si="73"/>
        <v>55.584507410192288</v>
      </c>
      <c r="X174" s="20"/>
      <c r="Y174" s="2">
        <f t="shared" si="74"/>
        <v>35.592691846896614</v>
      </c>
      <c r="Z174" s="21">
        <f t="shared" si="75"/>
        <v>0.81830387014833739</v>
      </c>
      <c r="AA174" s="2">
        <f t="shared" si="76"/>
        <v>27.40357496439815</v>
      </c>
      <c r="AB174" s="19">
        <f t="shared" si="79"/>
        <v>44.993762968943059</v>
      </c>
      <c r="AC174" s="2"/>
      <c r="AD174" s="18"/>
      <c r="AE174" s="118"/>
      <c r="AG174" s="2"/>
      <c r="AH174" s="19"/>
      <c r="AI174" s="20"/>
      <c r="AJ174" s="21"/>
      <c r="AK174" s="21"/>
      <c r="AM174" s="19"/>
      <c r="AN174" s="18"/>
      <c r="AO174" s="2"/>
      <c r="AP174" s="18"/>
      <c r="AQ174" s="118"/>
      <c r="AS174" s="2"/>
      <c r="AT174" s="19"/>
      <c r="AU174" s="20"/>
      <c r="AV174" s="21"/>
      <c r="AW174" s="21"/>
      <c r="AY174" s="19"/>
      <c r="AZ174" s="18"/>
      <c r="BA174" s="2"/>
      <c r="BB174" s="18"/>
      <c r="BC174" s="118"/>
      <c r="BE174" s="2"/>
      <c r="BF174" s="19"/>
      <c r="BG174" s="20"/>
      <c r="BH174" s="21"/>
      <c r="BI174" s="21"/>
      <c r="BK174" s="19"/>
      <c r="BL174" s="18"/>
      <c r="BM174" s="2"/>
      <c r="BN174" s="18"/>
      <c r="BO174" s="118"/>
      <c r="BQ174" s="2"/>
      <c r="BR174" s="19"/>
      <c r="BS174" s="20"/>
      <c r="BT174" s="21"/>
      <c r="BU174" s="21"/>
      <c r="BW174" s="19"/>
      <c r="BX174" s="18"/>
      <c r="BY174" s="2"/>
      <c r="BZ174" s="18"/>
      <c r="CA174" s="118"/>
      <c r="CC174" s="2"/>
      <c r="CD174" s="19"/>
      <c r="CE174" s="20"/>
      <c r="CF174" s="21"/>
      <c r="CG174" s="21"/>
      <c r="CI174" s="19"/>
      <c r="CJ174" s="18"/>
      <c r="CK174" s="2"/>
      <c r="CL174" s="18"/>
      <c r="CM174" s="118"/>
      <c r="CO174" s="2"/>
      <c r="CP174" s="19"/>
      <c r="CQ174" s="20"/>
      <c r="CR174" s="21"/>
      <c r="CS174" s="21"/>
    </row>
    <row r="175" spans="1:97" x14ac:dyDescent="0.25">
      <c r="A175" s="1">
        <f t="shared" si="62"/>
        <v>149</v>
      </c>
      <c r="B175" s="19">
        <f t="shared" si="63"/>
        <v>28.443246743781845</v>
      </c>
      <c r="C175" s="18">
        <f t="shared" si="77"/>
        <v>2.2392456676345716</v>
      </c>
      <c r="D175" s="2">
        <f t="shared" si="56"/>
        <v>0.90636159060132071</v>
      </c>
      <c r="E175" s="18">
        <f t="shared" si="64"/>
        <v>2.2543516941445936</v>
      </c>
      <c r="F175" s="21">
        <f t="shared" si="57"/>
        <v>0.38991524910362274</v>
      </c>
      <c r="G175" s="1">
        <f t="shared" si="58"/>
        <v>0</v>
      </c>
      <c r="H175" s="2">
        <f t="shared" si="54"/>
        <v>66.093815227239688</v>
      </c>
      <c r="I175" s="19">
        <f t="shared" si="80"/>
        <v>28.612041223913284</v>
      </c>
      <c r="J175" s="20">
        <f t="shared" si="59"/>
        <v>0.9346922245863426</v>
      </c>
      <c r="K175" s="21">
        <f t="shared" si="60"/>
        <v>8.6140219933947773</v>
      </c>
      <c r="L175" s="21">
        <f t="shared" si="55"/>
        <v>0.29789360600864256</v>
      </c>
      <c r="M175" s="2">
        <f t="shared" si="65"/>
        <v>6.5005978891235632</v>
      </c>
      <c r="N175" s="19">
        <f t="shared" si="78"/>
        <v>275.66050643030599</v>
      </c>
      <c r="O175" s="1">
        <f t="shared" si="66"/>
        <v>149</v>
      </c>
      <c r="P175" s="19">
        <f t="shared" si="67"/>
        <v>55.584507410192288</v>
      </c>
      <c r="Q175" s="18">
        <f t="shared" si="68"/>
        <v>3.7363571403372497</v>
      </c>
      <c r="R175" s="2">
        <f t="shared" si="69"/>
        <v>0.91858845909081199</v>
      </c>
      <c r="S175" s="18">
        <f t="shared" si="70"/>
        <v>3.7516669479887632</v>
      </c>
      <c r="T175" s="18">
        <f t="shared" si="71"/>
        <v>1.0613745201637368</v>
      </c>
      <c r="U175" s="1">
        <f t="shared" si="61"/>
        <v>0</v>
      </c>
      <c r="V175" s="2">
        <f t="shared" si="72"/>
        <v>129.46158663770791</v>
      </c>
      <c r="W175" s="19">
        <f t="shared" si="73"/>
        <v>56.043976899440651</v>
      </c>
      <c r="X175" s="20"/>
      <c r="Y175" s="2">
        <f t="shared" si="74"/>
        <v>36.052267014127509</v>
      </c>
      <c r="Z175" s="21">
        <f t="shared" si="75"/>
        <v>0.82502364634508418</v>
      </c>
      <c r="AA175" s="2">
        <f t="shared" si="76"/>
        <v>27.760728058054031</v>
      </c>
      <c r="AB175" s="19">
        <f t="shared" si="79"/>
        <v>45.191954428718915</v>
      </c>
      <c r="AC175" s="2"/>
      <c r="AD175" s="18"/>
      <c r="AE175" s="118"/>
      <c r="AG175" s="2"/>
      <c r="AH175" s="19"/>
      <c r="AI175" s="20"/>
      <c r="AJ175" s="21"/>
      <c r="AK175" s="21"/>
      <c r="AM175" s="19"/>
      <c r="AN175" s="18"/>
      <c r="AO175" s="2"/>
      <c r="AP175" s="18"/>
      <c r="AQ175" s="118"/>
      <c r="AS175" s="2"/>
      <c r="AT175" s="19"/>
      <c r="AU175" s="20"/>
      <c r="AV175" s="21"/>
      <c r="AW175" s="21"/>
      <c r="AY175" s="19"/>
      <c r="AZ175" s="18"/>
      <c r="BA175" s="2"/>
      <c r="BB175" s="18"/>
      <c r="BC175" s="118"/>
      <c r="BE175" s="2"/>
      <c r="BF175" s="19"/>
      <c r="BG175" s="20"/>
      <c r="BH175" s="21"/>
      <c r="BI175" s="21"/>
      <c r="BK175" s="19"/>
      <c r="BL175" s="18"/>
      <c r="BM175" s="2"/>
      <c r="BN175" s="18"/>
      <c r="BO175" s="118"/>
      <c r="BQ175" s="2"/>
      <c r="BR175" s="19"/>
      <c r="BS175" s="20"/>
      <c r="BT175" s="21"/>
      <c r="BU175" s="21"/>
      <c r="BW175" s="19"/>
      <c r="BX175" s="18"/>
      <c r="BY175" s="2"/>
      <c r="BZ175" s="18"/>
      <c r="CA175" s="118"/>
      <c r="CC175" s="2"/>
      <c r="CD175" s="19"/>
      <c r="CE175" s="20"/>
      <c r="CF175" s="21"/>
      <c r="CG175" s="21"/>
      <c r="CI175" s="19"/>
      <c r="CJ175" s="18"/>
      <c r="CK175" s="2"/>
      <c r="CL175" s="18"/>
      <c r="CM175" s="118"/>
      <c r="CO175" s="2"/>
      <c r="CP175" s="19"/>
      <c r="CQ175" s="20"/>
      <c r="CR175" s="21"/>
      <c r="CS175" s="21"/>
    </row>
    <row r="176" spans="1:97" x14ac:dyDescent="0.25">
      <c r="A176" s="1">
        <f t="shared" si="62"/>
        <v>150</v>
      </c>
      <c r="B176" s="119">
        <f t="shared" si="63"/>
        <v>28.612041223913284</v>
      </c>
      <c r="C176" s="18">
        <f t="shared" si="77"/>
        <v>2.2543516941445936</v>
      </c>
      <c r="D176" s="2">
        <f t="shared" si="56"/>
        <v>0.90646885381064124</v>
      </c>
      <c r="E176" s="120">
        <f t="shared" si="64"/>
        <v>2.2694595083747711</v>
      </c>
      <c r="F176" s="21">
        <f t="shared" si="57"/>
        <v>0.39506674649214607</v>
      </c>
      <c r="G176" s="1">
        <f t="shared" si="58"/>
        <v>0</v>
      </c>
      <c r="H176" s="2">
        <f t="shared" si="54"/>
        <v>66.488881973731836</v>
      </c>
      <c r="I176" s="19">
        <f t="shared" si="80"/>
        <v>28.783065789494302</v>
      </c>
      <c r="J176" s="20">
        <f t="shared" si="59"/>
        <v>0.93465976906503012</v>
      </c>
      <c r="K176" s="21">
        <f t="shared" si="60"/>
        <v>8.7850858946258761</v>
      </c>
      <c r="L176" s="21">
        <f t="shared" si="55"/>
        <v>0.30189972596687886</v>
      </c>
      <c r="M176" s="2">
        <f t="shared" si="65"/>
        <v>6.6312904111871473</v>
      </c>
      <c r="N176" s="19">
        <f t="shared" si="78"/>
        <v>275.98898848473021</v>
      </c>
      <c r="O176" s="1">
        <f t="shared" si="66"/>
        <v>150</v>
      </c>
      <c r="P176" s="119">
        <f t="shared" si="67"/>
        <v>56.043976899440651</v>
      </c>
      <c r="Q176" s="18">
        <f t="shared" si="68"/>
        <v>3.7516669479887632</v>
      </c>
      <c r="R176" s="2">
        <f t="shared" si="69"/>
        <v>0.91873971098797635</v>
      </c>
      <c r="S176" s="120">
        <f t="shared" si="70"/>
        <v>3.7669792765052295</v>
      </c>
      <c r="T176" s="18">
        <f t="shared" si="71"/>
        <v>1.0699125433251413</v>
      </c>
      <c r="U176" s="1">
        <f t="shared" si="61"/>
        <v>0</v>
      </c>
      <c r="V176" s="2">
        <f t="shared" si="72"/>
        <v>130.53149918103304</v>
      </c>
      <c r="W176" s="19">
        <f t="shared" si="73"/>
        <v>56.507142502611707</v>
      </c>
      <c r="X176" s="20"/>
      <c r="Y176" s="2">
        <f t="shared" si="74"/>
        <v>36.515539145387294</v>
      </c>
      <c r="Z176" s="21">
        <f t="shared" si="75"/>
        <v>0.83177201392456801</v>
      </c>
      <c r="AA176" s="2">
        <f t="shared" si="76"/>
        <v>28.120802522956442</v>
      </c>
      <c r="AB176" s="19">
        <f t="shared" si="79"/>
        <v>45.389337108512592</v>
      </c>
      <c r="AC176" s="2"/>
      <c r="AD176" s="18"/>
      <c r="AE176" s="118"/>
      <c r="AG176" s="2"/>
      <c r="AH176" s="19"/>
      <c r="AI176" s="20"/>
      <c r="AJ176" s="21"/>
      <c r="AK176" s="21"/>
      <c r="AM176" s="19"/>
      <c r="AN176" s="18"/>
      <c r="AO176" s="2"/>
      <c r="AP176" s="18"/>
      <c r="AQ176" s="118"/>
      <c r="AS176" s="2"/>
      <c r="AT176" s="19"/>
      <c r="AU176" s="20"/>
      <c r="AV176" s="21"/>
      <c r="AW176" s="21"/>
      <c r="AY176" s="19"/>
      <c r="AZ176" s="18"/>
      <c r="BA176" s="2"/>
      <c r="BB176" s="18"/>
      <c r="BC176" s="118"/>
      <c r="BE176" s="2"/>
      <c r="BF176" s="19"/>
      <c r="BG176" s="20"/>
      <c r="BH176" s="21"/>
      <c r="BI176" s="21"/>
      <c r="BK176" s="19"/>
      <c r="BL176" s="18"/>
      <c r="BM176" s="2"/>
      <c r="BN176" s="18"/>
      <c r="BO176" s="118"/>
      <c r="BQ176" s="2"/>
      <c r="BR176" s="19"/>
      <c r="BS176" s="20"/>
      <c r="BT176" s="21"/>
      <c r="BU176" s="21"/>
      <c r="BW176" s="19"/>
      <c r="BX176" s="18"/>
      <c r="BY176" s="2"/>
      <c r="BZ176" s="18"/>
      <c r="CA176" s="118"/>
      <c r="CC176" s="2"/>
      <c r="CD176" s="19"/>
      <c r="CE176" s="20"/>
      <c r="CF176" s="21"/>
      <c r="CG176" s="21"/>
      <c r="CI176" s="19"/>
      <c r="CJ176" s="18"/>
      <c r="CK176" s="2"/>
      <c r="CL176" s="18"/>
      <c r="CM176" s="118"/>
      <c r="CO176" s="2"/>
      <c r="CP176" s="19"/>
      <c r="CQ176" s="20"/>
      <c r="CR176" s="21"/>
      <c r="CS176" s="21"/>
    </row>
    <row r="177" spans="1:97" x14ac:dyDescent="0.25">
      <c r="A177" s="1">
        <f t="shared" si="62"/>
        <v>151</v>
      </c>
      <c r="B177" s="19">
        <f t="shared" si="63"/>
        <v>28.783065789494302</v>
      </c>
      <c r="C177" s="18">
        <f t="shared" si="77"/>
        <v>2.2694595083747711</v>
      </c>
      <c r="D177" s="2">
        <f t="shared" si="56"/>
        <v>0.90657690353701259</v>
      </c>
      <c r="E177" s="18">
        <f t="shared" si="64"/>
        <v>2.2845691234337213</v>
      </c>
      <c r="F177" s="21">
        <f t="shared" si="57"/>
        <v>0.4002521365294493</v>
      </c>
      <c r="G177" s="1">
        <f t="shared" si="58"/>
        <v>0</v>
      </c>
      <c r="H177" s="2">
        <f t="shared" si="54"/>
        <v>66.889134110261281</v>
      </c>
      <c r="I177" s="19">
        <f t="shared" si="80"/>
        <v>28.956335112667222</v>
      </c>
      <c r="J177" s="20">
        <f t="shared" si="59"/>
        <v>0.93462700607226601</v>
      </c>
      <c r="K177" s="21">
        <f t="shared" si="60"/>
        <v>8.958395069743128</v>
      </c>
      <c r="L177" s="21">
        <f t="shared" si="55"/>
        <v>0.30593308607654163</v>
      </c>
      <c r="M177" s="2">
        <f t="shared" si="65"/>
        <v>6.763728976588248</v>
      </c>
      <c r="N177" s="19">
        <f t="shared" si="78"/>
        <v>276.31528383089289</v>
      </c>
      <c r="O177" s="1">
        <f t="shared" si="66"/>
        <v>151</v>
      </c>
      <c r="P177" s="19">
        <f t="shared" si="67"/>
        <v>56.507142502611707</v>
      </c>
      <c r="Q177" s="18">
        <f t="shared" si="68"/>
        <v>3.7669792765052295</v>
      </c>
      <c r="R177" s="2">
        <f t="shared" si="69"/>
        <v>0.91889095464024362</v>
      </c>
      <c r="S177" s="18">
        <f t="shared" si="70"/>
        <v>3.7822941257492335</v>
      </c>
      <c r="T177" s="18">
        <f t="shared" si="71"/>
        <v>1.078485676364932</v>
      </c>
      <c r="U177" s="1">
        <f t="shared" si="61"/>
        <v>0</v>
      </c>
      <c r="V177" s="2">
        <f t="shared" si="72"/>
        <v>131.60998485739796</v>
      </c>
      <c r="W177" s="19">
        <f t="shared" si="73"/>
        <v>56.974019418786995</v>
      </c>
      <c r="X177" s="20"/>
      <c r="Y177" s="2">
        <f t="shared" si="74"/>
        <v>36.982523443253307</v>
      </c>
      <c r="Z177" s="21">
        <f t="shared" si="75"/>
        <v>0.83854898640148479</v>
      </c>
      <c r="AA177" s="2">
        <f t="shared" si="76"/>
        <v>28.483810742177862</v>
      </c>
      <c r="AB177" s="19">
        <f t="shared" si="79"/>
        <v>45.585917450885589</v>
      </c>
      <c r="AC177" s="2"/>
      <c r="AD177" s="18"/>
      <c r="AE177" s="118"/>
      <c r="AG177" s="2"/>
      <c r="AH177" s="19"/>
      <c r="AI177" s="20"/>
      <c r="AJ177" s="21"/>
      <c r="AK177" s="21"/>
      <c r="AM177" s="19"/>
      <c r="AN177" s="18"/>
      <c r="AO177" s="2"/>
      <c r="AP177" s="18"/>
      <c r="AQ177" s="118"/>
      <c r="AS177" s="2"/>
      <c r="AT177" s="19"/>
      <c r="AU177" s="20"/>
      <c r="AV177" s="21"/>
      <c r="AW177" s="21"/>
      <c r="AY177" s="19"/>
      <c r="AZ177" s="18"/>
      <c r="BA177" s="2"/>
      <c r="BB177" s="18"/>
      <c r="BC177" s="118"/>
      <c r="BE177" s="2"/>
      <c r="BF177" s="19"/>
      <c r="BG177" s="20"/>
      <c r="BH177" s="21"/>
      <c r="BI177" s="21"/>
      <c r="BK177" s="19"/>
      <c r="BL177" s="18"/>
      <c r="BM177" s="2"/>
      <c r="BN177" s="18"/>
      <c r="BO177" s="118"/>
      <c r="BQ177" s="2"/>
      <c r="BR177" s="19"/>
      <c r="BS177" s="20"/>
      <c r="BT177" s="21"/>
      <c r="BU177" s="21"/>
      <c r="BW177" s="19"/>
      <c r="BX177" s="18"/>
      <c r="BY177" s="2"/>
      <c r="BZ177" s="18"/>
      <c r="CA177" s="118"/>
      <c r="CC177" s="2"/>
      <c r="CD177" s="19"/>
      <c r="CE177" s="20"/>
      <c r="CF177" s="21"/>
      <c r="CG177" s="21"/>
      <c r="CI177" s="19"/>
      <c r="CJ177" s="18"/>
      <c r="CK177" s="2"/>
      <c r="CL177" s="18"/>
      <c r="CM177" s="118"/>
      <c r="CO177" s="2"/>
      <c r="CP177" s="19"/>
      <c r="CQ177" s="20"/>
      <c r="CR177" s="21"/>
      <c r="CS177" s="21"/>
    </row>
    <row r="178" spans="1:97" x14ac:dyDescent="0.25">
      <c r="A178" s="1">
        <f t="shared" si="62"/>
        <v>152</v>
      </c>
      <c r="B178" s="19">
        <f t="shared" si="63"/>
        <v>28.956335112667222</v>
      </c>
      <c r="C178" s="18">
        <f t="shared" si="77"/>
        <v>2.2845691234337213</v>
      </c>
      <c r="D178" s="2">
        <f t="shared" si="56"/>
        <v>0.90668573172967515</v>
      </c>
      <c r="E178" s="18">
        <f t="shared" si="64"/>
        <v>2.2996805522958828</v>
      </c>
      <c r="F178" s="21">
        <f t="shared" si="57"/>
        <v>0.40547142921289059</v>
      </c>
      <c r="G178" s="1">
        <f t="shared" si="58"/>
        <v>0</v>
      </c>
      <c r="H178" s="2">
        <f t="shared" si="54"/>
        <v>67.294605539474176</v>
      </c>
      <c r="I178" s="19">
        <f t="shared" si="80"/>
        <v>29.13186386990224</v>
      </c>
      <c r="J178" s="20">
        <f t="shared" si="59"/>
        <v>0.93459393647273414</v>
      </c>
      <c r="K178" s="21">
        <f t="shared" si="60"/>
        <v>9.1339641985923095</v>
      </c>
      <c r="L178" s="21">
        <f t="shared" si="55"/>
        <v>0.30999369940512744</v>
      </c>
      <c r="M178" s="2">
        <f t="shared" si="65"/>
        <v>6.8979253832571343</v>
      </c>
      <c r="N178" s="19">
        <f t="shared" si="78"/>
        <v>276.63942113463725</v>
      </c>
      <c r="O178" s="1">
        <f t="shared" si="66"/>
        <v>152</v>
      </c>
      <c r="P178" s="19">
        <f t="shared" si="67"/>
        <v>56.974019418786995</v>
      </c>
      <c r="Q178" s="18">
        <f t="shared" si="68"/>
        <v>3.7822941257492335</v>
      </c>
      <c r="R178" s="2">
        <f t="shared" si="69"/>
        <v>0.9190421856254779</v>
      </c>
      <c r="S178" s="18">
        <f t="shared" si="70"/>
        <v>3.797611495509658</v>
      </c>
      <c r="T178" s="18">
        <f t="shared" si="71"/>
        <v>1.0870939320788349</v>
      </c>
      <c r="U178" s="1">
        <f t="shared" si="61"/>
        <v>0</v>
      </c>
      <c r="V178" s="2">
        <f t="shared" si="72"/>
        <v>132.69707878947679</v>
      </c>
      <c r="W178" s="19">
        <f t="shared" si="73"/>
        <v>57.444622852587351</v>
      </c>
      <c r="X178" s="20"/>
      <c r="Y178" s="2">
        <f t="shared" si="74"/>
        <v>37.453235115843441</v>
      </c>
      <c r="Z178" s="21">
        <f t="shared" si="75"/>
        <v>0.84535457725896679</v>
      </c>
      <c r="AA178" s="2">
        <f t="shared" si="76"/>
        <v>28.849765104627632</v>
      </c>
      <c r="AB178" s="19">
        <f t="shared" si="79"/>
        <v>45.781701821764123</v>
      </c>
      <c r="AC178" s="2"/>
      <c r="AD178" s="18"/>
      <c r="AE178" s="118"/>
      <c r="AG178" s="2"/>
      <c r="AH178" s="19"/>
      <c r="AI178" s="20"/>
      <c r="AJ178" s="21"/>
      <c r="AK178" s="21"/>
      <c r="AM178" s="19"/>
      <c r="AN178" s="18"/>
      <c r="AO178" s="2"/>
      <c r="AP178" s="18"/>
      <c r="AQ178" s="118"/>
      <c r="AS178" s="2"/>
      <c r="AT178" s="19"/>
      <c r="AU178" s="20"/>
      <c r="AV178" s="21"/>
      <c r="AW178" s="21"/>
      <c r="AY178" s="19"/>
      <c r="AZ178" s="18"/>
      <c r="BA178" s="2"/>
      <c r="BB178" s="18"/>
      <c r="BC178" s="118"/>
      <c r="BE178" s="2"/>
      <c r="BF178" s="19"/>
      <c r="BG178" s="20"/>
      <c r="BH178" s="21"/>
      <c r="BI178" s="21"/>
      <c r="BK178" s="19"/>
      <c r="BL178" s="18"/>
      <c r="BM178" s="2"/>
      <c r="BN178" s="18"/>
      <c r="BO178" s="118"/>
      <c r="BQ178" s="2"/>
      <c r="BR178" s="19"/>
      <c r="BS178" s="20"/>
      <c r="BT178" s="21"/>
      <c r="BU178" s="21"/>
      <c r="BW178" s="19"/>
      <c r="BX178" s="18"/>
      <c r="BY178" s="2"/>
      <c r="BZ178" s="18"/>
      <c r="CA178" s="118"/>
      <c r="CC178" s="2"/>
      <c r="CD178" s="19"/>
      <c r="CE178" s="20"/>
      <c r="CF178" s="21"/>
      <c r="CG178" s="21"/>
      <c r="CI178" s="19"/>
      <c r="CJ178" s="18"/>
      <c r="CK178" s="2"/>
      <c r="CL178" s="18"/>
      <c r="CM178" s="118"/>
      <c r="CO178" s="2"/>
      <c r="CP178" s="19"/>
      <c r="CQ178" s="20"/>
      <c r="CR178" s="21"/>
      <c r="CS178" s="21"/>
    </row>
    <row r="179" spans="1:97" x14ac:dyDescent="0.25">
      <c r="A179" s="1">
        <f t="shared" si="62"/>
        <v>153</v>
      </c>
      <c r="B179" s="19">
        <f t="shared" si="63"/>
        <v>29.13186386990224</v>
      </c>
      <c r="C179" s="18">
        <f t="shared" si="77"/>
        <v>2.2996805522958828</v>
      </c>
      <c r="D179" s="2">
        <f t="shared" si="56"/>
        <v>0.90679533025437797</v>
      </c>
      <c r="E179" s="18">
        <f t="shared" si="64"/>
        <v>2.3147938078001222</v>
      </c>
      <c r="F179" s="21">
        <f t="shared" si="57"/>
        <v>0.4107246346520953</v>
      </c>
      <c r="G179" s="1">
        <f t="shared" si="58"/>
        <v>0</v>
      </c>
      <c r="H179" s="2">
        <f t="shared" si="54"/>
        <v>67.705330174126274</v>
      </c>
      <c r="I179" s="19">
        <f t="shared" si="80"/>
        <v>29.309666742046005</v>
      </c>
      <c r="J179" s="20">
        <f t="shared" si="59"/>
        <v>0.93456056116545405</v>
      </c>
      <c r="K179" s="21">
        <f t="shared" si="60"/>
        <v>9.3118079653966674</v>
      </c>
      <c r="L179" s="21">
        <f t="shared" si="55"/>
        <v>0.31408157907643452</v>
      </c>
      <c r="M179" s="2">
        <f t="shared" si="65"/>
        <v>7.0338914348053745</v>
      </c>
      <c r="N179" s="19">
        <f t="shared" si="78"/>
        <v>276.961428500029</v>
      </c>
      <c r="O179" s="1">
        <f t="shared" si="66"/>
        <v>153</v>
      </c>
      <c r="P179" s="19">
        <f t="shared" si="67"/>
        <v>57.444622852587351</v>
      </c>
      <c r="Q179" s="18">
        <f t="shared" si="68"/>
        <v>3.797611495509658</v>
      </c>
      <c r="R179" s="2">
        <f t="shared" si="69"/>
        <v>0.91919339959508528</v>
      </c>
      <c r="S179" s="18">
        <f t="shared" si="70"/>
        <v>3.8129313855029094</v>
      </c>
      <c r="T179" s="18">
        <f t="shared" si="71"/>
        <v>1.0957373232361098</v>
      </c>
      <c r="U179" s="1">
        <f t="shared" si="61"/>
        <v>0</v>
      </c>
      <c r="V179" s="2">
        <f t="shared" si="72"/>
        <v>133.7928161127129</v>
      </c>
      <c r="W179" s="19">
        <f t="shared" si="73"/>
        <v>57.918968014161429</v>
      </c>
      <c r="X179" s="20"/>
      <c r="Y179" s="2">
        <f t="shared" si="74"/>
        <v>37.927689376804679</v>
      </c>
      <c r="Z179" s="21">
        <f t="shared" si="75"/>
        <v>0.85218879994846775</v>
      </c>
      <c r="AA179" s="2">
        <f t="shared" si="76"/>
        <v>29.218678005038225</v>
      </c>
      <c r="AB179" s="19">
        <f t="shared" si="79"/>
        <v>45.976696511653543</v>
      </c>
      <c r="AC179" s="2"/>
      <c r="AD179" s="18"/>
      <c r="AE179" s="118"/>
      <c r="AG179" s="2"/>
      <c r="AH179" s="19"/>
      <c r="AI179" s="20"/>
      <c r="AJ179" s="21"/>
      <c r="AK179" s="21"/>
      <c r="AM179" s="19"/>
      <c r="AN179" s="18"/>
      <c r="AO179" s="2"/>
      <c r="AP179" s="18"/>
      <c r="AQ179" s="118"/>
      <c r="AS179" s="2"/>
      <c r="AT179" s="19"/>
      <c r="AU179" s="20"/>
      <c r="AV179" s="21"/>
      <c r="AW179" s="21"/>
      <c r="AY179" s="19"/>
      <c r="AZ179" s="18"/>
      <c r="BA179" s="2"/>
      <c r="BB179" s="18"/>
      <c r="BC179" s="118"/>
      <c r="BE179" s="2"/>
      <c r="BF179" s="19"/>
      <c r="BG179" s="20"/>
      <c r="BH179" s="21"/>
      <c r="BI179" s="21"/>
      <c r="BK179" s="19"/>
      <c r="BL179" s="18"/>
      <c r="BM179" s="2"/>
      <c r="BN179" s="18"/>
      <c r="BO179" s="118"/>
      <c r="BQ179" s="2"/>
      <c r="BR179" s="19"/>
      <c r="BS179" s="20"/>
      <c r="BT179" s="21"/>
      <c r="BU179" s="21"/>
      <c r="BW179" s="19"/>
      <c r="BX179" s="18"/>
      <c r="BY179" s="2"/>
      <c r="BZ179" s="18"/>
      <c r="CA179" s="118"/>
      <c r="CC179" s="2"/>
      <c r="CD179" s="19"/>
      <c r="CE179" s="20"/>
      <c r="CF179" s="21"/>
      <c r="CG179" s="21"/>
      <c r="CI179" s="19"/>
      <c r="CJ179" s="18"/>
      <c r="CK179" s="2"/>
      <c r="CL179" s="18"/>
      <c r="CM179" s="118"/>
      <c r="CO179" s="2"/>
      <c r="CP179" s="19"/>
      <c r="CQ179" s="20"/>
      <c r="CR179" s="21"/>
      <c r="CS179" s="21"/>
    </row>
    <row r="180" spans="1:97" x14ac:dyDescent="0.25">
      <c r="A180" s="1">
        <f t="shared" si="62"/>
        <v>154</v>
      </c>
      <c r="B180" s="19">
        <f t="shared" si="63"/>
        <v>29.309666742046005</v>
      </c>
      <c r="C180" s="18">
        <f t="shared" si="77"/>
        <v>2.3147938078001222</v>
      </c>
      <c r="D180" s="2">
        <f t="shared" si="56"/>
        <v>0.90690569089756745</v>
      </c>
      <c r="E180" s="18">
        <f t="shared" si="64"/>
        <v>2.3299089026484152</v>
      </c>
      <c r="F180" s="21">
        <f t="shared" si="57"/>
        <v>0.41601176306635534</v>
      </c>
      <c r="G180" s="1">
        <f t="shared" si="58"/>
        <v>0</v>
      </c>
      <c r="H180" s="2">
        <f t="shared" si="54"/>
        <v>68.121341937192625</v>
      </c>
      <c r="I180" s="19">
        <f t="shared" si="80"/>
        <v>29.489758414369103</v>
      </c>
      <c r="J180" s="20">
        <f t="shared" si="59"/>
        <v>0.93452688108319804</v>
      </c>
      <c r="K180" s="21">
        <f t="shared" si="60"/>
        <v>9.4919410588044002</v>
      </c>
      <c r="L180" s="21">
        <f t="shared" si="55"/>
        <v>0.31819673826902795</v>
      </c>
      <c r="M180" s="2">
        <f t="shared" si="65"/>
        <v>7.171638940549542</v>
      </c>
      <c r="N180" s="19">
        <f t="shared" si="78"/>
        <v>277.28133348395977</v>
      </c>
      <c r="O180" s="1">
        <f t="shared" si="66"/>
        <v>154</v>
      </c>
      <c r="P180" s="19">
        <f t="shared" si="67"/>
        <v>57.918968014161429</v>
      </c>
      <c r="Q180" s="18">
        <f t="shared" si="68"/>
        <v>3.8129313855029094</v>
      </c>
      <c r="R180" s="2">
        <f t="shared" si="69"/>
        <v>0.91934459227330323</v>
      </c>
      <c r="S180" s="18">
        <f t="shared" si="70"/>
        <v>3.8282537953741311</v>
      </c>
      <c r="T180" s="18">
        <f t="shared" si="71"/>
        <v>1.1044158625793155</v>
      </c>
      <c r="U180" s="1">
        <f t="shared" si="61"/>
        <v>0</v>
      </c>
      <c r="V180" s="2">
        <f t="shared" si="72"/>
        <v>134.89723197529221</v>
      </c>
      <c r="W180" s="19">
        <f t="shared" si="73"/>
        <v>58.397070119174117</v>
      </c>
      <c r="X180" s="20"/>
      <c r="Y180" s="2">
        <f t="shared" si="74"/>
        <v>38.405901445301524</v>
      </c>
      <c r="Z180" s="21">
        <f t="shared" si="75"/>
        <v>0.85905166788965426</v>
      </c>
      <c r="AA180" s="2">
        <f t="shared" si="76"/>
        <v>29.590561843951495</v>
      </c>
      <c r="AB180" s="19">
        <f t="shared" si="79"/>
        <v>46.170907736828717</v>
      </c>
      <c r="AC180" s="2"/>
      <c r="AD180" s="18"/>
      <c r="AE180" s="118"/>
      <c r="AG180" s="2"/>
      <c r="AH180" s="19"/>
      <c r="AI180" s="20"/>
      <c r="AJ180" s="21"/>
      <c r="AK180" s="21"/>
      <c r="AM180" s="19"/>
      <c r="AN180" s="18"/>
      <c r="AO180" s="2"/>
      <c r="AP180" s="18"/>
      <c r="AQ180" s="118"/>
      <c r="AS180" s="2"/>
      <c r="AT180" s="19"/>
      <c r="AU180" s="20"/>
      <c r="AV180" s="21"/>
      <c r="AW180" s="21"/>
      <c r="AY180" s="19"/>
      <c r="AZ180" s="18"/>
      <c r="BA180" s="2"/>
      <c r="BB180" s="18"/>
      <c r="BC180" s="118"/>
      <c r="BE180" s="2"/>
      <c r="BF180" s="19"/>
      <c r="BG180" s="20"/>
      <c r="BH180" s="21"/>
      <c r="BI180" s="21"/>
      <c r="BK180" s="19"/>
      <c r="BL180" s="18"/>
      <c r="BM180" s="2"/>
      <c r="BN180" s="18"/>
      <c r="BO180" s="118"/>
      <c r="BQ180" s="2"/>
      <c r="BR180" s="19"/>
      <c r="BS180" s="20"/>
      <c r="BT180" s="21"/>
      <c r="BU180" s="21"/>
      <c r="BW180" s="19"/>
      <c r="BX180" s="18"/>
      <c r="BY180" s="2"/>
      <c r="BZ180" s="18"/>
      <c r="CA180" s="118"/>
      <c r="CC180" s="2"/>
      <c r="CD180" s="19"/>
      <c r="CE180" s="20"/>
      <c r="CF180" s="21"/>
      <c r="CG180" s="21"/>
      <c r="CI180" s="19"/>
      <c r="CJ180" s="18"/>
      <c r="CK180" s="2"/>
      <c r="CL180" s="18"/>
      <c r="CM180" s="118"/>
      <c r="CO180" s="2"/>
      <c r="CP180" s="19"/>
      <c r="CQ180" s="20"/>
      <c r="CR180" s="21"/>
      <c r="CS180" s="21"/>
    </row>
    <row r="181" spans="1:97" x14ac:dyDescent="0.25">
      <c r="A181" s="1">
        <f t="shared" si="62"/>
        <v>155</v>
      </c>
      <c r="B181" s="19">
        <f t="shared" si="63"/>
        <v>29.489758414369103</v>
      </c>
      <c r="C181" s="18">
        <f t="shared" si="77"/>
        <v>2.3299089026484152</v>
      </c>
      <c r="D181" s="2">
        <f t="shared" si="56"/>
        <v>0.90701680537055118</v>
      </c>
      <c r="E181" s="18">
        <f t="shared" si="64"/>
        <v>2.3450258494045912</v>
      </c>
      <c r="F181" s="21">
        <f t="shared" si="57"/>
        <v>0.42133282478204881</v>
      </c>
      <c r="G181" s="1">
        <f t="shared" si="58"/>
        <v>0</v>
      </c>
      <c r="H181" s="2">
        <f t="shared" si="54"/>
        <v>68.542674761974681</v>
      </c>
      <c r="I181" s="19">
        <f t="shared" si="80"/>
        <v>29.672153576612416</v>
      </c>
      <c r="J181" s="20">
        <f t="shared" si="59"/>
        <v>0.93449289719190332</v>
      </c>
      <c r="K181" s="21">
        <f t="shared" si="60"/>
        <v>9.674378171935027</v>
      </c>
      <c r="L181" s="21">
        <f t="shared" si="55"/>
        <v>0.32233919021470964</v>
      </c>
      <c r="M181" s="2">
        <f t="shared" si="65"/>
        <v>7.3111797155342648</v>
      </c>
      <c r="N181" s="19">
        <f t="shared" si="78"/>
        <v>277.59916311027933</v>
      </c>
      <c r="O181" s="1">
        <f t="shared" si="66"/>
        <v>155</v>
      </c>
      <c r="P181" s="19">
        <f t="shared" si="67"/>
        <v>58.397070119174117</v>
      </c>
      <c r="Q181" s="18">
        <f t="shared" si="68"/>
        <v>3.8282537953741311</v>
      </c>
      <c r="R181" s="2">
        <f t="shared" si="69"/>
        <v>0.9194957594564821</v>
      </c>
      <c r="S181" s="18">
        <f t="shared" si="70"/>
        <v>3.8435787246984057</v>
      </c>
      <c r="T181" s="18">
        <f t="shared" si="71"/>
        <v>1.1131295628240909</v>
      </c>
      <c r="U181" s="1">
        <f t="shared" si="61"/>
        <v>0</v>
      </c>
      <c r="V181" s="2">
        <f t="shared" si="72"/>
        <v>136.01036153811631</v>
      </c>
      <c r="W181" s="19">
        <f t="shared" si="73"/>
        <v>58.878944388794942</v>
      </c>
      <c r="X181" s="20"/>
      <c r="Y181" s="2">
        <f t="shared" si="74"/>
        <v>38.887886546004353</v>
      </c>
      <c r="Z181" s="21">
        <f t="shared" si="75"/>
        <v>0.86594319447030921</v>
      </c>
      <c r="AA181" s="2">
        <f t="shared" si="76"/>
        <v>29.965429027704875</v>
      </c>
      <c r="AB181" s="19">
        <f t="shared" si="79"/>
        <v>46.364341640500982</v>
      </c>
      <c r="AC181" s="2"/>
      <c r="AD181" s="18"/>
      <c r="AE181" s="118"/>
      <c r="AG181" s="2"/>
      <c r="AH181" s="19"/>
      <c r="AI181" s="20"/>
      <c r="AJ181" s="21"/>
      <c r="AK181" s="21"/>
      <c r="AM181" s="19"/>
      <c r="AN181" s="18"/>
      <c r="AO181" s="2"/>
      <c r="AP181" s="18"/>
      <c r="AQ181" s="118"/>
      <c r="AS181" s="2"/>
      <c r="AT181" s="19"/>
      <c r="AU181" s="20"/>
      <c r="AV181" s="21"/>
      <c r="AW181" s="21"/>
      <c r="AY181" s="19"/>
      <c r="AZ181" s="18"/>
      <c r="BA181" s="2"/>
      <c r="BB181" s="18"/>
      <c r="BC181" s="118"/>
      <c r="BE181" s="2"/>
      <c r="BF181" s="19"/>
      <c r="BG181" s="20"/>
      <c r="BH181" s="21"/>
      <c r="BI181" s="21"/>
      <c r="BK181" s="19"/>
      <c r="BL181" s="18"/>
      <c r="BM181" s="2"/>
      <c r="BN181" s="18"/>
      <c r="BO181" s="118"/>
      <c r="BQ181" s="2"/>
      <c r="BR181" s="19"/>
      <c r="BS181" s="20"/>
      <c r="BT181" s="21"/>
      <c r="BU181" s="21"/>
      <c r="BW181" s="19"/>
      <c r="BX181" s="18"/>
      <c r="BY181" s="2"/>
      <c r="BZ181" s="18"/>
      <c r="CA181" s="118"/>
      <c r="CC181" s="2"/>
      <c r="CD181" s="19"/>
      <c r="CE181" s="20"/>
      <c r="CF181" s="21"/>
      <c r="CG181" s="21"/>
      <c r="CI181" s="19"/>
      <c r="CJ181" s="18"/>
      <c r="CK181" s="2"/>
      <c r="CL181" s="18"/>
      <c r="CM181" s="118"/>
      <c r="CO181" s="2"/>
      <c r="CP181" s="19"/>
      <c r="CQ181" s="20"/>
      <c r="CR181" s="21"/>
      <c r="CS181" s="21"/>
    </row>
    <row r="182" spans="1:97" x14ac:dyDescent="0.25">
      <c r="A182" s="1">
        <f t="shared" si="62"/>
        <v>156</v>
      </c>
      <c r="B182" s="19">
        <f t="shared" si="63"/>
        <v>29.672153576612416</v>
      </c>
      <c r="C182" s="18">
        <f t="shared" si="77"/>
        <v>2.3450258494045912</v>
      </c>
      <c r="D182" s="2">
        <f t="shared" si="56"/>
        <v>0.90712866531363279</v>
      </c>
      <c r="E182" s="18">
        <f t="shared" si="64"/>
        <v>2.3601446604931517</v>
      </c>
      <c r="F182" s="21">
        <f t="shared" si="57"/>
        <v>0.42668783023008261</v>
      </c>
      <c r="G182" s="1">
        <f t="shared" si="58"/>
        <v>0</v>
      </c>
      <c r="H182" s="2">
        <f t="shared" si="54"/>
        <v>68.96936259220476</v>
      </c>
      <c r="I182" s="19">
        <f t="shared" si="80"/>
        <v>29.856866923032364</v>
      </c>
      <c r="J182" s="20">
        <f t="shared" si="59"/>
        <v>0.93445861049007484</v>
      </c>
      <c r="K182" s="21">
        <f t="shared" si="60"/>
        <v>9.8591340024246534</v>
      </c>
      <c r="L182" s="21">
        <f t="shared" si="55"/>
        <v>0.32650894819699444</v>
      </c>
      <c r="M182" s="2">
        <f t="shared" si="65"/>
        <v>7.4525255805546085</v>
      </c>
      <c r="N182" s="19">
        <f t="shared" si="78"/>
        <v>277.91494388347439</v>
      </c>
      <c r="O182" s="1">
        <f t="shared" si="66"/>
        <v>156</v>
      </c>
      <c r="P182" s="19">
        <f t="shared" si="67"/>
        <v>58.878944388794942</v>
      </c>
      <c r="Q182" s="18">
        <f t="shared" si="68"/>
        <v>3.8435787246984057</v>
      </c>
      <c r="R182" s="2">
        <f t="shared" si="69"/>
        <v>0.91964689701236169</v>
      </c>
      <c r="S182" s="18">
        <f t="shared" si="70"/>
        <v>3.8589061729819449</v>
      </c>
      <c r="T182" s="18">
        <f t="shared" si="71"/>
        <v>1.1218784366589429</v>
      </c>
      <c r="U182" s="1">
        <f t="shared" si="61"/>
        <v>0</v>
      </c>
      <c r="V182" s="2">
        <f t="shared" si="72"/>
        <v>137.13223997477525</v>
      </c>
      <c r="W182" s="19">
        <f t="shared" si="73"/>
        <v>59.364606049686252</v>
      </c>
      <c r="X182" s="20"/>
      <c r="Y182" s="2">
        <f t="shared" si="74"/>
        <v>39.373659909077674</v>
      </c>
      <c r="Z182" s="21">
        <f t="shared" si="75"/>
        <v>0.87286339304623672</v>
      </c>
      <c r="AA182" s="2">
        <f t="shared" si="76"/>
        <v>30.343291968417532</v>
      </c>
      <c r="AB182" s="19">
        <f t="shared" si="79"/>
        <v>46.55700429396218</v>
      </c>
      <c r="AC182" s="2"/>
      <c r="AD182" s="18"/>
      <c r="AE182" s="118"/>
      <c r="AG182" s="2"/>
      <c r="AH182" s="19"/>
      <c r="AI182" s="20"/>
      <c r="AJ182" s="21"/>
      <c r="AK182" s="21"/>
      <c r="AM182" s="19"/>
      <c r="AN182" s="18"/>
      <c r="AO182" s="2"/>
      <c r="AP182" s="18"/>
      <c r="AQ182" s="118"/>
      <c r="AS182" s="2"/>
      <c r="AT182" s="19"/>
      <c r="AU182" s="20"/>
      <c r="AV182" s="21"/>
      <c r="AW182" s="21"/>
      <c r="AY182" s="19"/>
      <c r="AZ182" s="18"/>
      <c r="BA182" s="2"/>
      <c r="BB182" s="18"/>
      <c r="BC182" s="118"/>
      <c r="BE182" s="2"/>
      <c r="BF182" s="19"/>
      <c r="BG182" s="20"/>
      <c r="BH182" s="21"/>
      <c r="BI182" s="21"/>
      <c r="BK182" s="19"/>
      <c r="BL182" s="18"/>
      <c r="BM182" s="2"/>
      <c r="BN182" s="18"/>
      <c r="BO182" s="118"/>
      <c r="BQ182" s="2"/>
      <c r="BR182" s="19"/>
      <c r="BS182" s="20"/>
      <c r="BT182" s="21"/>
      <c r="BU182" s="21"/>
      <c r="BW182" s="19"/>
      <c r="BX182" s="18"/>
      <c r="BY182" s="2"/>
      <c r="BZ182" s="18"/>
      <c r="CA182" s="118"/>
      <c r="CC182" s="2"/>
      <c r="CD182" s="19"/>
      <c r="CE182" s="20"/>
      <c r="CF182" s="21"/>
      <c r="CG182" s="21"/>
      <c r="CI182" s="19"/>
      <c r="CJ182" s="18"/>
      <c r="CK182" s="2"/>
      <c r="CL182" s="18"/>
      <c r="CM182" s="118"/>
      <c r="CO182" s="2"/>
      <c r="CP182" s="19"/>
      <c r="CQ182" s="20"/>
      <c r="CR182" s="21"/>
      <c r="CS182" s="21"/>
    </row>
    <row r="183" spans="1:97" x14ac:dyDescent="0.25">
      <c r="A183" s="1">
        <f t="shared" si="62"/>
        <v>157</v>
      </c>
      <c r="B183" s="19">
        <f t="shared" si="63"/>
        <v>29.856866923032364</v>
      </c>
      <c r="C183" s="18">
        <f t="shared" si="77"/>
        <v>2.3601446604931517</v>
      </c>
      <c r="D183" s="2">
        <f t="shared" si="56"/>
        <v>0.90724126230021662</v>
      </c>
      <c r="E183" s="18">
        <f t="shared" si="64"/>
        <v>2.3752653481981554</v>
      </c>
      <c r="F183" s="21">
        <f t="shared" si="57"/>
        <v>0.43207678994335691</v>
      </c>
      <c r="G183" s="1">
        <f t="shared" si="58"/>
        <v>0</v>
      </c>
      <c r="H183" s="2">
        <f t="shared" si="54"/>
        <v>69.401439382148112</v>
      </c>
      <c r="I183" s="19">
        <f t="shared" si="80"/>
        <v>30.043913152445068</v>
      </c>
      <c r="J183" s="20">
        <f t="shared" si="59"/>
        <v>0.93442402200818842</v>
      </c>
      <c r="K183" s="21">
        <f t="shared" si="60"/>
        <v>10.046223252470128</v>
      </c>
      <c r="L183" s="21">
        <f t="shared" si="55"/>
        <v>0.33070602554959233</v>
      </c>
      <c r="M183" s="2">
        <f t="shared" si="65"/>
        <v>7.5956883621778086</v>
      </c>
      <c r="N183" s="19">
        <f t="shared" si="78"/>
        <v>278.22870180191177</v>
      </c>
      <c r="O183" s="1">
        <f t="shared" si="66"/>
        <v>157</v>
      </c>
      <c r="P183" s="19">
        <f t="shared" si="67"/>
        <v>59.364606049686252</v>
      </c>
      <c r="Q183" s="18">
        <f t="shared" si="68"/>
        <v>3.8589061729819449</v>
      </c>
      <c r="R183" s="2">
        <f t="shared" si="69"/>
        <v>0.91979800087934183</v>
      </c>
      <c r="S183" s="18">
        <f t="shared" si="70"/>
        <v>3.8742361396632674</v>
      </c>
      <c r="T183" s="18">
        <f t="shared" si="71"/>
        <v>1.1306624967450476</v>
      </c>
      <c r="U183" s="1">
        <f t="shared" si="61"/>
        <v>0</v>
      </c>
      <c r="V183" s="2">
        <f t="shared" si="72"/>
        <v>138.26290247152031</v>
      </c>
      <c r="W183" s="19">
        <f t="shared" si="73"/>
        <v>59.854070333991473</v>
      </c>
      <c r="X183" s="20"/>
      <c r="Y183" s="2">
        <f t="shared" si="74"/>
        <v>39.863236770168278</v>
      </c>
      <c r="Z183" s="21">
        <f t="shared" si="75"/>
        <v>0.8798122769411798</v>
      </c>
      <c r="AA183" s="2">
        <f t="shared" si="76"/>
        <v>30.724163083976485</v>
      </c>
      <c r="AB183" s="19">
        <f t="shared" si="79"/>
        <v>46.748901697706302</v>
      </c>
      <c r="AC183" s="2"/>
      <c r="AD183" s="18"/>
      <c r="AE183" s="118"/>
      <c r="AG183" s="2"/>
      <c r="AH183" s="19"/>
      <c r="AI183" s="20"/>
      <c r="AJ183" s="21"/>
      <c r="AK183" s="21"/>
      <c r="AM183" s="19"/>
      <c r="AN183" s="18"/>
      <c r="AO183" s="2"/>
      <c r="AP183" s="18"/>
      <c r="AQ183" s="118"/>
      <c r="AS183" s="2"/>
      <c r="AT183" s="19"/>
      <c r="AU183" s="20"/>
      <c r="AV183" s="21"/>
      <c r="AW183" s="21"/>
      <c r="AY183" s="19"/>
      <c r="AZ183" s="18"/>
      <c r="BA183" s="2"/>
      <c r="BB183" s="18"/>
      <c r="BC183" s="118"/>
      <c r="BE183" s="2"/>
      <c r="BF183" s="19"/>
      <c r="BG183" s="20"/>
      <c r="BH183" s="21"/>
      <c r="BI183" s="21"/>
      <c r="BK183" s="19"/>
      <c r="BL183" s="18"/>
      <c r="BM183" s="2"/>
      <c r="BN183" s="18"/>
      <c r="BO183" s="118"/>
      <c r="BQ183" s="2"/>
      <c r="BR183" s="19"/>
      <c r="BS183" s="20"/>
      <c r="BT183" s="21"/>
      <c r="BU183" s="21"/>
      <c r="BW183" s="19"/>
      <c r="BX183" s="18"/>
      <c r="BY183" s="2"/>
      <c r="BZ183" s="18"/>
      <c r="CA183" s="118"/>
      <c r="CC183" s="2"/>
      <c r="CD183" s="19"/>
      <c r="CE183" s="20"/>
      <c r="CF183" s="21"/>
      <c r="CG183" s="21"/>
      <c r="CI183" s="19"/>
      <c r="CJ183" s="18"/>
      <c r="CK183" s="2"/>
      <c r="CL183" s="18"/>
      <c r="CM183" s="118"/>
      <c r="CO183" s="2"/>
      <c r="CP183" s="19"/>
      <c r="CQ183" s="20"/>
      <c r="CR183" s="21"/>
      <c r="CS183" s="21"/>
    </row>
    <row r="184" spans="1:97" x14ac:dyDescent="0.25">
      <c r="A184" s="1">
        <f t="shared" si="62"/>
        <v>158</v>
      </c>
      <c r="B184" s="19">
        <f t="shared" si="63"/>
        <v>30.043913152445068</v>
      </c>
      <c r="C184" s="18">
        <f t="shared" si="77"/>
        <v>2.3752653481981554</v>
      </c>
      <c r="D184" s="2">
        <f t="shared" si="56"/>
        <v>0.90735458784087897</v>
      </c>
      <c r="E184" s="18">
        <f t="shared" si="64"/>
        <v>2.39038792466217</v>
      </c>
      <c r="F184" s="21">
        <f t="shared" si="57"/>
        <v>0.43749971455425185</v>
      </c>
      <c r="G184" s="1">
        <f t="shared" si="58"/>
        <v>0</v>
      </c>
      <c r="H184" s="2">
        <f t="shared" si="54"/>
        <v>69.838939096702362</v>
      </c>
      <c r="I184" s="19">
        <f t="shared" si="80"/>
        <v>30.233306968269421</v>
      </c>
      <c r="J184" s="20">
        <f t="shared" si="59"/>
        <v>0.93438913280808378</v>
      </c>
      <c r="K184" s="21">
        <f t="shared" si="60"/>
        <v>10.235660628872118</v>
      </c>
      <c r="L184" s="21">
        <f t="shared" si="55"/>
        <v>0.33493043565489722</v>
      </c>
      <c r="M184" s="2">
        <f t="shared" si="65"/>
        <v>7.7406798927643443</v>
      </c>
      <c r="N184" s="19">
        <f t="shared" si="78"/>
        <v>278.54046237066217</v>
      </c>
      <c r="O184" s="1">
        <f t="shared" si="66"/>
        <v>158</v>
      </c>
      <c r="P184" s="19">
        <f t="shared" si="67"/>
        <v>59.854070333991473</v>
      </c>
      <c r="Q184" s="18">
        <f t="shared" si="68"/>
        <v>3.8742361396632674</v>
      </c>
      <c r="R184" s="2">
        <f t="shared" si="69"/>
        <v>0.91994906706574819</v>
      </c>
      <c r="S184" s="18">
        <f t="shared" si="70"/>
        <v>3.889568624114363</v>
      </c>
      <c r="T184" s="18">
        <f t="shared" si="71"/>
        <v>1.1394817557160564</v>
      </c>
      <c r="U184" s="1">
        <f t="shared" si="61"/>
        <v>0</v>
      </c>
      <c r="V184" s="2">
        <f t="shared" si="72"/>
        <v>139.40238422723635</v>
      </c>
      <c r="W184" s="19">
        <f t="shared" si="73"/>
        <v>60.347352479323092</v>
      </c>
      <c r="X184" s="20"/>
      <c r="Y184" s="2">
        <f t="shared" si="74"/>
        <v>40.356632370393328</v>
      </c>
      <c r="Z184" s="21">
        <f t="shared" si="75"/>
        <v>0.88678985944673927</v>
      </c>
      <c r="AA184" s="2">
        <f t="shared" si="76"/>
        <v>31.108054798022692</v>
      </c>
      <c r="AB184" s="19">
        <f t="shared" si="79"/>
        <v>46.940039782529325</v>
      </c>
      <c r="AC184" s="2"/>
      <c r="AD184" s="18"/>
      <c r="AE184" s="118"/>
      <c r="AG184" s="2"/>
      <c r="AH184" s="19"/>
      <c r="AI184" s="20"/>
      <c r="AJ184" s="21"/>
      <c r="AK184" s="21"/>
      <c r="AM184" s="19"/>
      <c r="AN184" s="18"/>
      <c r="AO184" s="2"/>
      <c r="AP184" s="18"/>
      <c r="AQ184" s="118"/>
      <c r="AS184" s="2"/>
      <c r="AT184" s="19"/>
      <c r="AU184" s="20"/>
      <c r="AV184" s="21"/>
      <c r="AW184" s="21"/>
      <c r="AY184" s="19"/>
      <c r="AZ184" s="18"/>
      <c r="BA184" s="2"/>
      <c r="BB184" s="18"/>
      <c r="BC184" s="118"/>
      <c r="BE184" s="2"/>
      <c r="BF184" s="19"/>
      <c r="BG184" s="20"/>
      <c r="BH184" s="21"/>
      <c r="BI184" s="21"/>
      <c r="BK184" s="19"/>
      <c r="BL184" s="18"/>
      <c r="BM184" s="2"/>
      <c r="BN184" s="18"/>
      <c r="BO184" s="118"/>
      <c r="BQ184" s="2"/>
      <c r="BR184" s="19"/>
      <c r="BS184" s="20"/>
      <c r="BT184" s="21"/>
      <c r="BU184" s="21"/>
      <c r="BW184" s="19"/>
      <c r="BX184" s="18"/>
      <c r="BY184" s="2"/>
      <c r="BZ184" s="18"/>
      <c r="CA184" s="118"/>
      <c r="CC184" s="2"/>
      <c r="CD184" s="19"/>
      <c r="CE184" s="20"/>
      <c r="CF184" s="21"/>
      <c r="CG184" s="21"/>
      <c r="CI184" s="19"/>
      <c r="CJ184" s="18"/>
      <c r="CK184" s="2"/>
      <c r="CL184" s="18"/>
      <c r="CM184" s="118"/>
      <c r="CO184" s="2"/>
      <c r="CP184" s="19"/>
      <c r="CQ184" s="20"/>
      <c r="CR184" s="21"/>
      <c r="CS184" s="21"/>
    </row>
    <row r="185" spans="1:97" x14ac:dyDescent="0.25">
      <c r="A185" s="1">
        <f t="shared" si="62"/>
        <v>159</v>
      </c>
      <c r="B185" s="19">
        <f t="shared" si="63"/>
        <v>30.233306968269421</v>
      </c>
      <c r="C185" s="18">
        <f t="shared" si="77"/>
        <v>2.39038792466217</v>
      </c>
      <c r="D185" s="2">
        <f t="shared" si="56"/>
        <v>0.90746863338740169</v>
      </c>
      <c r="E185" s="18">
        <f t="shared" si="64"/>
        <v>2.4055124018852934</v>
      </c>
      <c r="F185" s="21">
        <f t="shared" si="57"/>
        <v>0.44295661479213699</v>
      </c>
      <c r="G185" s="1">
        <f t="shared" si="58"/>
        <v>0</v>
      </c>
      <c r="H185" s="2">
        <f t="shared" si="54"/>
        <v>70.281895711494499</v>
      </c>
      <c r="I185" s="19">
        <f t="shared" si="80"/>
        <v>30.425063078569046</v>
      </c>
      <c r="J185" s="20">
        <f t="shared" si="59"/>
        <v>0.93435394398235871</v>
      </c>
      <c r="K185" s="21">
        <f t="shared" si="60"/>
        <v>10.427460843077114</v>
      </c>
      <c r="L185" s="21">
        <f t="shared" si="55"/>
        <v>0.33918219194248284</v>
      </c>
      <c r="M185" s="2">
        <f t="shared" si="65"/>
        <v>7.8875120104883631</v>
      </c>
      <c r="N185" s="19">
        <f t="shared" si="78"/>
        <v>278.85025061392065</v>
      </c>
      <c r="O185" s="1">
        <f t="shared" si="66"/>
        <v>159</v>
      </c>
      <c r="P185" s="19">
        <f t="shared" si="67"/>
        <v>60.347352479323092</v>
      </c>
      <c r="Q185" s="18">
        <f t="shared" si="68"/>
        <v>3.889568624114363</v>
      </c>
      <c r="R185" s="2">
        <f t="shared" si="69"/>
        <v>0.9201000916490949</v>
      </c>
      <c r="S185" s="18">
        <f t="shared" si="70"/>
        <v>3.9049036256418481</v>
      </c>
      <c r="T185" s="18">
        <f t="shared" si="71"/>
        <v>1.1483362261779182</v>
      </c>
      <c r="U185" s="1">
        <f t="shared" si="61"/>
        <v>0</v>
      </c>
      <c r="V185" s="2">
        <f t="shared" si="72"/>
        <v>140.55072045341427</v>
      </c>
      <c r="W185" s="19">
        <f t="shared" si="73"/>
        <v>60.844467728750764</v>
      </c>
      <c r="X185" s="20"/>
      <c r="Y185" s="2">
        <f t="shared" si="74"/>
        <v>40.853861956328366</v>
      </c>
      <c r="Z185" s="21">
        <f t="shared" si="75"/>
        <v>0.89379615382230404</v>
      </c>
      <c r="AA185" s="2">
        <f t="shared" si="76"/>
        <v>31.494979539937109</v>
      </c>
      <c r="AB185" s="19">
        <f t="shared" si="79"/>
        <v>47.130424410607716</v>
      </c>
      <c r="AC185" s="2"/>
      <c r="AD185" s="18"/>
      <c r="AE185" s="118"/>
      <c r="AG185" s="2"/>
      <c r="AH185" s="19"/>
      <c r="AI185" s="20"/>
      <c r="AJ185" s="21"/>
      <c r="AK185" s="21"/>
      <c r="AM185" s="19"/>
      <c r="AN185" s="18"/>
      <c r="AO185" s="2"/>
      <c r="AP185" s="18"/>
      <c r="AQ185" s="118"/>
      <c r="AS185" s="2"/>
      <c r="AT185" s="19"/>
      <c r="AU185" s="20"/>
      <c r="AV185" s="21"/>
      <c r="AW185" s="21"/>
      <c r="AY185" s="19"/>
      <c r="AZ185" s="18"/>
      <c r="BA185" s="2"/>
      <c r="BB185" s="18"/>
      <c r="BC185" s="118"/>
      <c r="BE185" s="2"/>
      <c r="BF185" s="19"/>
      <c r="BG185" s="20"/>
      <c r="BH185" s="21"/>
      <c r="BI185" s="21"/>
      <c r="BK185" s="19"/>
      <c r="BL185" s="18"/>
      <c r="BM185" s="2"/>
      <c r="BN185" s="18"/>
      <c r="BO185" s="118"/>
      <c r="BQ185" s="2"/>
      <c r="BR185" s="19"/>
      <c r="BS185" s="20"/>
      <c r="BT185" s="21"/>
      <c r="BU185" s="21"/>
      <c r="BW185" s="19"/>
      <c r="BX185" s="18"/>
      <c r="BY185" s="2"/>
      <c r="BZ185" s="18"/>
      <c r="CA185" s="118"/>
      <c r="CC185" s="2"/>
      <c r="CD185" s="19"/>
      <c r="CE185" s="20"/>
      <c r="CF185" s="21"/>
      <c r="CG185" s="21"/>
      <c r="CI185" s="19"/>
      <c r="CJ185" s="18"/>
      <c r="CK185" s="2"/>
      <c r="CL185" s="18"/>
      <c r="CM185" s="118"/>
      <c r="CO185" s="2"/>
      <c r="CP185" s="19"/>
      <c r="CQ185" s="20"/>
      <c r="CR185" s="21"/>
      <c r="CS185" s="21"/>
    </row>
    <row r="186" spans="1:97" x14ac:dyDescent="0.25">
      <c r="A186" s="1">
        <f t="shared" si="62"/>
        <v>160</v>
      </c>
      <c r="B186" s="19">
        <f t="shared" si="63"/>
        <v>30.425063078569046</v>
      </c>
      <c r="C186" s="18">
        <f t="shared" si="77"/>
        <v>2.4055124018852934</v>
      </c>
      <c r="D186" s="2">
        <f t="shared" si="56"/>
        <v>0.90758339033676816</v>
      </c>
      <c r="E186" s="18">
        <f t="shared" si="64"/>
        <v>2.4206387917242393</v>
      </c>
      <c r="F186" s="21">
        <f t="shared" si="57"/>
        <v>0.4484475014809054</v>
      </c>
      <c r="G186" s="1">
        <f t="shared" si="58"/>
        <v>0</v>
      </c>
      <c r="H186" s="2">
        <f t="shared" si="54"/>
        <v>70.730343212975399</v>
      </c>
      <c r="I186" s="19">
        <f t="shared" si="80"/>
        <v>30.619196196093245</v>
      </c>
      <c r="J186" s="20">
        <f t="shared" si="59"/>
        <v>0.93431845665375435</v>
      </c>
      <c r="K186" s="21">
        <f t="shared" si="60"/>
        <v>10.621638611218346</v>
      </c>
      <c r="L186" s="21">
        <f t="shared" si="55"/>
        <v>0.34346130788760781</v>
      </c>
      <c r="M186" s="2">
        <f t="shared" si="65"/>
        <v>8.0361965593574567</v>
      </c>
      <c r="N186" s="19">
        <f t="shared" si="78"/>
        <v>279.15809108703854</v>
      </c>
      <c r="O186" s="1">
        <f t="shared" si="66"/>
        <v>160</v>
      </c>
      <c r="P186" s="19">
        <f t="shared" si="67"/>
        <v>60.844467728750764</v>
      </c>
      <c r="Q186" s="18">
        <f t="shared" si="68"/>
        <v>3.9049036256418481</v>
      </c>
      <c r="R186" s="2">
        <f t="shared" si="69"/>
        <v>0.92025107077534218</v>
      </c>
      <c r="S186" s="18">
        <f t="shared" si="70"/>
        <v>3.9202411434881039</v>
      </c>
      <c r="T186" s="18">
        <f t="shared" si="71"/>
        <v>1.1572259207087034</v>
      </c>
      <c r="U186" s="1">
        <f t="shared" si="61"/>
        <v>0</v>
      </c>
      <c r="V186" s="2">
        <f t="shared" si="72"/>
        <v>141.70794637412297</v>
      </c>
      <c r="W186" s="19">
        <f t="shared" si="73"/>
        <v>61.345431330789161</v>
      </c>
      <c r="X186" s="20"/>
      <c r="Y186" s="2">
        <f t="shared" si="74"/>
        <v>41.354940779995232</v>
      </c>
      <c r="Z186" s="21">
        <f t="shared" si="75"/>
        <v>0.90083117329498352</v>
      </c>
      <c r="AA186" s="2">
        <f t="shared" si="76"/>
        <v>31.884949744826713</v>
      </c>
      <c r="AB186" s="19">
        <f t="shared" si="79"/>
        <v>47.320061376556055</v>
      </c>
      <c r="AC186" s="2"/>
      <c r="AD186" s="18"/>
      <c r="AE186" s="118"/>
      <c r="AG186" s="2"/>
      <c r="AH186" s="19"/>
      <c r="AI186" s="20"/>
      <c r="AJ186" s="21"/>
      <c r="AK186" s="21"/>
      <c r="AM186" s="19"/>
      <c r="AN186" s="18"/>
      <c r="AO186" s="2"/>
      <c r="AP186" s="18"/>
      <c r="AQ186" s="118"/>
      <c r="AS186" s="2"/>
      <c r="AT186" s="19"/>
      <c r="AU186" s="20"/>
      <c r="AV186" s="21"/>
      <c r="AW186" s="21"/>
      <c r="AY186" s="19"/>
      <c r="AZ186" s="18"/>
      <c r="BA186" s="2"/>
      <c r="BB186" s="18"/>
      <c r="BC186" s="118"/>
      <c r="BE186" s="2"/>
      <c r="BF186" s="19"/>
      <c r="BG186" s="20"/>
      <c r="BH186" s="21"/>
      <c r="BI186" s="21"/>
      <c r="BK186" s="19"/>
      <c r="BL186" s="18"/>
      <c r="BM186" s="2"/>
      <c r="BN186" s="18"/>
      <c r="BO186" s="118"/>
      <c r="BQ186" s="2"/>
      <c r="BR186" s="19"/>
      <c r="BS186" s="20"/>
      <c r="BT186" s="21"/>
      <c r="BU186" s="21"/>
      <c r="BW186" s="19"/>
      <c r="BX186" s="18"/>
      <c r="BY186" s="2"/>
      <c r="BZ186" s="18"/>
      <c r="CA186" s="118"/>
      <c r="CC186" s="2"/>
      <c r="CD186" s="19"/>
      <c r="CE186" s="20"/>
      <c r="CF186" s="21"/>
      <c r="CG186" s="21"/>
      <c r="CI186" s="19"/>
      <c r="CJ186" s="18"/>
      <c r="CK186" s="2"/>
      <c r="CL186" s="18"/>
      <c r="CM186" s="118"/>
      <c r="CO186" s="2"/>
      <c r="CP186" s="19"/>
      <c r="CQ186" s="20"/>
      <c r="CR186" s="21"/>
      <c r="CS186" s="21"/>
    </row>
    <row r="187" spans="1:97" x14ac:dyDescent="0.25">
      <c r="A187" s="1">
        <f t="shared" si="62"/>
        <v>161</v>
      </c>
      <c r="B187" s="19">
        <f t="shared" si="63"/>
        <v>30.619196196093245</v>
      </c>
      <c r="C187" s="18">
        <f t="shared" si="77"/>
        <v>2.4206387917242393</v>
      </c>
      <c r="D187" s="2">
        <f t="shared" si="56"/>
        <v>0.90769885003511552</v>
      </c>
      <c r="E187" s="18">
        <f t="shared" si="64"/>
        <v>2.4357671058914914</v>
      </c>
      <c r="F187" s="21">
        <f t="shared" si="57"/>
        <v>0.45397238553653146</v>
      </c>
      <c r="G187" s="1">
        <f t="shared" si="58"/>
        <v>0</v>
      </c>
      <c r="H187" s="2">
        <f t="shared" si="54"/>
        <v>71.18431559851193</v>
      </c>
      <c r="I187" s="19">
        <f t="shared" si="80"/>
        <v>30.815721038316852</v>
      </c>
      <c r="J187" s="20">
        <f t="shared" si="59"/>
        <v>0.93428267197454229</v>
      </c>
      <c r="K187" s="21">
        <f t="shared" si="60"/>
        <v>10.818208654155665</v>
      </c>
      <c r="L187" s="21">
        <f t="shared" si="55"/>
        <v>0.3477677970097291</v>
      </c>
      <c r="M187" s="2">
        <f t="shared" si="65"/>
        <v>8.186745389231799</v>
      </c>
      <c r="N187" s="19">
        <f t="shared" si="78"/>
        <v>279.46400788818175</v>
      </c>
      <c r="O187" s="1">
        <f t="shared" si="66"/>
        <v>161</v>
      </c>
      <c r="P187" s="19">
        <f t="shared" si="67"/>
        <v>61.345431330789161</v>
      </c>
      <c r="Q187" s="18">
        <f t="shared" si="68"/>
        <v>3.9202411434881039</v>
      </c>
      <c r="R187" s="2">
        <f t="shared" si="69"/>
        <v>0.92040200065815192</v>
      </c>
      <c r="S187" s="18">
        <f t="shared" si="70"/>
        <v>3.9355811768324065</v>
      </c>
      <c r="T187" s="18">
        <f t="shared" si="71"/>
        <v>1.166150851858446</v>
      </c>
      <c r="U187" s="1">
        <f t="shared" si="61"/>
        <v>0</v>
      </c>
      <c r="V187" s="2">
        <f t="shared" si="72"/>
        <v>142.87409722598142</v>
      </c>
      <c r="W187" s="19">
        <f t="shared" si="73"/>
        <v>61.850258539385891</v>
      </c>
      <c r="X187" s="20"/>
      <c r="Y187" s="2">
        <f t="shared" si="74"/>
        <v>41.859884098849939</v>
      </c>
      <c r="Z187" s="21">
        <f t="shared" si="75"/>
        <v>0.90789493105955188</v>
      </c>
      <c r="AA187" s="2">
        <f t="shared" si="76"/>
        <v>32.2779778535105</v>
      </c>
      <c r="AB187" s="19">
        <f t="shared" si="79"/>
        <v>47.50895640846435</v>
      </c>
      <c r="AC187" s="2"/>
      <c r="AD187" s="18"/>
      <c r="AE187" s="118"/>
      <c r="AG187" s="2"/>
      <c r="AH187" s="19"/>
      <c r="AI187" s="20"/>
      <c r="AJ187" s="21"/>
      <c r="AK187" s="21"/>
      <c r="AM187" s="19"/>
      <c r="AN187" s="18"/>
      <c r="AO187" s="2"/>
      <c r="AP187" s="18"/>
      <c r="AQ187" s="118"/>
      <c r="AS187" s="2"/>
      <c r="AT187" s="19"/>
      <c r="AU187" s="20"/>
      <c r="AV187" s="21"/>
      <c r="AW187" s="21"/>
      <c r="AY187" s="19"/>
      <c r="AZ187" s="18"/>
      <c r="BA187" s="2"/>
      <c r="BB187" s="18"/>
      <c r="BC187" s="118"/>
      <c r="BE187" s="2"/>
      <c r="BF187" s="19"/>
      <c r="BG187" s="20"/>
      <c r="BH187" s="21"/>
      <c r="BI187" s="21"/>
      <c r="BK187" s="19"/>
      <c r="BL187" s="18"/>
      <c r="BM187" s="2"/>
      <c r="BN187" s="18"/>
      <c r="BO187" s="118"/>
      <c r="BQ187" s="2"/>
      <c r="BR187" s="19"/>
      <c r="BS187" s="20"/>
      <c r="BT187" s="21"/>
      <c r="BU187" s="21"/>
      <c r="BW187" s="19"/>
      <c r="BX187" s="18"/>
      <c r="BY187" s="2"/>
      <c r="BZ187" s="18"/>
      <c r="CA187" s="118"/>
      <c r="CC187" s="2"/>
      <c r="CD187" s="19"/>
      <c r="CE187" s="20"/>
      <c r="CF187" s="21"/>
      <c r="CG187" s="21"/>
      <c r="CI187" s="19"/>
      <c r="CJ187" s="18"/>
      <c r="CK187" s="2"/>
      <c r="CL187" s="18"/>
      <c r="CM187" s="118"/>
      <c r="CO187" s="2"/>
      <c r="CP187" s="19"/>
      <c r="CQ187" s="20"/>
      <c r="CR187" s="21"/>
      <c r="CS187" s="21"/>
    </row>
    <row r="188" spans="1:97" x14ac:dyDescent="0.25">
      <c r="A188" s="1">
        <f t="shared" si="62"/>
        <v>162</v>
      </c>
      <c r="B188" s="19">
        <f t="shared" si="63"/>
        <v>30.815721038316852</v>
      </c>
      <c r="C188" s="18">
        <f t="shared" si="77"/>
        <v>2.4357671058914914</v>
      </c>
      <c r="D188" s="2">
        <f t="shared" si="56"/>
        <v>0.90781500378164437</v>
      </c>
      <c r="E188" s="18">
        <f t="shared" si="64"/>
        <v>2.4508973559545186</v>
      </c>
      <c r="F188" s="21">
        <f t="shared" si="57"/>
        <v>0.45953127796465221</v>
      </c>
      <c r="G188" s="1">
        <f t="shared" si="58"/>
        <v>0</v>
      </c>
      <c r="H188" s="2">
        <f t="shared" si="54"/>
        <v>71.643846876476587</v>
      </c>
      <c r="I188" s="19">
        <f t="shared" si="80"/>
        <v>31.014652327479041</v>
      </c>
      <c r="J188" s="20">
        <f t="shared" si="59"/>
        <v>0.93424659112590402</v>
      </c>
      <c r="K188" s="21">
        <f t="shared" si="60"/>
        <v>11.017185697514359</v>
      </c>
      <c r="L188" s="21">
        <f t="shared" si="55"/>
        <v>0.35210167287102428</v>
      </c>
      <c r="M188" s="2">
        <f t="shared" si="65"/>
        <v>8.3391703558426311</v>
      </c>
      <c r="N188" s="19">
        <f t="shared" si="78"/>
        <v>279.76802466962869</v>
      </c>
      <c r="O188" s="1">
        <f t="shared" si="66"/>
        <v>162</v>
      </c>
      <c r="P188" s="19">
        <f t="shared" si="67"/>
        <v>61.850258539385891</v>
      </c>
      <c r="Q188" s="18">
        <f t="shared" si="68"/>
        <v>3.9355811768324065</v>
      </c>
      <c r="R188" s="2">
        <f t="shared" si="69"/>
        <v>0.92055287757813986</v>
      </c>
      <c r="S188" s="18">
        <f t="shared" si="70"/>
        <v>3.9509237247920423</v>
      </c>
      <c r="T188" s="18">
        <f t="shared" si="71"/>
        <v>1.1751110321489844</v>
      </c>
      <c r="U188" s="1">
        <f t="shared" si="61"/>
        <v>0</v>
      </c>
      <c r="V188" s="2">
        <f t="shared" si="72"/>
        <v>144.04920825813039</v>
      </c>
      <c r="W188" s="19">
        <f t="shared" si="73"/>
        <v>62.358964613909258</v>
      </c>
      <c r="X188" s="20"/>
      <c r="Y188" s="2">
        <f t="shared" si="74"/>
        <v>42.368707175770446</v>
      </c>
      <c r="Z188" s="21">
        <f t="shared" si="75"/>
        <v>0.91498744027839152</v>
      </c>
      <c r="AA188" s="2">
        <f t="shared" si="76"/>
        <v>32.674076312505477</v>
      </c>
      <c r="AB188" s="19">
        <f t="shared" si="79"/>
        <v>47.697115168915431</v>
      </c>
      <c r="AC188" s="2"/>
      <c r="AD188" s="18"/>
      <c r="AE188" s="118"/>
      <c r="AG188" s="2"/>
      <c r="AH188" s="19"/>
      <c r="AI188" s="20"/>
      <c r="AJ188" s="21"/>
      <c r="AK188" s="21"/>
      <c r="AM188" s="19"/>
      <c r="AN188" s="18"/>
      <c r="AO188" s="2"/>
      <c r="AP188" s="18"/>
      <c r="AQ188" s="118"/>
      <c r="AS188" s="2"/>
      <c r="AT188" s="19"/>
      <c r="AU188" s="20"/>
      <c r="AV188" s="21"/>
      <c r="AW188" s="21"/>
      <c r="AY188" s="19"/>
      <c r="AZ188" s="18"/>
      <c r="BA188" s="2"/>
      <c r="BB188" s="18"/>
      <c r="BC188" s="118"/>
      <c r="BE188" s="2"/>
      <c r="BF188" s="19"/>
      <c r="BG188" s="20"/>
      <c r="BH188" s="21"/>
      <c r="BI188" s="21"/>
      <c r="BK188" s="19"/>
      <c r="BL188" s="18"/>
      <c r="BM188" s="2"/>
      <c r="BN188" s="18"/>
      <c r="BO188" s="118"/>
      <c r="BQ188" s="2"/>
      <c r="BR188" s="19"/>
      <c r="BS188" s="20"/>
      <c r="BT188" s="21"/>
      <c r="BU188" s="21"/>
      <c r="BW188" s="19"/>
      <c r="BX188" s="18"/>
      <c r="BY188" s="2"/>
      <c r="BZ188" s="18"/>
      <c r="CA188" s="118"/>
      <c r="CC188" s="2"/>
      <c r="CD188" s="19"/>
      <c r="CE188" s="20"/>
      <c r="CF188" s="21"/>
      <c r="CG188" s="21"/>
      <c r="CI188" s="19"/>
      <c r="CJ188" s="18"/>
      <c r="CK188" s="2"/>
      <c r="CL188" s="18"/>
      <c r="CM188" s="118"/>
      <c r="CO188" s="2"/>
      <c r="CP188" s="19"/>
      <c r="CQ188" s="20"/>
      <c r="CR188" s="21"/>
      <c r="CS188" s="21"/>
    </row>
    <row r="189" spans="1:97" x14ac:dyDescent="0.25">
      <c r="A189" s="1">
        <f t="shared" si="62"/>
        <v>163</v>
      </c>
      <c r="B189" s="19">
        <f t="shared" si="63"/>
        <v>31.014652327479041</v>
      </c>
      <c r="C189" s="18">
        <f t="shared" si="77"/>
        <v>2.4508973559545186</v>
      </c>
      <c r="D189" s="2">
        <f t="shared" si="56"/>
        <v>0.90793184283248118</v>
      </c>
      <c r="E189" s="18">
        <f t="shared" si="64"/>
        <v>2.4660295533350598</v>
      </c>
      <c r="F189" s="21">
        <f t="shared" si="57"/>
        <v>0.46512418985817544</v>
      </c>
      <c r="G189" s="1">
        <f t="shared" si="58"/>
        <v>0</v>
      </c>
      <c r="H189" s="2">
        <f t="shared" si="54"/>
        <v>72.10897106633476</v>
      </c>
      <c r="I189" s="19">
        <f t="shared" si="80"/>
        <v>31.216004790621106</v>
      </c>
      <c r="J189" s="20">
        <f t="shared" si="59"/>
        <v>0.93421021531731174</v>
      </c>
      <c r="K189" s="21">
        <f t="shared" si="60"/>
        <v>11.218584471722949</v>
      </c>
      <c r="L189" s="21">
        <f t="shared" si="55"/>
        <v>0.35646294907492515</v>
      </c>
      <c r="M189" s="2">
        <f t="shared" si="65"/>
        <v>8.4934833208101317</v>
      </c>
      <c r="N189" s="19">
        <f t="shared" si="78"/>
        <v>280.07016464872174</v>
      </c>
      <c r="O189" s="1">
        <f t="shared" si="66"/>
        <v>163</v>
      </c>
      <c r="P189" s="19">
        <f t="shared" si="67"/>
        <v>62.358964613909258</v>
      </c>
      <c r="Q189" s="18">
        <f t="shared" si="68"/>
        <v>3.9509237247920423</v>
      </c>
      <c r="R189" s="2">
        <f t="shared" si="69"/>
        <v>0.92070369788212603</v>
      </c>
      <c r="S189" s="18">
        <f t="shared" si="70"/>
        <v>3.9662687864234112</v>
      </c>
      <c r="T189" s="18">
        <f t="shared" si="71"/>
        <v>1.1841064740738201</v>
      </c>
      <c r="U189" s="1">
        <f t="shared" si="61"/>
        <v>0</v>
      </c>
      <c r="V189" s="2">
        <f t="shared" si="72"/>
        <v>145.23331473220421</v>
      </c>
      <c r="W189" s="19">
        <f t="shared" si="73"/>
        <v>62.871564819136019</v>
      </c>
      <c r="X189" s="20"/>
      <c r="Y189" s="2">
        <f t="shared" si="74"/>
        <v>42.881425279044407</v>
      </c>
      <c r="Z189" s="21">
        <f t="shared" si="75"/>
        <v>0.9221087140814489</v>
      </c>
      <c r="AA189" s="2">
        <f t="shared" si="76"/>
        <v>33.073257574012601</v>
      </c>
      <c r="AB189" s="19">
        <f t="shared" si="79"/>
        <v>47.884543255982933</v>
      </c>
      <c r="AC189" s="2"/>
      <c r="AD189" s="18"/>
      <c r="AE189" s="118"/>
      <c r="AG189" s="2"/>
      <c r="AH189" s="19"/>
      <c r="AI189" s="20"/>
      <c r="AJ189" s="21"/>
      <c r="AK189" s="21"/>
      <c r="AM189" s="19"/>
      <c r="AN189" s="18"/>
      <c r="AO189" s="2"/>
      <c r="AP189" s="18"/>
      <c r="AQ189" s="118"/>
      <c r="AS189" s="2"/>
      <c r="AT189" s="19"/>
      <c r="AU189" s="20"/>
      <c r="AV189" s="21"/>
      <c r="AW189" s="21"/>
      <c r="AY189" s="19"/>
      <c r="AZ189" s="18"/>
      <c r="BA189" s="2"/>
      <c r="BB189" s="18"/>
      <c r="BC189" s="118"/>
      <c r="BE189" s="2"/>
      <c r="BF189" s="19"/>
      <c r="BG189" s="20"/>
      <c r="BH189" s="21"/>
      <c r="BI189" s="21"/>
      <c r="BK189" s="19"/>
      <c r="BL189" s="18"/>
      <c r="BM189" s="2"/>
      <c r="BN189" s="18"/>
      <c r="BO189" s="118"/>
      <c r="BQ189" s="2"/>
      <c r="BR189" s="19"/>
      <c r="BS189" s="20"/>
      <c r="BT189" s="21"/>
      <c r="BU189" s="21"/>
      <c r="BW189" s="19"/>
      <c r="BX189" s="18"/>
      <c r="BY189" s="2"/>
      <c r="BZ189" s="18"/>
      <c r="CA189" s="118"/>
      <c r="CC189" s="2"/>
      <c r="CD189" s="19"/>
      <c r="CE189" s="20"/>
      <c r="CF189" s="21"/>
      <c r="CG189" s="21"/>
      <c r="CI189" s="19"/>
      <c r="CJ189" s="18"/>
      <c r="CK189" s="2"/>
      <c r="CL189" s="18"/>
      <c r="CM189" s="118"/>
      <c r="CO189" s="2"/>
      <c r="CP189" s="19"/>
      <c r="CQ189" s="20"/>
      <c r="CR189" s="21"/>
      <c r="CS189" s="21"/>
    </row>
    <row r="190" spans="1:97" x14ac:dyDescent="0.25">
      <c r="A190" s="1">
        <f t="shared" si="62"/>
        <v>164</v>
      </c>
      <c r="B190" s="19">
        <f t="shared" si="63"/>
        <v>31.216004790621106</v>
      </c>
      <c r="C190" s="18">
        <f t="shared" si="77"/>
        <v>2.4660295533350598</v>
      </c>
      <c r="D190" s="2">
        <f t="shared" si="56"/>
        <v>0.90804935840449152</v>
      </c>
      <c r="E190" s="18">
        <f t="shared" si="64"/>
        <v>2.481163709308468</v>
      </c>
      <c r="F190" s="21">
        <f t="shared" si="57"/>
        <v>0.4707511323949104</v>
      </c>
      <c r="G190" s="1">
        <f t="shared" si="58"/>
        <v>0</v>
      </c>
      <c r="H190" s="2">
        <f t="shared" si="54"/>
        <v>72.579722198729669</v>
      </c>
      <c r="I190" s="19">
        <f t="shared" si="80"/>
        <v>31.419793159623232</v>
      </c>
      <c r="J190" s="20">
        <f t="shared" si="59"/>
        <v>0.93417354578590517</v>
      </c>
      <c r="K190" s="21">
        <f t="shared" si="60"/>
        <v>11.422419712049944</v>
      </c>
      <c r="L190" s="21">
        <f t="shared" si="55"/>
        <v>0.36085163926465941</v>
      </c>
      <c r="M190" s="2">
        <f t="shared" si="65"/>
        <v>8.649696151660633</v>
      </c>
      <c r="N190" s="19">
        <f t="shared" si="78"/>
        <v>280.37045061848471</v>
      </c>
      <c r="O190" s="1">
        <f t="shared" si="66"/>
        <v>164</v>
      </c>
      <c r="P190" s="19">
        <f t="shared" si="67"/>
        <v>62.871564819136019</v>
      </c>
      <c r="Q190" s="18">
        <f t="shared" si="68"/>
        <v>3.9662687864234112</v>
      </c>
      <c r="R190" s="2">
        <f t="shared" si="69"/>
        <v>0.92085445798238397</v>
      </c>
      <c r="S190" s="18">
        <f t="shared" si="70"/>
        <v>3.9816163607231174</v>
      </c>
      <c r="T190" s="18">
        <f t="shared" si="71"/>
        <v>1.1931371900979777</v>
      </c>
      <c r="U190" s="1">
        <f t="shared" si="61"/>
        <v>0</v>
      </c>
      <c r="V190" s="2">
        <f t="shared" si="72"/>
        <v>146.42645192230219</v>
      </c>
      <c r="W190" s="19">
        <f t="shared" si="73"/>
        <v>63.38807442523904</v>
      </c>
      <c r="X190" s="20"/>
      <c r="Y190" s="2">
        <f t="shared" si="74"/>
        <v>43.398053682356831</v>
      </c>
      <c r="Z190" s="21">
        <f t="shared" si="75"/>
        <v>0.92925876556619114</v>
      </c>
      <c r="AA190" s="2">
        <f t="shared" si="76"/>
        <v>33.475534095902724</v>
      </c>
      <c r="AB190" s="19">
        <f t="shared" si="79"/>
        <v>48.07124620421029</v>
      </c>
      <c r="AC190" s="2"/>
      <c r="AD190" s="18"/>
      <c r="AE190" s="118"/>
      <c r="AG190" s="2"/>
      <c r="AH190" s="19"/>
      <c r="AI190" s="20"/>
      <c r="AJ190" s="21"/>
      <c r="AK190" s="21"/>
      <c r="AM190" s="19"/>
      <c r="AN190" s="18"/>
      <c r="AO190" s="2"/>
      <c r="AP190" s="18"/>
      <c r="AQ190" s="118"/>
      <c r="AS190" s="2"/>
      <c r="AT190" s="19"/>
      <c r="AU190" s="20"/>
      <c r="AV190" s="21"/>
      <c r="AW190" s="21"/>
      <c r="AY190" s="19"/>
      <c r="AZ190" s="18"/>
      <c r="BA190" s="2"/>
      <c r="BB190" s="18"/>
      <c r="BC190" s="118"/>
      <c r="BE190" s="2"/>
      <c r="BF190" s="19"/>
      <c r="BG190" s="20"/>
      <c r="BH190" s="21"/>
      <c r="BI190" s="21"/>
      <c r="BK190" s="19"/>
      <c r="BL190" s="18"/>
      <c r="BM190" s="2"/>
      <c r="BN190" s="18"/>
      <c r="BO190" s="118"/>
      <c r="BQ190" s="2"/>
      <c r="BR190" s="19"/>
      <c r="BS190" s="20"/>
      <c r="BT190" s="21"/>
      <c r="BU190" s="21"/>
      <c r="BW190" s="19"/>
      <c r="BX190" s="18"/>
      <c r="BY190" s="2"/>
      <c r="BZ190" s="18"/>
      <c r="CA190" s="118"/>
      <c r="CC190" s="2"/>
      <c r="CD190" s="19"/>
      <c r="CE190" s="20"/>
      <c r="CF190" s="21"/>
      <c r="CG190" s="21"/>
      <c r="CI190" s="19"/>
      <c r="CJ190" s="18"/>
      <c r="CK190" s="2"/>
      <c r="CL190" s="18"/>
      <c r="CM190" s="118"/>
      <c r="CO190" s="2"/>
      <c r="CP190" s="19"/>
      <c r="CQ190" s="20"/>
      <c r="CR190" s="21"/>
      <c r="CS190" s="21"/>
    </row>
    <row r="191" spans="1:97" x14ac:dyDescent="0.25">
      <c r="A191" s="1">
        <f t="shared" si="62"/>
        <v>165</v>
      </c>
      <c r="B191" s="19">
        <f t="shared" si="63"/>
        <v>31.419793159623232</v>
      </c>
      <c r="C191" s="18">
        <f t="shared" si="77"/>
        <v>2.481163709308468</v>
      </c>
      <c r="D191" s="2">
        <f t="shared" si="56"/>
        <v>0.90816754167904357</v>
      </c>
      <c r="E191" s="18">
        <f t="shared" si="64"/>
        <v>2.4962998350031187</v>
      </c>
      <c r="F191" s="21">
        <f t="shared" si="57"/>
        <v>0.47641211683522694</v>
      </c>
      <c r="G191" s="1">
        <f t="shared" si="58"/>
        <v>0</v>
      </c>
      <c r="H191" s="2">
        <f t="shared" si="54"/>
        <v>73.05613431556489</v>
      </c>
      <c r="I191" s="19">
        <f t="shared" si="80"/>
        <v>31.626032171240212</v>
      </c>
      <c r="J191" s="20">
        <f t="shared" si="59"/>
        <v>0.93413658379586728</v>
      </c>
      <c r="K191" s="21">
        <f t="shared" si="60"/>
        <v>11.628706158639597</v>
      </c>
      <c r="L191" s="21">
        <f t="shared" si="55"/>
        <v>0.36526775712180648</v>
      </c>
      <c r="M191" s="2">
        <f t="shared" si="65"/>
        <v>8.8078207218432336</v>
      </c>
      <c r="N191" s="19">
        <f t="shared" si="78"/>
        <v>280.66890495791796</v>
      </c>
      <c r="O191" s="1">
        <f t="shared" si="66"/>
        <v>165</v>
      </c>
      <c r="P191" s="19">
        <f t="shared" si="67"/>
        <v>63.38807442523904</v>
      </c>
      <c r="Q191" s="18">
        <f t="shared" si="68"/>
        <v>3.9816163607231174</v>
      </c>
      <c r="R191" s="2">
        <f t="shared" si="69"/>
        <v>0.92100515435588781</v>
      </c>
      <c r="S191" s="18">
        <f t="shared" si="70"/>
        <v>3.9969664466290489</v>
      </c>
      <c r="T191" s="18">
        <f t="shared" si="71"/>
        <v>1.2022031926578798</v>
      </c>
      <c r="U191" s="1">
        <f t="shared" si="61"/>
        <v>0</v>
      </c>
      <c r="V191" s="2">
        <f t="shared" si="72"/>
        <v>147.62865511496008</v>
      </c>
      <c r="W191" s="19">
        <f t="shared" si="73"/>
        <v>63.908508707774928</v>
      </c>
      <c r="X191" s="20"/>
      <c r="Y191" s="2">
        <f t="shared" si="74"/>
        <v>43.918607664777696</v>
      </c>
      <c r="Z191" s="21">
        <f t="shared" si="75"/>
        <v>0.93643760779757379</v>
      </c>
      <c r="AA191" s="2">
        <f t="shared" si="76"/>
        <v>33.880918341702539</v>
      </c>
      <c r="AB191" s="19">
        <f t="shared" si="79"/>
        <v>48.257229485571159</v>
      </c>
      <c r="AC191" s="2"/>
      <c r="AD191" s="18"/>
      <c r="AE191" s="118"/>
      <c r="AG191" s="2"/>
      <c r="AH191" s="19"/>
      <c r="AI191" s="20"/>
      <c r="AJ191" s="21"/>
      <c r="AK191" s="21"/>
      <c r="AM191" s="19"/>
      <c r="AN191" s="18"/>
      <c r="AO191" s="2"/>
      <c r="AP191" s="18"/>
      <c r="AQ191" s="118"/>
      <c r="AS191" s="2"/>
      <c r="AT191" s="19"/>
      <c r="AU191" s="20"/>
      <c r="AV191" s="21"/>
      <c r="AW191" s="21"/>
      <c r="AY191" s="19"/>
      <c r="AZ191" s="18"/>
      <c r="BA191" s="2"/>
      <c r="BB191" s="18"/>
      <c r="BC191" s="118"/>
      <c r="BE191" s="2"/>
      <c r="BF191" s="19"/>
      <c r="BG191" s="20"/>
      <c r="BH191" s="21"/>
      <c r="BI191" s="21"/>
      <c r="BK191" s="19"/>
      <c r="BL191" s="18"/>
      <c r="BM191" s="2"/>
      <c r="BN191" s="18"/>
      <c r="BO191" s="118"/>
      <c r="BQ191" s="2"/>
      <c r="BR191" s="19"/>
      <c r="BS191" s="20"/>
      <c r="BT191" s="21"/>
      <c r="BU191" s="21"/>
      <c r="BW191" s="19"/>
      <c r="BX191" s="18"/>
      <c r="BY191" s="2"/>
      <c r="BZ191" s="18"/>
      <c r="CA191" s="118"/>
      <c r="CC191" s="2"/>
      <c r="CD191" s="19"/>
      <c r="CE191" s="20"/>
      <c r="CF191" s="21"/>
      <c r="CG191" s="21"/>
      <c r="CI191" s="19"/>
      <c r="CJ191" s="18"/>
      <c r="CK191" s="2"/>
      <c r="CL191" s="18"/>
      <c r="CM191" s="118"/>
      <c r="CO191" s="2"/>
      <c r="CP191" s="19"/>
      <c r="CQ191" s="20"/>
      <c r="CR191" s="21"/>
      <c r="CS191" s="21"/>
    </row>
    <row r="192" spans="1:97" x14ac:dyDescent="0.25">
      <c r="A192" s="1">
        <f t="shared" si="62"/>
        <v>166</v>
      </c>
      <c r="B192" s="19">
        <f t="shared" si="63"/>
        <v>31.626032171240212</v>
      </c>
      <c r="C192" s="18">
        <f t="shared" si="77"/>
        <v>2.4962998350031187</v>
      </c>
      <c r="D192" s="2">
        <f t="shared" si="56"/>
        <v>0.90828638380571713</v>
      </c>
      <c r="E192" s="18">
        <f t="shared" si="64"/>
        <v>2.5114379413998806</v>
      </c>
      <c r="F192" s="21">
        <f t="shared" si="57"/>
        <v>0.48210715451973885</v>
      </c>
      <c r="G192" s="1">
        <f t="shared" si="58"/>
        <v>0</v>
      </c>
      <c r="H192" s="2">
        <f t="shared" si="54"/>
        <v>73.538241470084628</v>
      </c>
      <c r="I192" s="19">
        <f t="shared" si="80"/>
        <v>31.834736567136201</v>
      </c>
      <c r="J192" s="20">
        <f t="shared" si="59"/>
        <v>0.93409933063779915</v>
      </c>
      <c r="K192" s="21">
        <f t="shared" si="60"/>
        <v>11.837458556546643</v>
      </c>
      <c r="L192" s="21">
        <f t="shared" si="55"/>
        <v>0.36971131636486232</v>
      </c>
      <c r="M192" s="2">
        <f t="shared" si="65"/>
        <v>8.9678689107457714</v>
      </c>
      <c r="N192" s="19">
        <f t="shared" si="78"/>
        <v>280.9655496419835</v>
      </c>
      <c r="O192" s="1">
        <f t="shared" si="66"/>
        <v>166</v>
      </c>
      <c r="P192" s="19">
        <f t="shared" si="67"/>
        <v>63.908508707774928</v>
      </c>
      <c r="Q192" s="18">
        <f t="shared" si="68"/>
        <v>3.9969664466290489</v>
      </c>
      <c r="R192" s="2">
        <f t="shared" si="69"/>
        <v>0.92115578354355998</v>
      </c>
      <c r="S192" s="18">
        <f t="shared" si="70"/>
        <v>4.0123190430214413</v>
      </c>
      <c r="T192" s="18">
        <f t="shared" si="71"/>
        <v>1.2113044941612214</v>
      </c>
      <c r="U192" s="1">
        <f t="shared" si="61"/>
        <v>0</v>
      </c>
      <c r="V192" s="2">
        <f t="shared" si="72"/>
        <v>148.83995960912131</v>
      </c>
      <c r="W192" s="19">
        <f t="shared" si="73"/>
        <v>64.432882947671558</v>
      </c>
      <c r="X192" s="20"/>
      <c r="Y192" s="2">
        <f t="shared" si="74"/>
        <v>44.443102510749505</v>
      </c>
      <c r="Z192" s="21">
        <f t="shared" si="75"/>
        <v>0.94364525380800635</v>
      </c>
      <c r="AA192" s="2">
        <f t="shared" si="76"/>
        <v>34.289422780580466</v>
      </c>
      <c r="AB192" s="19">
        <f t="shared" si="79"/>
        <v>48.442498510411717</v>
      </c>
      <c r="AC192" s="2"/>
      <c r="AD192" s="18"/>
      <c r="AE192" s="118"/>
      <c r="AG192" s="2"/>
      <c r="AH192" s="19"/>
      <c r="AI192" s="20"/>
      <c r="AJ192" s="21"/>
      <c r="AK192" s="21"/>
      <c r="AM192" s="19"/>
      <c r="AN192" s="18"/>
      <c r="AO192" s="2"/>
      <c r="AP192" s="18"/>
      <c r="AQ192" s="118"/>
      <c r="AS192" s="2"/>
      <c r="AT192" s="19"/>
      <c r="AU192" s="20"/>
      <c r="AV192" s="21"/>
      <c r="AW192" s="21"/>
      <c r="AY192" s="19"/>
      <c r="AZ192" s="18"/>
      <c r="BA192" s="2"/>
      <c r="BB192" s="18"/>
      <c r="BC192" s="118"/>
      <c r="BE192" s="2"/>
      <c r="BF192" s="19"/>
      <c r="BG192" s="20"/>
      <c r="BH192" s="21"/>
      <c r="BI192" s="21"/>
      <c r="BK192" s="19"/>
      <c r="BL192" s="18"/>
      <c r="BM192" s="2"/>
      <c r="BN192" s="18"/>
      <c r="BO192" s="118"/>
      <c r="BQ192" s="2"/>
      <c r="BR192" s="19"/>
      <c r="BS192" s="20"/>
      <c r="BT192" s="21"/>
      <c r="BU192" s="21"/>
      <c r="BW192" s="19"/>
      <c r="BX192" s="18"/>
      <c r="BY192" s="2"/>
      <c r="BZ192" s="18"/>
      <c r="CA192" s="118"/>
      <c r="CC192" s="2"/>
      <c r="CD192" s="19"/>
      <c r="CE192" s="20"/>
      <c r="CF192" s="21"/>
      <c r="CG192" s="21"/>
      <c r="CI192" s="19"/>
      <c r="CJ192" s="18"/>
      <c r="CK192" s="2"/>
      <c r="CL192" s="18"/>
      <c r="CM192" s="118"/>
      <c r="CO192" s="2"/>
      <c r="CP192" s="19"/>
      <c r="CQ192" s="20"/>
      <c r="CR192" s="21"/>
      <c r="CS192" s="21"/>
    </row>
    <row r="193" spans="1:97" x14ac:dyDescent="0.25">
      <c r="A193" s="1">
        <f t="shared" si="62"/>
        <v>167</v>
      </c>
      <c r="B193" s="19">
        <f t="shared" si="63"/>
        <v>31.834736567136201</v>
      </c>
      <c r="C193" s="18">
        <f t="shared" si="77"/>
        <v>2.5114379413998806</v>
      </c>
      <c r="D193" s="2">
        <f t="shared" si="56"/>
        <v>0.90840587590595967</v>
      </c>
      <c r="E193" s="18">
        <f t="shared" si="64"/>
        <v>2.5265780393316466</v>
      </c>
      <c r="F193" s="21">
        <f t="shared" si="57"/>
        <v>0.48783625686701437</v>
      </c>
      <c r="G193" s="1">
        <f t="shared" si="58"/>
        <v>0</v>
      </c>
      <c r="H193" s="2">
        <f t="shared" si="54"/>
        <v>74.026077726951641</v>
      </c>
      <c r="I193" s="19">
        <f t="shared" si="80"/>
        <v>32.045921093918459</v>
      </c>
      <c r="J193" s="20">
        <f t="shared" si="59"/>
        <v>0.93406178762809311</v>
      </c>
      <c r="K193" s="21">
        <f t="shared" si="60"/>
        <v>12.04869165577006</v>
      </c>
      <c r="L193" s="21">
        <f t="shared" si="55"/>
        <v>0.37418233074781798</v>
      </c>
      <c r="M193" s="2">
        <f t="shared" si="65"/>
        <v>9.1298526037101944</v>
      </c>
      <c r="N193" s="19">
        <f t="shared" si="78"/>
        <v>281.26040625129099</v>
      </c>
      <c r="O193" s="1">
        <f t="shared" si="66"/>
        <v>167</v>
      </c>
      <c r="P193" s="19">
        <f t="shared" si="67"/>
        <v>64.432882947671558</v>
      </c>
      <c r="Q193" s="18">
        <f t="shared" si="68"/>
        <v>4.0123190430214413</v>
      </c>
      <c r="R193" s="2">
        <f t="shared" si="69"/>
        <v>0.92130634214951646</v>
      </c>
      <c r="S193" s="18">
        <f t="shared" si="70"/>
        <v>4.0276741487239329</v>
      </c>
      <c r="T193" s="18">
        <f t="shared" si="71"/>
        <v>1.2204411069868619</v>
      </c>
      <c r="U193" s="1">
        <f t="shared" si="61"/>
        <v>0</v>
      </c>
      <c r="V193" s="2">
        <f t="shared" si="72"/>
        <v>150.06040071610818</v>
      </c>
      <c r="W193" s="19">
        <f t="shared" si="73"/>
        <v>64.961212431215657</v>
      </c>
      <c r="X193" s="20"/>
      <c r="Y193" s="2">
        <f t="shared" si="74"/>
        <v>44.971553510074813</v>
      </c>
      <c r="Z193" s="21">
        <f t="shared" si="75"/>
        <v>0.95088171659733201</v>
      </c>
      <c r="AA193" s="2">
        <f t="shared" si="76"/>
        <v>34.701059887332555</v>
      </c>
      <c r="AB193" s="19">
        <f t="shared" si="79"/>
        <v>48.627058628375259</v>
      </c>
      <c r="AC193" s="2"/>
      <c r="AD193" s="18"/>
      <c r="AE193" s="118"/>
      <c r="AG193" s="2"/>
      <c r="AH193" s="19"/>
      <c r="AI193" s="20"/>
      <c r="AJ193" s="21"/>
      <c r="AK193" s="21"/>
      <c r="AM193" s="19"/>
      <c r="AN193" s="18"/>
      <c r="AO193" s="2"/>
      <c r="AP193" s="18"/>
      <c r="AQ193" s="118"/>
      <c r="AS193" s="2"/>
      <c r="AT193" s="19"/>
      <c r="AU193" s="20"/>
      <c r="AV193" s="21"/>
      <c r="AW193" s="21"/>
      <c r="AY193" s="19"/>
      <c r="AZ193" s="18"/>
      <c r="BA193" s="2"/>
      <c r="BB193" s="18"/>
      <c r="BC193" s="118"/>
      <c r="BE193" s="2"/>
      <c r="BF193" s="19"/>
      <c r="BG193" s="20"/>
      <c r="BH193" s="21"/>
      <c r="BI193" s="21"/>
      <c r="BK193" s="19"/>
      <c r="BL193" s="18"/>
      <c r="BM193" s="2"/>
      <c r="BN193" s="18"/>
      <c r="BO193" s="118"/>
      <c r="BQ193" s="2"/>
      <c r="BR193" s="19"/>
      <c r="BS193" s="20"/>
      <c r="BT193" s="21"/>
      <c r="BU193" s="21"/>
      <c r="BW193" s="19"/>
      <c r="BX193" s="18"/>
      <c r="BY193" s="2"/>
      <c r="BZ193" s="18"/>
      <c r="CA193" s="118"/>
      <c r="CC193" s="2"/>
      <c r="CD193" s="19"/>
      <c r="CE193" s="20"/>
      <c r="CF193" s="21"/>
      <c r="CG193" s="21"/>
      <c r="CI193" s="19"/>
      <c r="CJ193" s="18"/>
      <c r="CK193" s="2"/>
      <c r="CL193" s="18"/>
      <c r="CM193" s="118"/>
      <c r="CO193" s="2"/>
      <c r="CP193" s="19"/>
      <c r="CQ193" s="20"/>
      <c r="CR193" s="21"/>
      <c r="CS193" s="21"/>
    </row>
    <row r="194" spans="1:97" x14ac:dyDescent="0.25">
      <c r="A194" s="1">
        <f t="shared" si="62"/>
        <v>168</v>
      </c>
      <c r="B194" s="19">
        <f t="shared" si="63"/>
        <v>32.045921093918459</v>
      </c>
      <c r="C194" s="18">
        <f t="shared" si="77"/>
        <v>2.5265780393316466</v>
      </c>
      <c r="D194" s="2">
        <f t="shared" si="56"/>
        <v>0.90852600907668424</v>
      </c>
      <c r="E194" s="18">
        <f t="shared" si="64"/>
        <v>2.5417201394829245</v>
      </c>
      <c r="F194" s="21">
        <f t="shared" si="57"/>
        <v>0.49359943537131212</v>
      </c>
      <c r="G194" s="1">
        <f t="shared" si="58"/>
        <v>0</v>
      </c>
      <c r="H194" s="2">
        <f t="shared" si="54"/>
        <v>74.519677162322949</v>
      </c>
      <c r="I194" s="19">
        <f t="shared" si="80"/>
        <v>32.259600503170105</v>
      </c>
      <c r="J194" s="20">
        <f t="shared" si="59"/>
        <v>0.93402395610830757</v>
      </c>
      <c r="K194" s="21">
        <f t="shared" si="60"/>
        <v>12.262420211285839</v>
      </c>
      <c r="L194" s="21">
        <f t="shared" si="55"/>
        <v>0.37868081405874876</v>
      </c>
      <c r="M194" s="2">
        <f t="shared" si="65"/>
        <v>9.2937836920473149</v>
      </c>
      <c r="N194" s="19">
        <f t="shared" si="78"/>
        <v>281.55349598149513</v>
      </c>
      <c r="O194" s="1">
        <f t="shared" si="66"/>
        <v>168</v>
      </c>
      <c r="P194" s="19">
        <f t="shared" si="67"/>
        <v>64.961212431215657</v>
      </c>
      <c r="Q194" s="18">
        <f t="shared" si="68"/>
        <v>4.0276741487239329</v>
      </c>
      <c r="R194" s="2">
        <f t="shared" si="69"/>
        <v>0.92145682684031516</v>
      </c>
      <c r="S194" s="18">
        <f t="shared" si="70"/>
        <v>4.0430317625046053</v>
      </c>
      <c r="T194" s="18">
        <f t="shared" si="71"/>
        <v>1.229613043484715</v>
      </c>
      <c r="U194" s="1">
        <f t="shared" si="61"/>
        <v>0</v>
      </c>
      <c r="V194" s="2">
        <f t="shared" si="72"/>
        <v>151.29001375959288</v>
      </c>
      <c r="W194" s="19">
        <f t="shared" si="73"/>
        <v>65.4935124500402</v>
      </c>
      <c r="X194" s="20"/>
      <c r="Y194" s="2">
        <f t="shared" si="74"/>
        <v>45.503975957903691</v>
      </c>
      <c r="Z194" s="21">
        <f t="shared" si="75"/>
        <v>0.95814700913280471</v>
      </c>
      <c r="AA194" s="2">
        <f t="shared" si="76"/>
        <v>35.1158421423684</v>
      </c>
      <c r="AB194" s="19">
        <f t="shared" si="79"/>
        <v>48.810915129309429</v>
      </c>
      <c r="AC194" s="2"/>
      <c r="AD194" s="18"/>
      <c r="AE194" s="118"/>
      <c r="AG194" s="2"/>
      <c r="AH194" s="19"/>
      <c r="AI194" s="20"/>
      <c r="AJ194" s="21"/>
      <c r="AK194" s="21"/>
      <c r="AM194" s="19"/>
      <c r="AN194" s="18"/>
      <c r="AO194" s="2"/>
      <c r="AP194" s="18"/>
      <c r="AQ194" s="118"/>
      <c r="AS194" s="2"/>
      <c r="AT194" s="19"/>
      <c r="AU194" s="20"/>
      <c r="AV194" s="21"/>
      <c r="AW194" s="21"/>
      <c r="AY194" s="19"/>
      <c r="AZ194" s="18"/>
      <c r="BA194" s="2"/>
      <c r="BB194" s="18"/>
      <c r="BC194" s="118"/>
      <c r="BE194" s="2"/>
      <c r="BF194" s="19"/>
      <c r="BG194" s="20"/>
      <c r="BH194" s="21"/>
      <c r="BI194" s="21"/>
      <c r="BK194" s="19"/>
      <c r="BL194" s="18"/>
      <c r="BM194" s="2"/>
      <c r="BN194" s="18"/>
      <c r="BO194" s="118"/>
      <c r="BQ194" s="2"/>
      <c r="BR194" s="19"/>
      <c r="BS194" s="20"/>
      <c r="BT194" s="21"/>
      <c r="BU194" s="21"/>
      <c r="BW194" s="19"/>
      <c r="BX194" s="18"/>
      <c r="BY194" s="2"/>
      <c r="BZ194" s="18"/>
      <c r="CA194" s="118"/>
      <c r="CC194" s="2"/>
      <c r="CD194" s="19"/>
      <c r="CE194" s="20"/>
      <c r="CF194" s="21"/>
      <c r="CG194" s="21"/>
      <c r="CI194" s="19"/>
      <c r="CJ194" s="18"/>
      <c r="CK194" s="2"/>
      <c r="CL194" s="18"/>
      <c r="CM194" s="118"/>
      <c r="CO194" s="2"/>
      <c r="CP194" s="19"/>
      <c r="CQ194" s="20"/>
      <c r="CR194" s="21"/>
      <c r="CS194" s="21"/>
    </row>
    <row r="195" spans="1:97" x14ac:dyDescent="0.25">
      <c r="A195" s="1">
        <f t="shared" si="62"/>
        <v>169</v>
      </c>
      <c r="B195" s="19">
        <f t="shared" si="63"/>
        <v>32.259600503170105</v>
      </c>
      <c r="C195" s="18">
        <f t="shared" si="77"/>
        <v>2.5417201394829245</v>
      </c>
      <c r="D195" s="2">
        <f t="shared" si="56"/>
        <v>0.90864677439381003</v>
      </c>
      <c r="E195" s="18">
        <f t="shared" si="64"/>
        <v>2.556864252389488</v>
      </c>
      <c r="F195" s="21">
        <f t="shared" si="57"/>
        <v>0.49939670160034638</v>
      </c>
      <c r="G195" s="1">
        <f t="shared" si="58"/>
        <v>0</v>
      </c>
      <c r="H195" s="2">
        <f t="shared" si="54"/>
        <v>75.019073863923296</v>
      </c>
      <c r="I195" s="19">
        <f t="shared" si="80"/>
        <v>32.475789551481945</v>
      </c>
      <c r="J195" s="20">
        <f t="shared" si="59"/>
        <v>0.93398583744453867</v>
      </c>
      <c r="K195" s="21">
        <f t="shared" si="60"/>
        <v>12.478658983078789</v>
      </c>
      <c r="L195" s="21">
        <f t="shared" si="55"/>
        <v>0.38320678011841902</v>
      </c>
      <c r="M195" s="2">
        <f t="shared" si="65"/>
        <v>9.4596740730509588</v>
      </c>
      <c r="N195" s="19">
        <f t="shared" si="78"/>
        <v>281.84483965241481</v>
      </c>
      <c r="O195" s="1">
        <f t="shared" si="66"/>
        <v>169</v>
      </c>
      <c r="P195" s="19">
        <f t="shared" si="67"/>
        <v>65.4935124500402</v>
      </c>
      <c r="Q195" s="18">
        <f t="shared" si="68"/>
        <v>4.0430317625046053</v>
      </c>
      <c r="R195" s="2">
        <f t="shared" si="69"/>
        <v>0.92160723434420144</v>
      </c>
      <c r="S195" s="18">
        <f t="shared" si="70"/>
        <v>4.0583918830770083</v>
      </c>
      <c r="T195" s="18">
        <f t="shared" si="71"/>
        <v>1.2388203159756523</v>
      </c>
      <c r="U195" s="1">
        <f t="shared" si="61"/>
        <v>0</v>
      </c>
      <c r="V195" s="2">
        <f t="shared" si="72"/>
        <v>152.52883407556851</v>
      </c>
      <c r="W195" s="19">
        <f t="shared" si="73"/>
        <v>66.02979830111191</v>
      </c>
      <c r="X195" s="20"/>
      <c r="Y195" s="2">
        <f t="shared" si="74"/>
        <v>46.04038515472115</v>
      </c>
      <c r="Z195" s="21">
        <f t="shared" si="75"/>
        <v>0.96544114434907569</v>
      </c>
      <c r="AA195" s="2">
        <f t="shared" si="76"/>
        <v>35.533782031697008</v>
      </c>
      <c r="AB195" s="19">
        <f t="shared" si="79"/>
        <v>48.994073244156553</v>
      </c>
      <c r="AC195" s="2"/>
      <c r="AD195" s="18"/>
      <c r="AE195" s="118"/>
      <c r="AG195" s="2"/>
      <c r="AH195" s="19"/>
      <c r="AI195" s="20"/>
      <c r="AJ195" s="21"/>
      <c r="AK195" s="21"/>
      <c r="AM195" s="19"/>
      <c r="AN195" s="18"/>
      <c r="AO195" s="2"/>
      <c r="AP195" s="18"/>
      <c r="AQ195" s="118"/>
      <c r="AS195" s="2"/>
      <c r="AT195" s="19"/>
      <c r="AU195" s="20"/>
      <c r="AV195" s="21"/>
      <c r="AW195" s="21"/>
      <c r="AY195" s="19"/>
      <c r="AZ195" s="18"/>
      <c r="BA195" s="2"/>
      <c r="BB195" s="18"/>
      <c r="BC195" s="118"/>
      <c r="BE195" s="2"/>
      <c r="BF195" s="19"/>
      <c r="BG195" s="20"/>
      <c r="BH195" s="21"/>
      <c r="BI195" s="21"/>
      <c r="BK195" s="19"/>
      <c r="BL195" s="18"/>
      <c r="BM195" s="2"/>
      <c r="BN195" s="18"/>
      <c r="BO195" s="118"/>
      <c r="BQ195" s="2"/>
      <c r="BR195" s="19"/>
      <c r="BS195" s="20"/>
      <c r="BT195" s="21"/>
      <c r="BU195" s="21"/>
      <c r="BW195" s="19"/>
      <c r="BX195" s="18"/>
      <c r="BY195" s="2"/>
      <c r="BZ195" s="18"/>
      <c r="CA195" s="118"/>
      <c r="CC195" s="2"/>
      <c r="CD195" s="19"/>
      <c r="CE195" s="20"/>
      <c r="CF195" s="21"/>
      <c r="CG195" s="21"/>
      <c r="CI195" s="19"/>
      <c r="CJ195" s="18"/>
      <c r="CK195" s="2"/>
      <c r="CL195" s="18"/>
      <c r="CM195" s="118"/>
      <c r="CO195" s="2"/>
      <c r="CP195" s="19"/>
      <c r="CQ195" s="20"/>
      <c r="CR195" s="21"/>
      <c r="CS195" s="21"/>
    </row>
    <row r="196" spans="1:97" x14ac:dyDescent="0.25">
      <c r="A196" s="1">
        <f t="shared" si="62"/>
        <v>170</v>
      </c>
      <c r="B196" s="19">
        <f t="shared" si="63"/>
        <v>32.475789551481945</v>
      </c>
      <c r="C196" s="18">
        <f t="shared" si="77"/>
        <v>2.556864252389488</v>
      </c>
      <c r="D196" s="2">
        <f t="shared" si="56"/>
        <v>0.90876816291574292</v>
      </c>
      <c r="E196" s="18">
        <f t="shared" si="64"/>
        <v>2.5720103884380836</v>
      </c>
      <c r="F196" s="21">
        <f t="shared" si="57"/>
        <v>0.50522806719307689</v>
      </c>
      <c r="G196" s="1">
        <f t="shared" si="58"/>
        <v>0</v>
      </c>
      <c r="H196" s="2">
        <f t="shared" si="54"/>
        <v>75.524301931116369</v>
      </c>
      <c r="I196" s="19">
        <f t="shared" si="80"/>
        <v>32.694503000483273</v>
      </c>
      <c r="J196" s="20">
        <f t="shared" si="59"/>
        <v>0.93394743302679584</v>
      </c>
      <c r="K196" s="21">
        <f t="shared" si="60"/>
        <v>12.697422736173392</v>
      </c>
      <c r="L196" s="21">
        <f t="shared" si="55"/>
        <v>0.38776024277889759</v>
      </c>
      <c r="M196" s="2">
        <f t="shared" si="65"/>
        <v>9.6275356500115201</v>
      </c>
      <c r="N196" s="19">
        <f t="shared" si="78"/>
        <v>282.13445771688396</v>
      </c>
      <c r="O196" s="1">
        <f t="shared" si="66"/>
        <v>170</v>
      </c>
      <c r="P196" s="19">
        <f t="shared" si="67"/>
        <v>66.02979830111191</v>
      </c>
      <c r="Q196" s="18">
        <f t="shared" si="68"/>
        <v>4.0583918830770083</v>
      </c>
      <c r="R196" s="2">
        <f t="shared" si="69"/>
        <v>0.92175756145035703</v>
      </c>
      <c r="S196" s="18">
        <f t="shared" si="70"/>
        <v>4.0737545091011809</v>
      </c>
      <c r="T196" s="18">
        <f t="shared" si="71"/>
        <v>1.2480629367514138</v>
      </c>
      <c r="U196" s="1">
        <f t="shared" si="61"/>
        <v>0</v>
      </c>
      <c r="V196" s="2">
        <f t="shared" si="72"/>
        <v>153.77689701231992</v>
      </c>
      <c r="W196" s="19">
        <f t="shared" si="73"/>
        <v>66.57008528671858</v>
      </c>
      <c r="X196" s="20"/>
      <c r="Y196" s="2">
        <f t="shared" si="74"/>
        <v>46.580796406334514</v>
      </c>
      <c r="Z196" s="21">
        <f t="shared" si="75"/>
        <v>0.97276413514818549</v>
      </c>
      <c r="AA196" s="2">
        <f t="shared" si="76"/>
        <v>35.954892046912676</v>
      </c>
      <c r="AB196" s="19">
        <f t="shared" si="79"/>
        <v>49.176538145827394</v>
      </c>
      <c r="AC196" s="2"/>
      <c r="AD196" s="18"/>
      <c r="AE196" s="118"/>
      <c r="AG196" s="2"/>
      <c r="AH196" s="19"/>
      <c r="AI196" s="20"/>
      <c r="AJ196" s="21"/>
      <c r="AK196" s="21"/>
      <c r="AM196" s="19"/>
      <c r="AN196" s="18"/>
      <c r="AO196" s="2"/>
      <c r="AP196" s="18"/>
      <c r="AQ196" s="118"/>
      <c r="AS196" s="2"/>
      <c r="AT196" s="19"/>
      <c r="AU196" s="20"/>
      <c r="AV196" s="21"/>
      <c r="AW196" s="21"/>
      <c r="AY196" s="19"/>
      <c r="AZ196" s="18"/>
      <c r="BA196" s="2"/>
      <c r="BB196" s="18"/>
      <c r="BC196" s="118"/>
      <c r="BE196" s="2"/>
      <c r="BF196" s="19"/>
      <c r="BG196" s="20"/>
      <c r="BH196" s="21"/>
      <c r="BI196" s="21"/>
      <c r="BK196" s="19"/>
      <c r="BL196" s="18"/>
      <c r="BM196" s="2"/>
      <c r="BN196" s="18"/>
      <c r="BO196" s="118"/>
      <c r="BQ196" s="2"/>
      <c r="BR196" s="19"/>
      <c r="BS196" s="20"/>
      <c r="BT196" s="21"/>
      <c r="BU196" s="21"/>
      <c r="BW196" s="19"/>
      <c r="BX196" s="18"/>
      <c r="BY196" s="2"/>
      <c r="BZ196" s="18"/>
      <c r="CA196" s="118"/>
      <c r="CC196" s="2"/>
      <c r="CD196" s="19"/>
      <c r="CE196" s="20"/>
      <c r="CF196" s="21"/>
      <c r="CG196" s="21"/>
      <c r="CI196" s="19"/>
      <c r="CJ196" s="18"/>
      <c r="CK196" s="2"/>
      <c r="CL196" s="18"/>
      <c r="CM196" s="118"/>
      <c r="CO196" s="2"/>
      <c r="CP196" s="19"/>
      <c r="CQ196" s="20"/>
      <c r="CR196" s="21"/>
      <c r="CS196" s="21"/>
    </row>
    <row r="197" spans="1:97" x14ac:dyDescent="0.25">
      <c r="A197" s="1">
        <f t="shared" si="62"/>
        <v>171</v>
      </c>
      <c r="B197" s="19">
        <f t="shared" si="63"/>
        <v>32.694503000483273</v>
      </c>
      <c r="C197" s="18">
        <f t="shared" si="77"/>
        <v>2.5720103884380836</v>
      </c>
      <c r="D197" s="2">
        <f t="shared" si="56"/>
        <v>0.90889016568679504</v>
      </c>
      <c r="E197" s="18">
        <f t="shared" si="64"/>
        <v>2.5871585578661969</v>
      </c>
      <c r="F197" s="21">
        <f t="shared" si="57"/>
        <v>0.51109354385752781</v>
      </c>
      <c r="G197" s="1">
        <f t="shared" si="58"/>
        <v>0</v>
      </c>
      <c r="H197" s="2">
        <f t="shared" si="54"/>
        <v>76.035395474973896</v>
      </c>
      <c r="I197" s="19">
        <f t="shared" si="80"/>
        <v>32.915755616871813</v>
      </c>
      <c r="J197" s="20">
        <f t="shared" si="59"/>
        <v>0.93390874426837522</v>
      </c>
      <c r="K197" s="21">
        <f t="shared" si="60"/>
        <v>12.918726240663702</v>
      </c>
      <c r="L197" s="21">
        <f t="shared" si="55"/>
        <v>0.39234121592218885</v>
      </c>
      <c r="M197" s="2">
        <f t="shared" si="65"/>
        <v>9.7973803322289186</v>
      </c>
      <c r="N197" s="19">
        <f t="shared" si="78"/>
        <v>282.42237026934339</v>
      </c>
      <c r="O197" s="1">
        <f t="shared" si="66"/>
        <v>171</v>
      </c>
      <c r="P197" s="19">
        <f t="shared" si="67"/>
        <v>66.57008528671858</v>
      </c>
      <c r="Q197" s="18">
        <f t="shared" si="68"/>
        <v>4.0737545091011809</v>
      </c>
      <c r="R197" s="2">
        <f t="shared" si="69"/>
        <v>0.92190780500814928</v>
      </c>
      <c r="S197" s="18">
        <f t="shared" si="70"/>
        <v>4.0891196391846503</v>
      </c>
      <c r="T197" s="18">
        <f t="shared" si="71"/>
        <v>1.257340918074521</v>
      </c>
      <c r="U197" s="1">
        <f t="shared" si="61"/>
        <v>0</v>
      </c>
      <c r="V197" s="2">
        <f t="shared" si="72"/>
        <v>155.03423793039445</v>
      </c>
      <c r="W197" s="19">
        <f t="shared" si="73"/>
        <v>67.114388714456467</v>
      </c>
      <c r="X197" s="20"/>
      <c r="Y197" s="2">
        <f t="shared" si="74"/>
        <v>47.125225023860779</v>
      </c>
      <c r="Z197" s="21">
        <f t="shared" si="75"/>
        <v>0.98011599439955677</v>
      </c>
      <c r="AA197" s="2">
        <f t="shared" si="76"/>
        <v>36.379184685180881</v>
      </c>
      <c r="AB197" s="19">
        <f t="shared" si="79"/>
        <v>49.358314950058727</v>
      </c>
      <c r="AC197" s="2"/>
      <c r="AD197" s="18"/>
      <c r="AE197" s="118"/>
      <c r="AG197" s="2"/>
      <c r="AH197" s="19"/>
      <c r="AI197" s="20"/>
      <c r="AJ197" s="21"/>
      <c r="AK197" s="21"/>
      <c r="AM197" s="19"/>
      <c r="AN197" s="18"/>
      <c r="AO197" s="2"/>
      <c r="AP197" s="18"/>
      <c r="AQ197" s="118"/>
      <c r="AS197" s="2"/>
      <c r="AT197" s="19"/>
      <c r="AU197" s="20"/>
      <c r="AV197" s="21"/>
      <c r="AW197" s="21"/>
      <c r="AY197" s="19"/>
      <c r="AZ197" s="18"/>
      <c r="BA197" s="2"/>
      <c r="BB197" s="18"/>
      <c r="BC197" s="118"/>
      <c r="BE197" s="2"/>
      <c r="BF197" s="19"/>
      <c r="BG197" s="20"/>
      <c r="BH197" s="21"/>
      <c r="BI197" s="21"/>
      <c r="BK197" s="19"/>
      <c r="BL197" s="18"/>
      <c r="BM197" s="2"/>
      <c r="BN197" s="18"/>
      <c r="BO197" s="118"/>
      <c r="BQ197" s="2"/>
      <c r="BR197" s="19"/>
      <c r="BS197" s="20"/>
      <c r="BT197" s="21"/>
      <c r="BU197" s="21"/>
      <c r="BW197" s="19"/>
      <c r="BX197" s="18"/>
      <c r="BY197" s="2"/>
      <c r="BZ197" s="18"/>
      <c r="CA197" s="118"/>
      <c r="CC197" s="2"/>
      <c r="CD197" s="19"/>
      <c r="CE197" s="20"/>
      <c r="CF197" s="21"/>
      <c r="CG197" s="21"/>
      <c r="CI197" s="19"/>
      <c r="CJ197" s="18"/>
      <c r="CK197" s="2"/>
      <c r="CL197" s="18"/>
      <c r="CM197" s="118"/>
      <c r="CO197" s="2"/>
      <c r="CP197" s="19"/>
      <c r="CQ197" s="20"/>
      <c r="CR197" s="21"/>
      <c r="CS197" s="21"/>
    </row>
    <row r="198" spans="1:97" x14ac:dyDescent="0.25">
      <c r="A198" s="1">
        <f t="shared" si="62"/>
        <v>172</v>
      </c>
      <c r="B198" s="19">
        <f t="shared" si="63"/>
        <v>32.915755616871813</v>
      </c>
      <c r="C198" s="18">
        <f t="shared" si="77"/>
        <v>2.5871585578661969</v>
      </c>
      <c r="D198" s="2">
        <f t="shared" si="56"/>
        <v>0.90901277374054124</v>
      </c>
      <c r="E198" s="18">
        <f t="shared" si="64"/>
        <v>2.6023087707618724</v>
      </c>
      <c r="F198" s="21">
        <f t="shared" si="57"/>
        <v>0.51699314336863433</v>
      </c>
      <c r="G198" s="1">
        <f t="shared" si="58"/>
        <v>0</v>
      </c>
      <c r="H198" s="2">
        <f t="shared" si="54"/>
        <v>76.552388618342533</v>
      </c>
      <c r="I198" s="19">
        <f t="shared" si="80"/>
        <v>33.139562172442652</v>
      </c>
      <c r="J198" s="20">
        <f t="shared" si="59"/>
        <v>0.93386977260523574</v>
      </c>
      <c r="K198" s="21">
        <f t="shared" si="60"/>
        <v>13.14258427174232</v>
      </c>
      <c r="L198" s="21">
        <f t="shared" si="55"/>
        <v>0.39694971345887742</v>
      </c>
      <c r="M198" s="2">
        <f t="shared" si="65"/>
        <v>9.9692200350249696</v>
      </c>
      <c r="N198" s="19">
        <f t="shared" si="78"/>
        <v>282.70859705418263</v>
      </c>
      <c r="O198" s="1">
        <f t="shared" si="66"/>
        <v>172</v>
      </c>
      <c r="P198" s="19">
        <f t="shared" si="67"/>
        <v>67.114388714456467</v>
      </c>
      <c r="Q198" s="18">
        <f t="shared" si="68"/>
        <v>4.0891196391846503</v>
      </c>
      <c r="R198" s="2">
        <f t="shared" si="69"/>
        <v>0.92205796192638179</v>
      </c>
      <c r="S198" s="18">
        <f t="shared" si="70"/>
        <v>4.1044872718834231</v>
      </c>
      <c r="T198" s="18">
        <f t="shared" si="71"/>
        <v>1.2666542721782008</v>
      </c>
      <c r="U198" s="1">
        <f t="shared" si="61"/>
        <v>0</v>
      </c>
      <c r="V198" s="2">
        <f t="shared" si="72"/>
        <v>156.30089220257264</v>
      </c>
      <c r="W198" s="19">
        <f t="shared" si="73"/>
        <v>67.662723897217589</v>
      </c>
      <c r="X198" s="20"/>
      <c r="Y198" s="2">
        <f t="shared" si="74"/>
        <v>47.673686323713937</v>
      </c>
      <c r="Z198" s="21">
        <f t="shared" si="75"/>
        <v>0.98749673493999468</v>
      </c>
      <c r="AA198" s="2">
        <f t="shared" si="76"/>
        <v>36.806672449224166</v>
      </c>
      <c r="AB198" s="19">
        <f t="shared" si="79"/>
        <v>49.539408716255075</v>
      </c>
      <c r="AC198" s="2"/>
      <c r="AD198" s="18"/>
      <c r="AE198" s="118"/>
      <c r="AG198" s="2"/>
      <c r="AH198" s="19"/>
      <c r="AI198" s="20"/>
      <c r="AJ198" s="21"/>
      <c r="AK198" s="21"/>
      <c r="AM198" s="19"/>
      <c r="AN198" s="18"/>
      <c r="AO198" s="2"/>
      <c r="AP198" s="18"/>
      <c r="AQ198" s="118"/>
      <c r="AS198" s="2"/>
      <c r="AT198" s="19"/>
      <c r="AU198" s="20"/>
      <c r="AV198" s="21"/>
      <c r="AW198" s="21"/>
      <c r="AY198" s="19"/>
      <c r="AZ198" s="18"/>
      <c r="BA198" s="2"/>
      <c r="BB198" s="18"/>
      <c r="BC198" s="118"/>
      <c r="BE198" s="2"/>
      <c r="BF198" s="19"/>
      <c r="BG198" s="20"/>
      <c r="BH198" s="21"/>
      <c r="BI198" s="21"/>
      <c r="BK198" s="19"/>
      <c r="BL198" s="18"/>
      <c r="BM198" s="2"/>
      <c r="BN198" s="18"/>
      <c r="BO198" s="118"/>
      <c r="BQ198" s="2"/>
      <c r="BR198" s="19"/>
      <c r="BS198" s="20"/>
      <c r="BT198" s="21"/>
      <c r="BU198" s="21"/>
      <c r="BW198" s="19"/>
      <c r="BX198" s="18"/>
      <c r="BY198" s="2"/>
      <c r="BZ198" s="18"/>
      <c r="CA198" s="118"/>
      <c r="CC198" s="2"/>
      <c r="CD198" s="19"/>
      <c r="CE198" s="20"/>
      <c r="CF198" s="21"/>
      <c r="CG198" s="21"/>
      <c r="CI198" s="19"/>
      <c r="CJ198" s="18"/>
      <c r="CK198" s="2"/>
      <c r="CL198" s="18"/>
      <c r="CM198" s="118"/>
      <c r="CO198" s="2"/>
      <c r="CP198" s="19"/>
      <c r="CQ198" s="20"/>
      <c r="CR198" s="21"/>
      <c r="CS198" s="21"/>
    </row>
    <row r="199" spans="1:97" x14ac:dyDescent="0.25">
      <c r="A199" s="1">
        <f t="shared" si="62"/>
        <v>173</v>
      </c>
      <c r="B199" s="19">
        <f t="shared" si="63"/>
        <v>33.139562172442652</v>
      </c>
      <c r="C199" s="18">
        <f t="shared" si="77"/>
        <v>2.6023087707618724</v>
      </c>
      <c r="D199" s="2">
        <f t="shared" si="56"/>
        <v>0.90913597810311242</v>
      </c>
      <c r="E199" s="18">
        <f t="shared" si="64"/>
        <v>2.6174610370635909</v>
      </c>
      <c r="F199" s="21">
        <f t="shared" si="57"/>
        <v>0.522926877566116</v>
      </c>
      <c r="G199" s="1">
        <f t="shared" si="58"/>
        <v>0</v>
      </c>
      <c r="H199" s="2">
        <f t="shared" si="54"/>
        <v>77.075315495908654</v>
      </c>
      <c r="I199" s="19">
        <f t="shared" si="80"/>
        <v>33.365937444116298</v>
      </c>
      <c r="J199" s="20">
        <f t="shared" si="59"/>
        <v>0.93383051949537654</v>
      </c>
      <c r="K199" s="21">
        <f t="shared" si="60"/>
        <v>13.369011609728449</v>
      </c>
      <c r="L199" s="21">
        <f t="shared" si="55"/>
        <v>0.40158574932678637</v>
      </c>
      <c r="M199" s="2">
        <f t="shared" si="65"/>
        <v>10.143066679755179</v>
      </c>
      <c r="N199" s="19">
        <f t="shared" si="78"/>
        <v>282.99315747384054</v>
      </c>
      <c r="O199" s="1">
        <f t="shared" si="66"/>
        <v>173</v>
      </c>
      <c r="P199" s="19">
        <f t="shared" si="67"/>
        <v>67.662723897217589</v>
      </c>
      <c r="Q199" s="18">
        <f t="shared" si="68"/>
        <v>4.1044872718834231</v>
      </c>
      <c r="R199" s="2">
        <f t="shared" si="69"/>
        <v>0.92220802917254618</v>
      </c>
      <c r="S199" s="18">
        <f t="shared" si="70"/>
        <v>4.1198574057029651</v>
      </c>
      <c r="T199" s="18">
        <f t="shared" si="71"/>
        <v>1.2760030112663145</v>
      </c>
      <c r="U199" s="1">
        <f t="shared" si="61"/>
        <v>0</v>
      </c>
      <c r="V199" s="2">
        <f t="shared" si="72"/>
        <v>157.57689521383895</v>
      </c>
      <c r="W199" s="19">
        <f t="shared" si="73"/>
        <v>68.215106153177032</v>
      </c>
      <c r="X199" s="20"/>
      <c r="Y199" s="2">
        <f t="shared" si="74"/>
        <v>48.226195627592254</v>
      </c>
      <c r="Z199" s="21">
        <f t="shared" si="75"/>
        <v>0.99490636957369216</v>
      </c>
      <c r="AA199" s="2">
        <f t="shared" si="76"/>
        <v>37.237367847308015</v>
      </c>
      <c r="AB199" s="19">
        <f t="shared" si="79"/>
        <v>49.719824448314974</v>
      </c>
      <c r="AC199" s="2"/>
      <c r="AD199" s="18"/>
      <c r="AE199" s="118"/>
      <c r="AG199" s="2"/>
      <c r="AH199" s="19"/>
      <c r="AI199" s="20"/>
      <c r="AJ199" s="21"/>
      <c r="AK199" s="21"/>
      <c r="AM199" s="19"/>
      <c r="AN199" s="18"/>
      <c r="AO199" s="2"/>
      <c r="AP199" s="18"/>
      <c r="AQ199" s="118"/>
      <c r="AS199" s="2"/>
      <c r="AT199" s="19"/>
      <c r="AU199" s="20"/>
      <c r="AV199" s="21"/>
      <c r="AW199" s="21"/>
      <c r="AY199" s="19"/>
      <c r="AZ199" s="18"/>
      <c r="BA199" s="2"/>
      <c r="BB199" s="18"/>
      <c r="BC199" s="118"/>
      <c r="BE199" s="2"/>
      <c r="BF199" s="19"/>
      <c r="BG199" s="20"/>
      <c r="BH199" s="21"/>
      <c r="BI199" s="21"/>
      <c r="BK199" s="19"/>
      <c r="BL199" s="18"/>
      <c r="BM199" s="2"/>
      <c r="BN199" s="18"/>
      <c r="BO199" s="118"/>
      <c r="BQ199" s="2"/>
      <c r="BR199" s="19"/>
      <c r="BS199" s="20"/>
      <c r="BT199" s="21"/>
      <c r="BU199" s="21"/>
      <c r="BW199" s="19"/>
      <c r="BX199" s="18"/>
      <c r="BY199" s="2"/>
      <c r="BZ199" s="18"/>
      <c r="CA199" s="118"/>
      <c r="CC199" s="2"/>
      <c r="CD199" s="19"/>
      <c r="CE199" s="20"/>
      <c r="CF199" s="21"/>
      <c r="CG199" s="21"/>
      <c r="CI199" s="19"/>
      <c r="CJ199" s="18"/>
      <c r="CK199" s="2"/>
      <c r="CL199" s="18"/>
      <c r="CM199" s="118"/>
      <c r="CO199" s="2"/>
      <c r="CP199" s="19"/>
      <c r="CQ199" s="20"/>
      <c r="CR199" s="21"/>
      <c r="CS199" s="21"/>
    </row>
    <row r="200" spans="1:97" x14ac:dyDescent="0.25">
      <c r="A200" s="1">
        <f t="shared" si="62"/>
        <v>174</v>
      </c>
      <c r="B200" s="19">
        <f t="shared" si="63"/>
        <v>33.365937444116298</v>
      </c>
      <c r="C200" s="18">
        <f t="shared" si="77"/>
        <v>2.6174610370635909</v>
      </c>
      <c r="D200" s="2">
        <f t="shared" si="56"/>
        <v>0.90925976979642409</v>
      </c>
      <c r="E200" s="18">
        <f t="shared" si="64"/>
        <v>2.6326153665601981</v>
      </c>
      <c r="F200" s="21">
        <f t="shared" si="57"/>
        <v>0.52889475835237987</v>
      </c>
      <c r="G200" s="1">
        <f t="shared" si="58"/>
        <v>0</v>
      </c>
      <c r="H200" s="2">
        <f t="shared" si="54"/>
        <v>77.604210254261034</v>
      </c>
      <c r="I200" s="19">
        <f t="shared" si="80"/>
        <v>33.594896213965818</v>
      </c>
      <c r="J200" s="20">
        <f t="shared" si="59"/>
        <v>0.93379098641821578</v>
      </c>
      <c r="K200" s="21">
        <f t="shared" si="60"/>
        <v>13.598023040095031</v>
      </c>
      <c r="L200" s="21">
        <f t="shared" si="55"/>
        <v>0.40624933748965253</v>
      </c>
      <c r="M200" s="2">
        <f t="shared" si="65"/>
        <v>10.318932193819965</v>
      </c>
      <c r="N200" s="19">
        <f t="shared" si="78"/>
        <v>283.27607059667281</v>
      </c>
      <c r="O200" s="1">
        <f t="shared" si="66"/>
        <v>174</v>
      </c>
      <c r="P200" s="19">
        <f t="shared" si="67"/>
        <v>68.215106153177032</v>
      </c>
      <c r="Q200" s="18">
        <f t="shared" si="68"/>
        <v>4.1198574057029651</v>
      </c>
      <c r="R200" s="2">
        <f t="shared" si="69"/>
        <v>0.92235800377207777</v>
      </c>
      <c r="S200" s="18">
        <f t="shared" si="70"/>
        <v>4.1352300390991665</v>
      </c>
      <c r="T200" s="18">
        <f t="shared" si="71"/>
        <v>1.2853871475132932</v>
      </c>
      <c r="U200" s="1">
        <f t="shared" si="61"/>
        <v>0</v>
      </c>
      <c r="V200" s="2">
        <f t="shared" si="72"/>
        <v>158.86228236135224</v>
      </c>
      <c r="W200" s="19">
        <f t="shared" si="73"/>
        <v>68.771550805780194</v>
      </c>
      <c r="X200" s="20"/>
      <c r="Y200" s="2">
        <f t="shared" si="74"/>
        <v>48.78276826246551</v>
      </c>
      <c r="Z200" s="21">
        <f t="shared" si="75"/>
        <v>1.0023449110722369</v>
      </c>
      <c r="AA200" s="2">
        <f t="shared" si="76"/>
        <v>37.67128339322673</v>
      </c>
      <c r="AB200" s="19">
        <f t="shared" si="79"/>
        <v>49.899567095442109</v>
      </c>
      <c r="AC200" s="2"/>
      <c r="AD200" s="18"/>
      <c r="AE200" s="118"/>
      <c r="AG200" s="2"/>
      <c r="AH200" s="19"/>
      <c r="AI200" s="20"/>
      <c r="AJ200" s="21"/>
      <c r="AK200" s="21"/>
      <c r="AM200" s="19"/>
      <c r="AN200" s="18"/>
      <c r="AO200" s="2"/>
      <c r="AP200" s="18"/>
      <c r="AQ200" s="118"/>
      <c r="AS200" s="2"/>
      <c r="AT200" s="19"/>
      <c r="AU200" s="20"/>
      <c r="AV200" s="21"/>
      <c r="AW200" s="21"/>
      <c r="AY200" s="19"/>
      <c r="AZ200" s="18"/>
      <c r="BA200" s="2"/>
      <c r="BB200" s="18"/>
      <c r="BC200" s="118"/>
      <c r="BE200" s="2"/>
      <c r="BF200" s="19"/>
      <c r="BG200" s="20"/>
      <c r="BH200" s="21"/>
      <c r="BI200" s="21"/>
      <c r="BK200" s="19"/>
      <c r="BL200" s="18"/>
      <c r="BM200" s="2"/>
      <c r="BN200" s="18"/>
      <c r="BO200" s="118"/>
      <c r="BQ200" s="2"/>
      <c r="BR200" s="19"/>
      <c r="BS200" s="20"/>
      <c r="BT200" s="21"/>
      <c r="BU200" s="21"/>
      <c r="BW200" s="19"/>
      <c r="BX200" s="18"/>
      <c r="BY200" s="2"/>
      <c r="BZ200" s="18"/>
      <c r="CA200" s="118"/>
      <c r="CC200" s="2"/>
      <c r="CD200" s="19"/>
      <c r="CE200" s="20"/>
      <c r="CF200" s="21"/>
      <c r="CG200" s="21"/>
      <c r="CI200" s="19"/>
      <c r="CJ200" s="18"/>
      <c r="CK200" s="2"/>
      <c r="CL200" s="18"/>
      <c r="CM200" s="118"/>
      <c r="CO200" s="2"/>
      <c r="CP200" s="19"/>
      <c r="CQ200" s="20"/>
      <c r="CR200" s="21"/>
      <c r="CS200" s="21"/>
    </row>
    <row r="201" spans="1:97" x14ac:dyDescent="0.25">
      <c r="A201" s="1">
        <f t="shared" si="62"/>
        <v>175</v>
      </c>
      <c r="B201" s="19">
        <f t="shared" si="63"/>
        <v>33.594896213965818</v>
      </c>
      <c r="C201" s="18">
        <f t="shared" si="77"/>
        <v>2.6326153665601981</v>
      </c>
      <c r="D201" s="2">
        <f t="shared" si="56"/>
        <v>0.90938413984133781</v>
      </c>
      <c r="E201" s="18">
        <f t="shared" si="64"/>
        <v>2.6477717688908871</v>
      </c>
      <c r="F201" s="21">
        <f t="shared" si="57"/>
        <v>0.53489679769045018</v>
      </c>
      <c r="G201" s="1">
        <f t="shared" si="58"/>
        <v>0</v>
      </c>
      <c r="H201" s="2">
        <f t="shared" si="54"/>
        <v>78.139107051951498</v>
      </c>
      <c r="I201" s="19">
        <f t="shared" si="80"/>
        <v>33.826453269243075</v>
      </c>
      <c r="J201" s="20">
        <f t="shared" si="59"/>
        <v>0.93375117487397175</v>
      </c>
      <c r="K201" s="21">
        <f t="shared" si="60"/>
        <v>13.829633353494996</v>
      </c>
      <c r="L201" s="21">
        <f t="shared" si="55"/>
        <v>0.41094049193581406</v>
      </c>
      <c r="M201" s="2">
        <f t="shared" si="65"/>
        <v>10.496828510675295</v>
      </c>
      <c r="N201" s="19">
        <f t="shared" si="78"/>
        <v>283.5573551645947</v>
      </c>
      <c r="O201" s="1">
        <f t="shared" si="66"/>
        <v>175</v>
      </c>
      <c r="P201" s="19">
        <f t="shared" si="67"/>
        <v>68.771550805780194</v>
      </c>
      <c r="Q201" s="18">
        <f t="shared" si="68"/>
        <v>4.1352300390991665</v>
      </c>
      <c r="R201" s="2">
        <f t="shared" si="69"/>
        <v>0.9225078828076132</v>
      </c>
      <c r="S201" s="18">
        <f t="shared" si="70"/>
        <v>4.1506051704792934</v>
      </c>
      <c r="T201" s="18">
        <f t="shared" si="71"/>
        <v>1.2948066930640787</v>
      </c>
      <c r="U201" s="1">
        <f t="shared" si="61"/>
        <v>0</v>
      </c>
      <c r="V201" s="2">
        <f t="shared" si="72"/>
        <v>160.15708905441633</v>
      </c>
      <c r="W201" s="19">
        <f t="shared" si="73"/>
        <v>69.332073183730017</v>
      </c>
      <c r="X201" s="20"/>
      <c r="Y201" s="2">
        <f t="shared" si="74"/>
        <v>49.343419560562253</v>
      </c>
      <c r="Z201" s="21">
        <f t="shared" si="75"/>
        <v>1.0098123721746255</v>
      </c>
      <c r="AA201" s="2">
        <f t="shared" si="76"/>
        <v>38.108431606289336</v>
      </c>
      <c r="AB201" s="19">
        <f t="shared" si="79"/>
        <v>50.078641552941626</v>
      </c>
      <c r="AC201" s="2"/>
      <c r="AD201" s="18"/>
      <c r="AE201" s="118"/>
      <c r="AG201" s="2"/>
      <c r="AH201" s="19"/>
      <c r="AI201" s="20"/>
      <c r="AJ201" s="21"/>
      <c r="AK201" s="21"/>
      <c r="AM201" s="19"/>
      <c r="AN201" s="18"/>
      <c r="AO201" s="2"/>
      <c r="AP201" s="18"/>
      <c r="AQ201" s="118"/>
      <c r="AS201" s="2"/>
      <c r="AT201" s="19"/>
      <c r="AU201" s="20"/>
      <c r="AV201" s="21"/>
      <c r="AW201" s="21"/>
      <c r="AY201" s="19"/>
      <c r="AZ201" s="18"/>
      <c r="BA201" s="2"/>
      <c r="BB201" s="18"/>
      <c r="BC201" s="118"/>
      <c r="BE201" s="2"/>
      <c r="BF201" s="19"/>
      <c r="BG201" s="20"/>
      <c r="BH201" s="21"/>
      <c r="BI201" s="21"/>
      <c r="BK201" s="19"/>
      <c r="BL201" s="18"/>
      <c r="BM201" s="2"/>
      <c r="BN201" s="18"/>
      <c r="BO201" s="118"/>
      <c r="BQ201" s="2"/>
      <c r="BR201" s="19"/>
      <c r="BS201" s="20"/>
      <c r="BT201" s="21"/>
      <c r="BU201" s="21"/>
      <c r="BW201" s="19"/>
      <c r="BX201" s="18"/>
      <c r="BY201" s="2"/>
      <c r="BZ201" s="18"/>
      <c r="CA201" s="118"/>
      <c r="CC201" s="2"/>
      <c r="CD201" s="19"/>
      <c r="CE201" s="20"/>
      <c r="CF201" s="21"/>
      <c r="CG201" s="21"/>
      <c r="CI201" s="19"/>
      <c r="CJ201" s="18"/>
      <c r="CK201" s="2"/>
      <c r="CL201" s="18"/>
      <c r="CM201" s="118"/>
      <c r="CO201" s="2"/>
      <c r="CP201" s="19"/>
      <c r="CQ201" s="20"/>
      <c r="CR201" s="21"/>
      <c r="CS201" s="21"/>
    </row>
    <row r="202" spans="1:97" x14ac:dyDescent="0.25">
      <c r="A202" s="1">
        <f t="shared" si="62"/>
        <v>176</v>
      </c>
      <c r="B202" s="19">
        <f t="shared" si="63"/>
        <v>33.826453269243075</v>
      </c>
      <c r="C202" s="18">
        <f t="shared" si="77"/>
        <v>2.6477717688908871</v>
      </c>
      <c r="D202" s="2">
        <f t="shared" si="56"/>
        <v>0.90950907926075764</v>
      </c>
      <c r="E202" s="18">
        <f t="shared" si="64"/>
        <v>2.6629302535452331</v>
      </c>
      <c r="F202" s="21">
        <f t="shared" si="57"/>
        <v>0.54093300760192886</v>
      </c>
      <c r="G202" s="1">
        <f t="shared" si="58"/>
        <v>0</v>
      </c>
      <c r="H202" s="2">
        <f t="shared" si="54"/>
        <v>78.680040059553434</v>
      </c>
      <c r="I202" s="19">
        <f t="shared" si="80"/>
        <v>34.060623402404083</v>
      </c>
      <c r="J202" s="20">
        <f t="shared" si="59"/>
        <v>0.93371108638304634</v>
      </c>
      <c r="K202" s="21">
        <f t="shared" si="60"/>
        <v>14.063857345786632</v>
      </c>
      <c r="L202" s="21">
        <f t="shared" si="55"/>
        <v>0.41565922667691713</v>
      </c>
      <c r="M202" s="2">
        <f t="shared" si="65"/>
        <v>10.676767569842792</v>
      </c>
      <c r="N202" s="19">
        <f t="shared" si="78"/>
        <v>283.83702960050636</v>
      </c>
      <c r="O202" s="1">
        <f t="shared" si="66"/>
        <v>176</v>
      </c>
      <c r="P202" s="19">
        <f t="shared" si="67"/>
        <v>69.332073183730017</v>
      </c>
      <c r="Q202" s="18">
        <f t="shared" si="68"/>
        <v>4.1506051704792934</v>
      </c>
      <c r="R202" s="2">
        <f t="shared" si="69"/>
        <v>0.92265766341824917</v>
      </c>
      <c r="S202" s="18">
        <f t="shared" si="70"/>
        <v>4.1659827982029309</v>
      </c>
      <c r="T202" s="18">
        <f t="shared" si="71"/>
        <v>1.3042616600340717</v>
      </c>
      <c r="U202" s="1">
        <f t="shared" si="61"/>
        <v>0</v>
      </c>
      <c r="V202" s="2">
        <f t="shared" si="72"/>
        <v>161.46135071445039</v>
      </c>
      <c r="W202" s="19">
        <f t="shared" si="73"/>
        <v>69.896688620974189</v>
      </c>
      <c r="X202" s="20"/>
      <c r="Y202" s="2">
        <f t="shared" si="74"/>
        <v>49.908164859357008</v>
      </c>
      <c r="Z202" s="21">
        <f t="shared" si="75"/>
        <v>1.0173087655872781</v>
      </c>
      <c r="AA202" s="2">
        <f t="shared" si="76"/>
        <v>38.548825011305475</v>
      </c>
      <c r="AB202" s="19">
        <f t="shared" si="79"/>
        <v>50.257052663001964</v>
      </c>
      <c r="AC202" s="2"/>
      <c r="AD202" s="18"/>
      <c r="AE202" s="118"/>
      <c r="AG202" s="2"/>
      <c r="AH202" s="19"/>
      <c r="AI202" s="20"/>
      <c r="AJ202" s="21"/>
      <c r="AK202" s="21"/>
      <c r="AM202" s="19"/>
      <c r="AN202" s="18"/>
      <c r="AO202" s="2"/>
      <c r="AP202" s="18"/>
      <c r="AQ202" s="118"/>
      <c r="AS202" s="2"/>
      <c r="AT202" s="19"/>
      <c r="AU202" s="20"/>
      <c r="AV202" s="21"/>
      <c r="AW202" s="21"/>
      <c r="AY202" s="19"/>
      <c r="AZ202" s="18"/>
      <c r="BA202" s="2"/>
      <c r="BB202" s="18"/>
      <c r="BC202" s="118"/>
      <c r="BE202" s="2"/>
      <c r="BF202" s="19"/>
      <c r="BG202" s="20"/>
      <c r="BH202" s="21"/>
      <c r="BI202" s="21"/>
      <c r="BK202" s="19"/>
      <c r="BL202" s="18"/>
      <c r="BM202" s="2"/>
      <c r="BN202" s="18"/>
      <c r="BO202" s="118"/>
      <c r="BQ202" s="2"/>
      <c r="BR202" s="19"/>
      <c r="BS202" s="20"/>
      <c r="BT202" s="21"/>
      <c r="BU202" s="21"/>
      <c r="BW202" s="19"/>
      <c r="BX202" s="18"/>
      <c r="BY202" s="2"/>
      <c r="BZ202" s="18"/>
      <c r="CA202" s="118"/>
      <c r="CC202" s="2"/>
      <c r="CD202" s="19"/>
      <c r="CE202" s="20"/>
      <c r="CF202" s="21"/>
      <c r="CG202" s="21"/>
      <c r="CI202" s="19"/>
      <c r="CJ202" s="18"/>
      <c r="CK202" s="2"/>
      <c r="CL202" s="18"/>
      <c r="CM202" s="118"/>
      <c r="CO202" s="2"/>
      <c r="CP202" s="19"/>
      <c r="CQ202" s="20"/>
      <c r="CR202" s="21"/>
      <c r="CS202" s="21"/>
    </row>
    <row r="203" spans="1:97" x14ac:dyDescent="0.25">
      <c r="A203" s="1">
        <f t="shared" si="62"/>
        <v>177</v>
      </c>
      <c r="B203" s="19">
        <f t="shared" si="63"/>
        <v>34.060623402404083</v>
      </c>
      <c r="C203" s="18">
        <f t="shared" si="77"/>
        <v>2.6629302535452331</v>
      </c>
      <c r="D203" s="2">
        <f t="shared" si="56"/>
        <v>0.90963457908265766</v>
      </c>
      <c r="E203" s="18">
        <f t="shared" si="64"/>
        <v>2.6780908298632773</v>
      </c>
      <c r="F203" s="21">
        <f t="shared" si="57"/>
        <v>0.54700340016498183</v>
      </c>
      <c r="G203" s="1">
        <f t="shared" si="58"/>
        <v>0</v>
      </c>
      <c r="H203" s="2">
        <f t="shared" si="54"/>
        <v>79.227043459718416</v>
      </c>
      <c r="I203" s="19">
        <f t="shared" si="80"/>
        <v>34.297421411133513</v>
      </c>
      <c r="J203" s="20">
        <f t="shared" si="59"/>
        <v>0.93367072248541128</v>
      </c>
      <c r="K203" s="21">
        <f t="shared" si="60"/>
        <v>14.300709818058069</v>
      </c>
      <c r="L203" s="21">
        <f t="shared" si="55"/>
        <v>0.42040555574663441</v>
      </c>
      <c r="M203" s="2">
        <f t="shared" si="65"/>
        <v>10.858761316919257</v>
      </c>
      <c r="N203" s="19">
        <f t="shared" si="78"/>
        <v>284.1151120155082</v>
      </c>
      <c r="O203" s="1">
        <f t="shared" si="66"/>
        <v>177</v>
      </c>
      <c r="P203" s="19">
        <f t="shared" si="67"/>
        <v>69.896688620974189</v>
      </c>
      <c r="Q203" s="18">
        <f t="shared" si="68"/>
        <v>4.1659827982029309</v>
      </c>
      <c r="R203" s="2">
        <f t="shared" si="69"/>
        <v>0.92280734279880616</v>
      </c>
      <c r="S203" s="18">
        <f t="shared" si="70"/>
        <v>4.1813629205829113</v>
      </c>
      <c r="T203" s="18">
        <f t="shared" si="71"/>
        <v>1.3137520605090858</v>
      </c>
      <c r="U203" s="1">
        <f t="shared" si="61"/>
        <v>0</v>
      </c>
      <c r="V203" s="2">
        <f t="shared" si="72"/>
        <v>162.77510277495946</v>
      </c>
      <c r="W203" s="19">
        <f t="shared" si="73"/>
        <v>70.465412456692405</v>
      </c>
      <c r="X203" s="20"/>
      <c r="Y203" s="2">
        <f t="shared" si="74"/>
        <v>50.477019501557443</v>
      </c>
      <c r="Z203" s="21">
        <f t="shared" si="75"/>
        <v>1.0248341039840621</v>
      </c>
      <c r="AA203" s="2">
        <f t="shared" si="76"/>
        <v>38.992476138571305</v>
      </c>
      <c r="AB203" s="19">
        <f t="shared" si="79"/>
        <v>50.434805215462532</v>
      </c>
      <c r="AC203" s="2"/>
      <c r="AD203" s="18"/>
      <c r="AE203" s="118"/>
      <c r="AG203" s="2"/>
      <c r="AH203" s="19"/>
      <c r="AI203" s="20"/>
      <c r="AJ203" s="21"/>
      <c r="AK203" s="21"/>
      <c r="AM203" s="19"/>
      <c r="AN203" s="18"/>
      <c r="AO203" s="2"/>
      <c r="AP203" s="18"/>
      <c r="AQ203" s="118"/>
      <c r="AS203" s="2"/>
      <c r="AT203" s="19"/>
      <c r="AU203" s="20"/>
      <c r="AV203" s="21"/>
      <c r="AW203" s="21"/>
      <c r="AY203" s="19"/>
      <c r="AZ203" s="18"/>
      <c r="BA203" s="2"/>
      <c r="BB203" s="18"/>
      <c r="BC203" s="118"/>
      <c r="BE203" s="2"/>
      <c r="BF203" s="19"/>
      <c r="BG203" s="20"/>
      <c r="BH203" s="21"/>
      <c r="BI203" s="21"/>
      <c r="BK203" s="19"/>
      <c r="BL203" s="18"/>
      <c r="BM203" s="2"/>
      <c r="BN203" s="18"/>
      <c r="BO203" s="118"/>
      <c r="BQ203" s="2"/>
      <c r="BR203" s="19"/>
      <c r="BS203" s="20"/>
      <c r="BT203" s="21"/>
      <c r="BU203" s="21"/>
      <c r="BW203" s="19"/>
      <c r="BX203" s="18"/>
      <c r="BY203" s="2"/>
      <c r="BZ203" s="18"/>
      <c r="CA203" s="118"/>
      <c r="CC203" s="2"/>
      <c r="CD203" s="19"/>
      <c r="CE203" s="20"/>
      <c r="CF203" s="21"/>
      <c r="CG203" s="21"/>
      <c r="CI203" s="19"/>
      <c r="CJ203" s="18"/>
      <c r="CK203" s="2"/>
      <c r="CL203" s="18"/>
      <c r="CM203" s="118"/>
      <c r="CO203" s="2"/>
      <c r="CP203" s="19"/>
      <c r="CQ203" s="20"/>
      <c r="CR203" s="21"/>
      <c r="CS203" s="21"/>
    </row>
    <row r="204" spans="1:97" x14ac:dyDescent="0.25">
      <c r="A204" s="1">
        <f t="shared" si="62"/>
        <v>178</v>
      </c>
      <c r="B204" s="19">
        <f t="shared" si="63"/>
        <v>34.297421411133513</v>
      </c>
      <c r="C204" s="18">
        <f t="shared" si="77"/>
        <v>2.6780908298632773</v>
      </c>
      <c r="D204" s="2">
        <f t="shared" si="56"/>
        <v>0.90976063034304133</v>
      </c>
      <c r="E204" s="18">
        <f t="shared" si="64"/>
        <v>2.6932535070356614</v>
      </c>
      <c r="F204" s="21">
        <f t="shared" si="57"/>
        <v>0.55310798751235613</v>
      </c>
      <c r="G204" s="1">
        <f t="shared" si="58"/>
        <v>0</v>
      </c>
      <c r="H204" s="2">
        <f t="shared" si="54"/>
        <v>79.780151447230779</v>
      </c>
      <c r="I204" s="19">
        <f t="shared" si="80"/>
        <v>34.536862098368303</v>
      </c>
      <c r="J204" s="20">
        <f t="shared" si="59"/>
        <v>0.93363008473999765</v>
      </c>
      <c r="K204" s="21">
        <f t="shared" si="60"/>
        <v>14.540205576650919</v>
      </c>
      <c r="L204" s="21">
        <f t="shared" si="55"/>
        <v>0.42517949319940235</v>
      </c>
      <c r="M204" s="2">
        <f t="shared" si="65"/>
        <v>11.042821703585664</v>
      </c>
      <c r="N204" s="19">
        <f t="shared" si="78"/>
        <v>284.39162021591346</v>
      </c>
      <c r="O204" s="1">
        <f t="shared" si="66"/>
        <v>178</v>
      </c>
      <c r="P204" s="19">
        <f t="shared" si="67"/>
        <v>70.465412456692405</v>
      </c>
      <c r="Q204" s="18">
        <f t="shared" si="68"/>
        <v>4.1813629205829113</v>
      </c>
      <c r="R204" s="2">
        <f t="shared" si="69"/>
        <v>0.92295691819909464</v>
      </c>
      <c r="S204" s="18">
        <f t="shared" si="70"/>
        <v>4.1967455358862296</v>
      </c>
      <c r="T204" s="18">
        <f t="shared" si="71"/>
        <v>1.3232779065453042</v>
      </c>
      <c r="U204" s="1">
        <f t="shared" si="61"/>
        <v>0</v>
      </c>
      <c r="V204" s="2">
        <f t="shared" si="72"/>
        <v>164.09838068150478</v>
      </c>
      <c r="W204" s="19">
        <f t="shared" si="73"/>
        <v>71.038260035283457</v>
      </c>
      <c r="X204" s="20"/>
      <c r="Y204" s="2">
        <f t="shared" si="74"/>
        <v>51.049998835091557</v>
      </c>
      <c r="Z204" s="21">
        <f t="shared" si="75"/>
        <v>1.0323884000063135</v>
      </c>
      <c r="AA204" s="2">
        <f t="shared" si="76"/>
        <v>39.439397523855426</v>
      </c>
      <c r="AB204" s="19">
        <f t="shared" si="79"/>
        <v>50.611903948567516</v>
      </c>
      <c r="AC204" s="2"/>
      <c r="AD204" s="18"/>
      <c r="AE204" s="118"/>
      <c r="AG204" s="2"/>
      <c r="AH204" s="19"/>
      <c r="AI204" s="20"/>
      <c r="AJ204" s="21"/>
      <c r="AK204" s="21"/>
      <c r="AM204" s="19"/>
      <c r="AN204" s="18"/>
      <c r="AO204" s="2"/>
      <c r="AP204" s="18"/>
      <c r="AQ204" s="118"/>
      <c r="AS204" s="2"/>
      <c r="AT204" s="19"/>
      <c r="AU204" s="20"/>
      <c r="AV204" s="21"/>
      <c r="AW204" s="21"/>
      <c r="AY204" s="19"/>
      <c r="AZ204" s="18"/>
      <c r="BA204" s="2"/>
      <c r="BB204" s="18"/>
      <c r="BC204" s="118"/>
      <c r="BE204" s="2"/>
      <c r="BF204" s="19"/>
      <c r="BG204" s="20"/>
      <c r="BH204" s="21"/>
      <c r="BI204" s="21"/>
      <c r="BK204" s="19"/>
      <c r="BL204" s="18"/>
      <c r="BM204" s="2"/>
      <c r="BN204" s="18"/>
      <c r="BO204" s="118"/>
      <c r="BQ204" s="2"/>
      <c r="BR204" s="19"/>
      <c r="BS204" s="20"/>
      <c r="BT204" s="21"/>
      <c r="BU204" s="21"/>
      <c r="BW204" s="19"/>
      <c r="BX204" s="18"/>
      <c r="BY204" s="2"/>
      <c r="BZ204" s="18"/>
      <c r="CA204" s="118"/>
      <c r="CC204" s="2"/>
      <c r="CD204" s="19"/>
      <c r="CE204" s="20"/>
      <c r="CF204" s="21"/>
      <c r="CG204" s="21"/>
      <c r="CI204" s="19"/>
      <c r="CJ204" s="18"/>
      <c r="CK204" s="2"/>
      <c r="CL204" s="18"/>
      <c r="CM204" s="118"/>
      <c r="CO204" s="2"/>
      <c r="CP204" s="19"/>
      <c r="CQ204" s="20"/>
      <c r="CR204" s="21"/>
      <c r="CS204" s="21"/>
    </row>
    <row r="205" spans="1:97" x14ac:dyDescent="0.25">
      <c r="A205" s="1">
        <f t="shared" si="62"/>
        <v>179</v>
      </c>
      <c r="B205" s="19">
        <f t="shared" si="63"/>
        <v>34.536862098368303</v>
      </c>
      <c r="C205" s="18">
        <f t="shared" si="77"/>
        <v>2.6932535070356614</v>
      </c>
      <c r="D205" s="2">
        <f t="shared" si="56"/>
        <v>0.90988722408883327</v>
      </c>
      <c r="E205" s="18">
        <f t="shared" si="64"/>
        <v>2.7084182941038084</v>
      </c>
      <c r="F205" s="21">
        <f t="shared" si="57"/>
        <v>0.55924678182942489</v>
      </c>
      <c r="G205" s="1">
        <f t="shared" si="58"/>
        <v>0</v>
      </c>
      <c r="H205" s="2">
        <f t="shared" si="54"/>
        <v>80.339398229060208</v>
      </c>
      <c r="I205" s="19">
        <f t="shared" si="80"/>
        <v>34.778960272320433</v>
      </c>
      <c r="J205" s="20">
        <f t="shared" si="59"/>
        <v>0.93358917472408942</v>
      </c>
      <c r="K205" s="21">
        <f t="shared" si="60"/>
        <v>14.782359433183061</v>
      </c>
      <c r="L205" s="21">
        <f t="shared" si="55"/>
        <v>0.42998105310917412</v>
      </c>
      <c r="M205" s="2">
        <f t="shared" si="65"/>
        <v>11.22896068761561</v>
      </c>
      <c r="N205" s="19">
        <f t="shared" si="78"/>
        <v>284.66657171006466</v>
      </c>
      <c r="O205" s="1">
        <f t="shared" si="66"/>
        <v>179</v>
      </c>
      <c r="P205" s="19">
        <f t="shared" si="67"/>
        <v>71.038260035283457</v>
      </c>
      <c r="Q205" s="18">
        <f t="shared" si="68"/>
        <v>4.1967455358862296</v>
      </c>
      <c r="R205" s="2">
        <f t="shared" si="69"/>
        <v>0.92310638692318525</v>
      </c>
      <c r="S205" s="18">
        <f t="shared" si="70"/>
        <v>4.2121306423349489</v>
      </c>
      <c r="T205" s="18">
        <f t="shared" si="71"/>
        <v>1.3328392101692474</v>
      </c>
      <c r="U205" s="1">
        <f t="shared" si="61"/>
        <v>0</v>
      </c>
      <c r="V205" s="2">
        <f t="shared" si="72"/>
        <v>165.43121989167403</v>
      </c>
      <c r="W205" s="19">
        <f t="shared" si="73"/>
        <v>71.615246706352394</v>
      </c>
      <c r="X205" s="20"/>
      <c r="Y205" s="2">
        <f t="shared" si="74"/>
        <v>51.627118213094839</v>
      </c>
      <c r="Z205" s="21">
        <f t="shared" si="75"/>
        <v>1.0399716662628682</v>
      </c>
      <c r="AA205" s="2">
        <f t="shared" si="76"/>
        <v>39.889601708384809</v>
      </c>
      <c r="AB205" s="19">
        <f t="shared" si="79"/>
        <v>50.78835354970613</v>
      </c>
      <c r="AC205" s="2"/>
      <c r="AD205" s="18"/>
      <c r="AE205" s="118"/>
      <c r="AG205" s="2"/>
      <c r="AH205" s="19"/>
      <c r="AI205" s="20"/>
      <c r="AJ205" s="21"/>
      <c r="AK205" s="21"/>
      <c r="AM205" s="19"/>
      <c r="AN205" s="18"/>
      <c r="AO205" s="2"/>
      <c r="AP205" s="18"/>
      <c r="AQ205" s="118"/>
      <c r="AS205" s="2"/>
      <c r="AT205" s="19"/>
      <c r="AU205" s="20"/>
      <c r="AV205" s="21"/>
      <c r="AW205" s="21"/>
      <c r="AY205" s="19"/>
      <c r="AZ205" s="18"/>
      <c r="BA205" s="2"/>
      <c r="BB205" s="18"/>
      <c r="BC205" s="118"/>
      <c r="BE205" s="2"/>
      <c r="BF205" s="19"/>
      <c r="BG205" s="20"/>
      <c r="BH205" s="21"/>
      <c r="BI205" s="21"/>
      <c r="BK205" s="19"/>
      <c r="BL205" s="18"/>
      <c r="BM205" s="2"/>
      <c r="BN205" s="18"/>
      <c r="BO205" s="118"/>
      <c r="BQ205" s="2"/>
      <c r="BR205" s="19"/>
      <c r="BS205" s="20"/>
      <c r="BT205" s="21"/>
      <c r="BU205" s="21"/>
      <c r="BW205" s="19"/>
      <c r="BX205" s="18"/>
      <c r="BY205" s="2"/>
      <c r="BZ205" s="18"/>
      <c r="CA205" s="118"/>
      <c r="CC205" s="2"/>
      <c r="CD205" s="19"/>
      <c r="CE205" s="20"/>
      <c r="CF205" s="21"/>
      <c r="CG205" s="21"/>
      <c r="CI205" s="19"/>
      <c r="CJ205" s="18"/>
      <c r="CK205" s="2"/>
      <c r="CL205" s="18"/>
      <c r="CM205" s="118"/>
      <c r="CO205" s="2"/>
      <c r="CP205" s="19"/>
      <c r="CQ205" s="20"/>
      <c r="CR205" s="21"/>
      <c r="CS205" s="21"/>
    </row>
    <row r="206" spans="1:97" x14ac:dyDescent="0.25">
      <c r="A206" s="1">
        <f t="shared" si="62"/>
        <v>180</v>
      </c>
      <c r="B206" s="19">
        <f t="shared" si="63"/>
        <v>34.778960272320433</v>
      </c>
      <c r="C206" s="18">
        <f t="shared" si="77"/>
        <v>2.7084182941038084</v>
      </c>
      <c r="D206" s="2">
        <f t="shared" si="56"/>
        <v>0.91001435138069886</v>
      </c>
      <c r="E206" s="18">
        <f t="shared" si="64"/>
        <v>2.7235851999601532</v>
      </c>
      <c r="F206" s="21">
        <f t="shared" si="57"/>
        <v>0.56541979535226194</v>
      </c>
      <c r="G206" s="1">
        <f t="shared" si="58"/>
        <v>0</v>
      </c>
      <c r="H206" s="2">
        <f t="shared" si="54"/>
        <v>80.90481802441245</v>
      </c>
      <c r="I206" s="19">
        <f t="shared" si="80"/>
        <v>35.023730746498892</v>
      </c>
      <c r="J206" s="20">
        <f t="shared" si="59"/>
        <v>0.93354799403271815</v>
      </c>
      <c r="K206" s="21">
        <f t="shared" si="60"/>
        <v>15.02718620457059</v>
      </c>
      <c r="L206" s="21">
        <f t="shared" si="55"/>
        <v>0.4348102495681882</v>
      </c>
      <c r="M206" s="2">
        <f t="shared" si="65"/>
        <v>11.417190232883224</v>
      </c>
      <c r="N206" s="19">
        <f t="shared" si="78"/>
        <v>284.93998371496048</v>
      </c>
      <c r="O206" s="1">
        <f t="shared" si="66"/>
        <v>180</v>
      </c>
      <c r="P206" s="19">
        <f t="shared" si="67"/>
        <v>71.615246706352394</v>
      </c>
      <c r="Q206" s="18">
        <f t="shared" si="68"/>
        <v>4.2121306423349489</v>
      </c>
      <c r="R206" s="2">
        <f t="shared" si="69"/>
        <v>0.92325574632868135</v>
      </c>
      <c r="S206" s="18">
        <f t="shared" si="70"/>
        <v>4.2275182381070939</v>
      </c>
      <c r="T206" s="18">
        <f t="shared" si="71"/>
        <v>1.3424359833777411</v>
      </c>
      <c r="U206" s="1">
        <f t="shared" si="61"/>
        <v>0</v>
      </c>
      <c r="V206" s="2">
        <f t="shared" si="72"/>
        <v>166.77365587505179</v>
      </c>
      <c r="W206" s="19">
        <f t="shared" si="73"/>
        <v>72.196387824697737</v>
      </c>
      <c r="X206" s="20"/>
      <c r="Y206" s="2">
        <f t="shared" si="74"/>
        <v>52.208392993897398</v>
      </c>
      <c r="Z206" s="21">
        <f t="shared" si="75"/>
        <v>1.0475839153300919</v>
      </c>
      <c r="AA206" s="2">
        <f t="shared" si="76"/>
        <v>40.343101238830734</v>
      </c>
      <c r="AB206" s="19">
        <f t="shared" si="79"/>
        <v>50.964158656139602</v>
      </c>
      <c r="AC206" s="2"/>
      <c r="AD206" s="18"/>
      <c r="AE206" s="118"/>
      <c r="AG206" s="2"/>
      <c r="AH206" s="19"/>
      <c r="AI206" s="20"/>
      <c r="AJ206" s="21"/>
      <c r="AK206" s="21"/>
      <c r="AM206" s="19"/>
      <c r="AN206" s="18"/>
      <c r="AO206" s="2"/>
      <c r="AP206" s="18"/>
      <c r="AQ206" s="118"/>
      <c r="AS206" s="2"/>
      <c r="AT206" s="19"/>
      <c r="AU206" s="20"/>
      <c r="AV206" s="21"/>
      <c r="AW206" s="21"/>
      <c r="AY206" s="19"/>
      <c r="AZ206" s="18"/>
      <c r="BA206" s="2"/>
      <c r="BB206" s="18"/>
      <c r="BC206" s="118"/>
      <c r="BE206" s="2"/>
      <c r="BF206" s="19"/>
      <c r="BG206" s="20"/>
      <c r="BH206" s="21"/>
      <c r="BI206" s="21"/>
      <c r="BK206" s="19"/>
      <c r="BL206" s="18"/>
      <c r="BM206" s="2"/>
      <c r="BN206" s="18"/>
      <c r="BO206" s="118"/>
      <c r="BQ206" s="2"/>
      <c r="BR206" s="19"/>
      <c r="BS206" s="20"/>
      <c r="BT206" s="21"/>
      <c r="BU206" s="21"/>
      <c r="BW206" s="19"/>
      <c r="BX206" s="18"/>
      <c r="BY206" s="2"/>
      <c r="BZ206" s="18"/>
      <c r="CA206" s="118"/>
      <c r="CC206" s="2"/>
      <c r="CD206" s="19"/>
      <c r="CE206" s="20"/>
      <c r="CF206" s="21"/>
      <c r="CG206" s="21"/>
      <c r="CI206" s="19"/>
      <c r="CJ206" s="18"/>
      <c r="CK206" s="2"/>
      <c r="CL206" s="18"/>
      <c r="CM206" s="118"/>
      <c r="CO206" s="2"/>
      <c r="CP206" s="19"/>
      <c r="CQ206" s="20"/>
      <c r="CR206" s="21"/>
      <c r="CS206" s="21"/>
    </row>
    <row r="207" spans="1:97" x14ac:dyDescent="0.25">
      <c r="A207" s="1">
        <f t="shared" si="62"/>
        <v>181</v>
      </c>
      <c r="B207" s="19">
        <f t="shared" si="63"/>
        <v>35.023730746498892</v>
      </c>
      <c r="C207" s="18">
        <f t="shared" si="77"/>
        <v>2.7235851999601532</v>
      </c>
      <c r="D207" s="2">
        <f t="shared" si="56"/>
        <v>0.91014200329579698</v>
      </c>
      <c r="E207" s="18">
        <f t="shared" si="64"/>
        <v>2.7387542333484167</v>
      </c>
      <c r="F207" s="21">
        <f t="shared" si="57"/>
        <v>0.5716270403657453</v>
      </c>
      <c r="G207" s="1">
        <f t="shared" si="58"/>
        <v>0</v>
      </c>
      <c r="H207" s="2">
        <f t="shared" si="54"/>
        <v>81.476445064778176</v>
      </c>
      <c r="I207" s="19">
        <f t="shared" si="80"/>
        <v>35.271188339730813</v>
      </c>
      <c r="J207" s="20">
        <f t="shared" si="59"/>
        <v>0.93350654427806445</v>
      </c>
      <c r="K207" s="21">
        <f t="shared" si="60"/>
        <v>15.274700713048958</v>
      </c>
      <c r="L207" s="21">
        <f t="shared" si="55"/>
        <v>0.43966709668575549</v>
      </c>
      <c r="M207" s="2">
        <f t="shared" si="65"/>
        <v>11.607522309370564</v>
      </c>
      <c r="N207" s="19">
        <f t="shared" si="78"/>
        <v>285.21187316269953</v>
      </c>
      <c r="O207" s="1">
        <f t="shared" si="66"/>
        <v>181</v>
      </c>
      <c r="P207" s="19">
        <f t="shared" si="67"/>
        <v>72.196387824697737</v>
      </c>
      <c r="Q207" s="18">
        <f t="shared" si="68"/>
        <v>4.2275182381070939</v>
      </c>
      <c r="R207" s="2">
        <f t="shared" si="69"/>
        <v>0.92340499382599739</v>
      </c>
      <c r="S207" s="18">
        <f t="shared" si="70"/>
        <v>4.2429083213375272</v>
      </c>
      <c r="T207" s="18">
        <f t="shared" si="71"/>
        <v>1.352068238137891</v>
      </c>
      <c r="U207" s="1">
        <f t="shared" si="61"/>
        <v>0</v>
      </c>
      <c r="V207" s="2">
        <f t="shared" si="72"/>
        <v>168.12572411318968</v>
      </c>
      <c r="W207" s="19">
        <f t="shared" si="73"/>
        <v>72.78169875029856</v>
      </c>
      <c r="X207" s="20"/>
      <c r="Y207" s="2">
        <f t="shared" si="74"/>
        <v>52.793838541011105</v>
      </c>
      <c r="Z207" s="21">
        <f t="shared" si="75"/>
        <v>1.0552251597519158</v>
      </c>
      <c r="AA207" s="2">
        <f t="shared" si="76"/>
        <v>40.799908667294766</v>
      </c>
      <c r="AB207" s="19">
        <f t="shared" si="79"/>
        <v>51.139323855715176</v>
      </c>
      <c r="AC207" s="2"/>
      <c r="AD207" s="18"/>
      <c r="AE207" s="118"/>
      <c r="AG207" s="2"/>
      <c r="AH207" s="19"/>
      <c r="AI207" s="20"/>
      <c r="AJ207" s="21"/>
      <c r="AK207" s="21"/>
      <c r="AM207" s="19"/>
      <c r="AN207" s="18"/>
      <c r="AO207" s="2"/>
      <c r="AP207" s="18"/>
      <c r="AQ207" s="118"/>
      <c r="AS207" s="2"/>
      <c r="AT207" s="19"/>
      <c r="AU207" s="20"/>
      <c r="AV207" s="21"/>
      <c r="AW207" s="21"/>
      <c r="AY207" s="19"/>
      <c r="AZ207" s="18"/>
      <c r="BA207" s="2"/>
      <c r="BB207" s="18"/>
      <c r="BC207" s="118"/>
      <c r="BE207" s="2"/>
      <c r="BF207" s="19"/>
      <c r="BG207" s="20"/>
      <c r="BH207" s="21"/>
      <c r="BI207" s="21"/>
      <c r="BK207" s="19"/>
      <c r="BL207" s="18"/>
      <c r="BM207" s="2"/>
      <c r="BN207" s="18"/>
      <c r="BO207" s="118"/>
      <c r="BQ207" s="2"/>
      <c r="BR207" s="19"/>
      <c r="BS207" s="20"/>
      <c r="BT207" s="21"/>
      <c r="BU207" s="21"/>
      <c r="BW207" s="19"/>
      <c r="BX207" s="18"/>
      <c r="BY207" s="2"/>
      <c r="BZ207" s="18"/>
      <c r="CA207" s="118"/>
      <c r="CC207" s="2"/>
      <c r="CD207" s="19"/>
      <c r="CE207" s="20"/>
      <c r="CF207" s="21"/>
      <c r="CG207" s="21"/>
      <c r="CI207" s="19"/>
      <c r="CJ207" s="18"/>
      <c r="CK207" s="2"/>
      <c r="CL207" s="18"/>
      <c r="CM207" s="118"/>
      <c r="CO207" s="2"/>
      <c r="CP207" s="19"/>
      <c r="CQ207" s="20"/>
      <c r="CR207" s="21"/>
      <c r="CS207" s="21"/>
    </row>
    <row r="208" spans="1:97" x14ac:dyDescent="0.25">
      <c r="A208" s="1">
        <f t="shared" si="62"/>
        <v>182</v>
      </c>
      <c r="B208" s="19">
        <f t="shared" si="63"/>
        <v>35.271188339730813</v>
      </c>
      <c r="C208" s="18">
        <f t="shared" si="77"/>
        <v>2.7387542333484167</v>
      </c>
      <c r="D208" s="2">
        <f t="shared" si="56"/>
        <v>0.91027017093046059</v>
      </c>
      <c r="E208" s="18">
        <f t="shared" si="64"/>
        <v>2.7539254028639242</v>
      </c>
      <c r="F208" s="21">
        <f t="shared" si="57"/>
        <v>0.57786852920168763</v>
      </c>
      <c r="G208" s="1">
        <f t="shared" si="58"/>
        <v>0</v>
      </c>
      <c r="H208" s="2">
        <f t="shared" si="54"/>
        <v>82.05431359397987</v>
      </c>
      <c r="I208" s="19">
        <f t="shared" si="80"/>
        <v>35.521347876181764</v>
      </c>
      <c r="J208" s="20">
        <f t="shared" si="59"/>
        <v>0.93346482708886303</v>
      </c>
      <c r="K208" s="21">
        <f t="shared" si="60"/>
        <v>15.524917786193289</v>
      </c>
      <c r="L208" s="21">
        <f t="shared" si="55"/>
        <v>0.44455160858706017</v>
      </c>
      <c r="M208" s="2">
        <f t="shared" si="65"/>
        <v>11.799968893174487</v>
      </c>
      <c r="N208" s="19">
        <f t="shared" si="78"/>
        <v>285.48225670674685</v>
      </c>
      <c r="O208" s="1">
        <f t="shared" si="66"/>
        <v>182</v>
      </c>
      <c r="P208" s="19">
        <f t="shared" si="67"/>
        <v>72.78169875029856</v>
      </c>
      <c r="Q208" s="18">
        <f t="shared" si="68"/>
        <v>4.2429083213375272</v>
      </c>
      <c r="R208" s="2">
        <f t="shared" si="69"/>
        <v>0.9235541268776406</v>
      </c>
      <c r="S208" s="18">
        <f t="shared" si="70"/>
        <v>4.2583008901188215</v>
      </c>
      <c r="T208" s="18">
        <f t="shared" si="71"/>
        <v>1.3617359863870642</v>
      </c>
      <c r="U208" s="1">
        <f t="shared" si="61"/>
        <v>0</v>
      </c>
      <c r="V208" s="2">
        <f t="shared" si="72"/>
        <v>169.48746009957674</v>
      </c>
      <c r="W208" s="19">
        <f t="shared" si="73"/>
        <v>73.371194848301613</v>
      </c>
      <c r="X208" s="20"/>
      <c r="Y208" s="2">
        <f t="shared" si="74"/>
        <v>53.383470223116703</v>
      </c>
      <c r="Z208" s="21">
        <f t="shared" si="75"/>
        <v>1.0628954120398755</v>
      </c>
      <c r="AA208" s="2">
        <f t="shared" si="76"/>
        <v>41.260036551294711</v>
      </c>
      <c r="AB208" s="19">
        <f t="shared" si="79"/>
        <v>51.313853687567388</v>
      </c>
      <c r="AC208" s="2"/>
      <c r="AD208" s="18"/>
      <c r="AE208" s="118"/>
      <c r="AG208" s="2"/>
      <c r="AH208" s="19"/>
      <c r="AI208" s="20"/>
      <c r="AJ208" s="21"/>
      <c r="AK208" s="21"/>
      <c r="AM208" s="19"/>
      <c r="AN208" s="18"/>
      <c r="AO208" s="2"/>
      <c r="AP208" s="18"/>
      <c r="AQ208" s="118"/>
      <c r="AS208" s="2"/>
      <c r="AT208" s="19"/>
      <c r="AU208" s="20"/>
      <c r="AV208" s="21"/>
      <c r="AW208" s="21"/>
      <c r="AY208" s="19"/>
      <c r="AZ208" s="18"/>
      <c r="BA208" s="2"/>
      <c r="BB208" s="18"/>
      <c r="BC208" s="118"/>
      <c r="BE208" s="2"/>
      <c r="BF208" s="19"/>
      <c r="BG208" s="20"/>
      <c r="BH208" s="21"/>
      <c r="BI208" s="21"/>
      <c r="BK208" s="19"/>
      <c r="BL208" s="18"/>
      <c r="BM208" s="2"/>
      <c r="BN208" s="18"/>
      <c r="BO208" s="118"/>
      <c r="BQ208" s="2"/>
      <c r="BR208" s="19"/>
      <c r="BS208" s="20"/>
      <c r="BT208" s="21"/>
      <c r="BU208" s="21"/>
      <c r="BW208" s="19"/>
      <c r="BX208" s="18"/>
      <c r="BY208" s="2"/>
      <c r="BZ208" s="18"/>
      <c r="CA208" s="118"/>
      <c r="CC208" s="2"/>
      <c r="CD208" s="19"/>
      <c r="CE208" s="20"/>
      <c r="CF208" s="21"/>
      <c r="CG208" s="21"/>
      <c r="CI208" s="19"/>
      <c r="CJ208" s="18"/>
      <c r="CK208" s="2"/>
      <c r="CL208" s="18"/>
      <c r="CM208" s="118"/>
      <c r="CO208" s="2"/>
      <c r="CP208" s="19"/>
      <c r="CQ208" s="20"/>
      <c r="CR208" s="21"/>
      <c r="CS208" s="21"/>
    </row>
    <row r="209" spans="1:97" x14ac:dyDescent="0.25">
      <c r="A209" s="1">
        <f t="shared" si="62"/>
        <v>183</v>
      </c>
      <c r="B209" s="19">
        <f t="shared" si="63"/>
        <v>35.521347876181764</v>
      </c>
      <c r="C209" s="18">
        <f t="shared" si="77"/>
        <v>2.7539254028639242</v>
      </c>
      <c r="D209" s="2">
        <f t="shared" si="56"/>
        <v>0.91039884540280736</v>
      </c>
      <c r="E209" s="18">
        <f t="shared" si="64"/>
        <v>2.7690987169539709</v>
      </c>
      <c r="F209" s="21">
        <f t="shared" si="57"/>
        <v>0.58414427423700022</v>
      </c>
      <c r="G209" s="1">
        <f t="shared" si="58"/>
        <v>0</v>
      </c>
      <c r="H209" s="2">
        <f t="shared" si="54"/>
        <v>82.638457868216875</v>
      </c>
      <c r="I209" s="19">
        <f t="shared" si="80"/>
        <v>35.774224185375267</v>
      </c>
      <c r="J209" s="20">
        <f t="shared" si="59"/>
        <v>0.93342284410980969</v>
      </c>
      <c r="K209" s="21">
        <f t="shared" si="60"/>
        <v>15.77785225693791</v>
      </c>
      <c r="L209" s="21">
        <f t="shared" si="55"/>
        <v>0.449463799411982</v>
      </c>
      <c r="M209" s="2">
        <f t="shared" si="65"/>
        <v>11.994541966513008</v>
      </c>
      <c r="N209" s="19">
        <f t="shared" si="78"/>
        <v>285.75115072802907</v>
      </c>
      <c r="O209" s="1">
        <f t="shared" si="66"/>
        <v>183</v>
      </c>
      <c r="P209" s="19">
        <f t="shared" si="67"/>
        <v>73.371194848301613</v>
      </c>
      <c r="Q209" s="18">
        <f t="shared" si="68"/>
        <v>4.2583008901188215</v>
      </c>
      <c r="R209" s="2">
        <f t="shared" si="69"/>
        <v>0.92370314299749634</v>
      </c>
      <c r="S209" s="18">
        <f t="shared" si="70"/>
        <v>4.2736959425021128</v>
      </c>
      <c r="T209" s="18">
        <f t="shared" si="71"/>
        <v>1.3714392400328714</v>
      </c>
      <c r="U209" s="1">
        <f t="shared" si="61"/>
        <v>0</v>
      </c>
      <c r="V209" s="2">
        <f t="shared" si="72"/>
        <v>170.85889933960962</v>
      </c>
      <c r="W209" s="19">
        <f t="shared" si="73"/>
        <v>73.964891489008494</v>
      </c>
      <c r="X209" s="20"/>
      <c r="Y209" s="2">
        <f t="shared" si="74"/>
        <v>53.977303414050937</v>
      </c>
      <c r="Z209" s="21">
        <f t="shared" si="75"/>
        <v>1.0705946846731522</v>
      </c>
      <c r="AA209" s="2">
        <f t="shared" si="76"/>
        <v>41.723497453750618</v>
      </c>
      <c r="AB209" s="19">
        <f t="shared" si="79"/>
        <v>51.48775264280696</v>
      </c>
      <c r="AC209" s="2"/>
      <c r="AD209" s="18"/>
      <c r="AE209" s="118"/>
      <c r="AG209" s="2"/>
      <c r="AH209" s="19"/>
      <c r="AI209" s="20"/>
      <c r="AJ209" s="21"/>
      <c r="AK209" s="21"/>
      <c r="AM209" s="19"/>
      <c r="AN209" s="18"/>
      <c r="AO209" s="2"/>
      <c r="AP209" s="18"/>
      <c r="AQ209" s="118"/>
      <c r="AS209" s="2"/>
      <c r="AT209" s="19"/>
      <c r="AU209" s="20"/>
      <c r="AV209" s="21"/>
      <c r="AW209" s="21"/>
      <c r="AY209" s="19"/>
      <c r="AZ209" s="18"/>
      <c r="BA209" s="2"/>
      <c r="BB209" s="18"/>
      <c r="BC209" s="118"/>
      <c r="BE209" s="2"/>
      <c r="BF209" s="19"/>
      <c r="BG209" s="20"/>
      <c r="BH209" s="21"/>
      <c r="BI209" s="21"/>
      <c r="BK209" s="19"/>
      <c r="BL209" s="18"/>
      <c r="BM209" s="2"/>
      <c r="BN209" s="18"/>
      <c r="BO209" s="118"/>
      <c r="BQ209" s="2"/>
      <c r="BR209" s="19"/>
      <c r="BS209" s="20"/>
      <c r="BT209" s="21"/>
      <c r="BU209" s="21"/>
      <c r="BW209" s="19"/>
      <c r="BX209" s="18"/>
      <c r="BY209" s="2"/>
      <c r="BZ209" s="18"/>
      <c r="CA209" s="118"/>
      <c r="CC209" s="2"/>
      <c r="CD209" s="19"/>
      <c r="CE209" s="20"/>
      <c r="CF209" s="21"/>
      <c r="CG209" s="21"/>
      <c r="CI209" s="19"/>
      <c r="CJ209" s="18"/>
      <c r="CK209" s="2"/>
      <c r="CL209" s="18"/>
      <c r="CM209" s="118"/>
      <c r="CO209" s="2"/>
      <c r="CP209" s="19"/>
      <c r="CQ209" s="20"/>
      <c r="CR209" s="21"/>
      <c r="CS209" s="21"/>
    </row>
    <row r="210" spans="1:97" x14ac:dyDescent="0.25">
      <c r="A210" s="1">
        <f t="shared" si="62"/>
        <v>184</v>
      </c>
      <c r="B210" s="19">
        <f t="shared" si="63"/>
        <v>35.774224185375267</v>
      </c>
      <c r="C210" s="18">
        <f t="shared" si="77"/>
        <v>2.7690987169539709</v>
      </c>
      <c r="D210" s="2">
        <f t="shared" si="56"/>
        <v>0.91052801785528015</v>
      </c>
      <c r="E210" s="18">
        <f t="shared" si="64"/>
        <v>2.7842741839182255</v>
      </c>
      <c r="F210" s="21">
        <f t="shared" si="57"/>
        <v>0.59045428789188037</v>
      </c>
      <c r="G210" s="1">
        <f t="shared" si="58"/>
        <v>0</v>
      </c>
      <c r="H210" s="2">
        <f t="shared" si="54"/>
        <v>83.228912156108748</v>
      </c>
      <c r="I210" s="19">
        <f t="shared" si="80"/>
        <v>36.029832102211579</v>
      </c>
      <c r="J210" s="20">
        <f t="shared" si="59"/>
        <v>0.93338059700097664</v>
      </c>
      <c r="K210" s="21">
        <f t="shared" si="60"/>
        <v>16.033518963595096</v>
      </c>
      <c r="L210" s="21">
        <f t="shared" si="55"/>
        <v>0.45440368331393077</v>
      </c>
      <c r="M210" s="2">
        <f t="shared" si="65"/>
        <v>12.191253517731161</v>
      </c>
      <c r="N210" s="19">
        <f t="shared" si="78"/>
        <v>286.01857134086367</v>
      </c>
      <c r="O210" s="1">
        <f t="shared" si="66"/>
        <v>184</v>
      </c>
      <c r="P210" s="19">
        <f t="shared" si="67"/>
        <v>73.964891489008494</v>
      </c>
      <c r="Q210" s="18">
        <f t="shared" si="68"/>
        <v>4.2736959425021128</v>
      </c>
      <c r="R210" s="2">
        <f t="shared" si="69"/>
        <v>0.92385203975011931</v>
      </c>
      <c r="S210" s="18">
        <f t="shared" si="70"/>
        <v>4.289093476497948</v>
      </c>
      <c r="T210" s="18">
        <f t="shared" si="71"/>
        <v>1.3811780109531613</v>
      </c>
      <c r="U210" s="1">
        <f t="shared" si="61"/>
        <v>0</v>
      </c>
      <c r="V210" s="2">
        <f t="shared" si="72"/>
        <v>172.24007735056279</v>
      </c>
      <c r="W210" s="19">
        <f t="shared" si="73"/>
        <v>74.56280404786267</v>
      </c>
      <c r="X210" s="20"/>
      <c r="Y210" s="2">
        <f t="shared" si="74"/>
        <v>54.575353492793653</v>
      </c>
      <c r="Z210" s="21">
        <f t="shared" si="75"/>
        <v>1.0783229900986204</v>
      </c>
      <c r="AA210" s="2">
        <f t="shared" si="76"/>
        <v>42.1903039429708</v>
      </c>
      <c r="AB210" s="19">
        <f t="shared" si="79"/>
        <v>51.661025165197465</v>
      </c>
      <c r="AC210" s="2"/>
      <c r="AD210" s="18"/>
      <c r="AE210" s="118"/>
      <c r="AG210" s="2"/>
      <c r="AH210" s="19"/>
      <c r="AI210" s="20"/>
      <c r="AJ210" s="21"/>
      <c r="AK210" s="21"/>
      <c r="AM210" s="19"/>
      <c r="AN210" s="18"/>
      <c r="AO210" s="2"/>
      <c r="AP210" s="18"/>
      <c r="AQ210" s="118"/>
      <c r="AS210" s="2"/>
      <c r="AT210" s="19"/>
      <c r="AU210" s="20"/>
      <c r="AV210" s="21"/>
      <c r="AW210" s="21"/>
      <c r="AY210" s="19"/>
      <c r="AZ210" s="18"/>
      <c r="BA210" s="2"/>
      <c r="BB210" s="18"/>
      <c r="BC210" s="118"/>
      <c r="BE210" s="2"/>
      <c r="BF210" s="19"/>
      <c r="BG210" s="20"/>
      <c r="BH210" s="21"/>
      <c r="BI210" s="21"/>
      <c r="BK210" s="19"/>
      <c r="BL210" s="18"/>
      <c r="BM210" s="2"/>
      <c r="BN210" s="18"/>
      <c r="BO210" s="118"/>
      <c r="BQ210" s="2"/>
      <c r="BR210" s="19"/>
      <c r="BS210" s="20"/>
      <c r="BT210" s="21"/>
      <c r="BU210" s="21"/>
      <c r="BW210" s="19"/>
      <c r="BX210" s="18"/>
      <c r="BY210" s="2"/>
      <c r="BZ210" s="18"/>
      <c r="CA210" s="118"/>
      <c r="CC210" s="2"/>
      <c r="CD210" s="19"/>
      <c r="CE210" s="20"/>
      <c r="CF210" s="21"/>
      <c r="CG210" s="21"/>
      <c r="CI210" s="19"/>
      <c r="CJ210" s="18"/>
      <c r="CK210" s="2"/>
      <c r="CL210" s="18"/>
      <c r="CM210" s="118"/>
      <c r="CO210" s="2"/>
      <c r="CP210" s="19"/>
      <c r="CQ210" s="20"/>
      <c r="CR210" s="21"/>
      <c r="CS210" s="21"/>
    </row>
    <row r="211" spans="1:97" x14ac:dyDescent="0.25">
      <c r="A211" s="1">
        <f t="shared" si="62"/>
        <v>185</v>
      </c>
      <c r="B211" s="19">
        <f t="shared" si="63"/>
        <v>36.029832102211579</v>
      </c>
      <c r="C211" s="18">
        <f t="shared" si="77"/>
        <v>2.7842741839182255</v>
      </c>
      <c r="D211" s="2">
        <f t="shared" si="56"/>
        <v>0.91065767945711584</v>
      </c>
      <c r="E211" s="18">
        <f t="shared" si="64"/>
        <v>2.7994518119091776</v>
      </c>
      <c r="F211" s="21">
        <f t="shared" si="57"/>
        <v>0.59679858262803398</v>
      </c>
      <c r="G211" s="1">
        <f t="shared" si="58"/>
        <v>0</v>
      </c>
      <c r="H211" s="2">
        <f t="shared" si="54"/>
        <v>83.825710738736788</v>
      </c>
      <c r="I211" s="19">
        <f t="shared" si="80"/>
        <v>36.288186466985621</v>
      </c>
      <c r="J211" s="20">
        <f t="shared" si="59"/>
        <v>0.93333808743723012</v>
      </c>
      <c r="K211" s="21">
        <f t="shared" si="60"/>
        <v>16.291932749873034</v>
      </c>
      <c r="L211" s="21">
        <f t="shared" si="55"/>
        <v>0.45937127445870379</v>
      </c>
      <c r="M211" s="2">
        <f t="shared" si="65"/>
        <v>12.390115541306358</v>
      </c>
      <c r="N211" s="19">
        <f t="shared" si="78"/>
        <v>286.28453439872794</v>
      </c>
      <c r="O211" s="1">
        <f t="shared" si="66"/>
        <v>185</v>
      </c>
      <c r="P211" s="19">
        <f t="shared" si="67"/>
        <v>74.56280404786267</v>
      </c>
      <c r="Q211" s="18">
        <f t="shared" si="68"/>
        <v>4.289093476497948</v>
      </c>
      <c r="R211" s="2">
        <f t="shared" si="69"/>
        <v>0.92400081475002904</v>
      </c>
      <c r="S211" s="18">
        <f t="shared" si="70"/>
        <v>4.3044934900771148</v>
      </c>
      <c r="T211" s="18">
        <f t="shared" si="71"/>
        <v>1.3909523109960094</v>
      </c>
      <c r="U211" s="1">
        <f t="shared" si="61"/>
        <v>0</v>
      </c>
      <c r="V211" s="2">
        <f t="shared" si="72"/>
        <v>173.63102966155878</v>
      </c>
      <c r="W211" s="19">
        <f t="shared" si="73"/>
        <v>75.164947905436705</v>
      </c>
      <c r="X211" s="20"/>
      <c r="Y211" s="2">
        <f t="shared" si="74"/>
        <v>55.177635843454922</v>
      </c>
      <c r="Z211" s="21">
        <f t="shared" si="75"/>
        <v>1.0860803407308925</v>
      </c>
      <c r="AA211" s="2">
        <f t="shared" si="76"/>
        <v>42.660468592637855</v>
      </c>
      <c r="AB211" s="19">
        <f t="shared" si="79"/>
        <v>51.833675651820116</v>
      </c>
      <c r="AC211" s="2"/>
      <c r="AD211" s="18"/>
      <c r="AE211" s="118"/>
      <c r="AG211" s="2"/>
      <c r="AH211" s="19"/>
      <c r="AI211" s="20"/>
      <c r="AJ211" s="21"/>
      <c r="AK211" s="21"/>
      <c r="AM211" s="19"/>
      <c r="AN211" s="18"/>
      <c r="AO211" s="2"/>
      <c r="AP211" s="18"/>
      <c r="AQ211" s="118"/>
      <c r="AS211" s="2"/>
      <c r="AT211" s="19"/>
      <c r="AU211" s="20"/>
      <c r="AV211" s="21"/>
      <c r="AW211" s="21"/>
      <c r="AY211" s="19"/>
      <c r="AZ211" s="18"/>
      <c r="BA211" s="2"/>
      <c r="BB211" s="18"/>
      <c r="BC211" s="118"/>
      <c r="BE211" s="2"/>
      <c r="BF211" s="19"/>
      <c r="BG211" s="20"/>
      <c r="BH211" s="21"/>
      <c r="BI211" s="21"/>
      <c r="BK211" s="19"/>
      <c r="BL211" s="18"/>
      <c r="BM211" s="2"/>
      <c r="BN211" s="18"/>
      <c r="BO211" s="118"/>
      <c r="BQ211" s="2"/>
      <c r="BR211" s="19"/>
      <c r="BS211" s="20"/>
      <c r="BT211" s="21"/>
      <c r="BU211" s="21"/>
      <c r="BW211" s="19"/>
      <c r="BX211" s="18"/>
      <c r="BY211" s="2"/>
      <c r="BZ211" s="18"/>
      <c r="CA211" s="118"/>
      <c r="CC211" s="2"/>
      <c r="CD211" s="19"/>
      <c r="CE211" s="20"/>
      <c r="CF211" s="21"/>
      <c r="CG211" s="21"/>
      <c r="CI211" s="19"/>
      <c r="CJ211" s="18"/>
      <c r="CK211" s="2"/>
      <c r="CL211" s="18"/>
      <c r="CM211" s="118"/>
      <c r="CO211" s="2"/>
      <c r="CP211" s="19"/>
      <c r="CQ211" s="20"/>
      <c r="CR211" s="21"/>
      <c r="CS211" s="21"/>
    </row>
    <row r="212" spans="1:97" x14ac:dyDescent="0.25">
      <c r="A212" s="1">
        <f t="shared" si="62"/>
        <v>186</v>
      </c>
      <c r="B212" s="19">
        <f t="shared" si="63"/>
        <v>36.288186466985621</v>
      </c>
      <c r="C212" s="18">
        <f t="shared" si="77"/>
        <v>2.7994518119091776</v>
      </c>
      <c r="D212" s="2">
        <f t="shared" si="56"/>
        <v>0.9107878214067443</v>
      </c>
      <c r="E212" s="18">
        <f t="shared" si="64"/>
        <v>2.8146316089326233</v>
      </c>
      <c r="F212" s="21">
        <f t="shared" si="57"/>
        <v>0.60317717094692069</v>
      </c>
      <c r="G212" s="1">
        <f t="shared" si="58"/>
        <v>0</v>
      </c>
      <c r="H212" s="2">
        <f t="shared" si="54"/>
        <v>84.428887909683709</v>
      </c>
      <c r="I212" s="19">
        <f t="shared" si="80"/>
        <v>36.549302125404203</v>
      </c>
      <c r="J212" s="20">
        <f t="shared" si="59"/>
        <v>0.93329531710765445</v>
      </c>
      <c r="K212" s="21">
        <f t="shared" si="60"/>
        <v>16.55310846489305</v>
      </c>
      <c r="L212" s="21">
        <f t="shared" si="55"/>
        <v>0.46436658702335482</v>
      </c>
      <c r="M212" s="2">
        <f t="shared" si="65"/>
        <v>12.591140037853265</v>
      </c>
      <c r="N212" s="19">
        <f t="shared" si="78"/>
        <v>286.54905549987251</v>
      </c>
      <c r="O212" s="1">
        <f t="shared" si="66"/>
        <v>186</v>
      </c>
      <c r="P212" s="19">
        <f t="shared" si="67"/>
        <v>75.164947905436705</v>
      </c>
      <c r="Q212" s="18">
        <f t="shared" si="68"/>
        <v>4.3044934900771148</v>
      </c>
      <c r="R212" s="2">
        <f t="shared" si="69"/>
        <v>0.92414946566100897</v>
      </c>
      <c r="S212" s="18">
        <f t="shared" si="70"/>
        <v>4.3198959811714648</v>
      </c>
      <c r="T212" s="18">
        <f t="shared" si="71"/>
        <v>1.4007621519797191</v>
      </c>
      <c r="U212" s="1">
        <f t="shared" si="61"/>
        <v>0</v>
      </c>
      <c r="V212" s="2">
        <f t="shared" si="72"/>
        <v>175.03179181353849</v>
      </c>
      <c r="W212" s="19">
        <f t="shared" si="73"/>
        <v>75.771338447419254</v>
      </c>
      <c r="X212" s="20"/>
      <c r="Y212" s="2">
        <f t="shared" si="74"/>
        <v>55.784165855262138</v>
      </c>
      <c r="Z212" s="21">
        <f t="shared" si="75"/>
        <v>1.0938667489523717</v>
      </c>
      <c r="AA212" s="2">
        <f t="shared" si="76"/>
        <v>43.134003981794727</v>
      </c>
      <c r="AB212" s="19">
        <f t="shared" si="79"/>
        <v>52.005708453726882</v>
      </c>
      <c r="AC212" s="2"/>
      <c r="AD212" s="18"/>
      <c r="AE212" s="118"/>
      <c r="AG212" s="2"/>
      <c r="AH212" s="19"/>
      <c r="AI212" s="20"/>
      <c r="AJ212" s="21"/>
      <c r="AK212" s="21"/>
      <c r="AM212" s="19"/>
      <c r="AN212" s="18"/>
      <c r="AO212" s="2"/>
      <c r="AP212" s="18"/>
      <c r="AQ212" s="118"/>
      <c r="AS212" s="2"/>
      <c r="AT212" s="19"/>
      <c r="AU212" s="20"/>
      <c r="AV212" s="21"/>
      <c r="AW212" s="21"/>
      <c r="AY212" s="19"/>
      <c r="AZ212" s="18"/>
      <c r="BA212" s="2"/>
      <c r="BB212" s="18"/>
      <c r="BC212" s="118"/>
      <c r="BE212" s="2"/>
      <c r="BF212" s="19"/>
      <c r="BG212" s="20"/>
      <c r="BH212" s="21"/>
      <c r="BI212" s="21"/>
      <c r="BK212" s="19"/>
      <c r="BL212" s="18"/>
      <c r="BM212" s="2"/>
      <c r="BN212" s="18"/>
      <c r="BO212" s="118"/>
      <c r="BQ212" s="2"/>
      <c r="BR212" s="19"/>
      <c r="BS212" s="20"/>
      <c r="BT212" s="21"/>
      <c r="BU212" s="21"/>
      <c r="BW212" s="19"/>
      <c r="BX212" s="18"/>
      <c r="BY212" s="2"/>
      <c r="BZ212" s="18"/>
      <c r="CA212" s="118"/>
      <c r="CC212" s="2"/>
      <c r="CD212" s="19"/>
      <c r="CE212" s="20"/>
      <c r="CF212" s="21"/>
      <c r="CG212" s="21"/>
      <c r="CI212" s="19"/>
      <c r="CJ212" s="18"/>
      <c r="CK212" s="2"/>
      <c r="CL212" s="18"/>
      <c r="CM212" s="118"/>
      <c r="CO212" s="2"/>
      <c r="CP212" s="19"/>
      <c r="CQ212" s="20"/>
      <c r="CR212" s="21"/>
      <c r="CS212" s="21"/>
    </row>
    <row r="213" spans="1:97" x14ac:dyDescent="0.25">
      <c r="A213" s="1">
        <f t="shared" si="62"/>
        <v>187</v>
      </c>
      <c r="B213" s="19">
        <f t="shared" si="63"/>
        <v>36.549302125404203</v>
      </c>
      <c r="C213" s="18">
        <f t="shared" si="77"/>
        <v>2.8146316089326233</v>
      </c>
      <c r="D213" s="2">
        <f t="shared" si="56"/>
        <v>0.91091843493411573</v>
      </c>
      <c r="E213" s="18">
        <f t="shared" si="64"/>
        <v>2.8298135828481921</v>
      </c>
      <c r="F213" s="21">
        <f t="shared" si="57"/>
        <v>0.60959006538803484</v>
      </c>
      <c r="G213" s="1">
        <f t="shared" si="58"/>
        <v>0</v>
      </c>
      <c r="H213" s="2">
        <f t="shared" si="54"/>
        <v>85.038477975071743</v>
      </c>
      <c r="I213" s="19">
        <f t="shared" si="80"/>
        <v>36.813193928602487</v>
      </c>
      <c r="J213" s="20">
        <f t="shared" si="59"/>
        <v>0.93325228771498026</v>
      </c>
      <c r="K213" s="21">
        <f t="shared" si="60"/>
        <v>16.817060963206071</v>
      </c>
      <c r="L213" s="21">
        <f t="shared" si="55"/>
        <v>0.46938963519508603</v>
      </c>
      <c r="M213" s="2">
        <f t="shared" si="65"/>
        <v>12.794339014128195</v>
      </c>
      <c r="N213" s="19">
        <f t="shared" si="78"/>
        <v>286.81214999278495</v>
      </c>
      <c r="O213" s="1">
        <f t="shared" si="66"/>
        <v>187</v>
      </c>
      <c r="P213" s="19">
        <f t="shared" si="67"/>
        <v>75.771338447419254</v>
      </c>
      <c r="Q213" s="18">
        <f t="shared" si="68"/>
        <v>4.3198959811714648</v>
      </c>
      <c r="R213" s="2">
        <f t="shared" si="69"/>
        <v>0.92429799019541314</v>
      </c>
      <c r="S213" s="18">
        <f t="shared" si="70"/>
        <v>4.335300947674722</v>
      </c>
      <c r="T213" s="18">
        <f t="shared" si="71"/>
        <v>1.4106075456928253</v>
      </c>
      <c r="U213" s="1">
        <f t="shared" si="61"/>
        <v>0</v>
      </c>
      <c r="V213" s="2">
        <f t="shared" si="72"/>
        <v>176.4423993592313</v>
      </c>
      <c r="W213" s="19">
        <f t="shared" si="73"/>
        <v>76.381991064602289</v>
      </c>
      <c r="X213" s="20"/>
      <c r="Y213" s="2">
        <f t="shared" si="74"/>
        <v>56.394958922547133</v>
      </c>
      <c r="Z213" s="21">
        <f t="shared" si="75"/>
        <v>1.1016822271133062</v>
      </c>
      <c r="AA213" s="2">
        <f t="shared" si="76"/>
        <v>43.610922694830791</v>
      </c>
      <c r="AB213" s="19">
        <f t="shared" si="79"/>
        <v>52.17712787658219</v>
      </c>
      <c r="AC213" s="2"/>
      <c r="AD213" s="18"/>
      <c r="AE213" s="118"/>
      <c r="AG213" s="2"/>
      <c r="AH213" s="19"/>
      <c r="AI213" s="20"/>
      <c r="AJ213" s="21"/>
      <c r="AK213" s="21"/>
      <c r="AM213" s="19"/>
      <c r="AN213" s="18"/>
      <c r="AO213" s="2"/>
      <c r="AP213" s="18"/>
      <c r="AQ213" s="118"/>
      <c r="AS213" s="2"/>
      <c r="AT213" s="19"/>
      <c r="AU213" s="20"/>
      <c r="AV213" s="21"/>
      <c r="AW213" s="21"/>
      <c r="AY213" s="19"/>
      <c r="AZ213" s="18"/>
      <c r="BA213" s="2"/>
      <c r="BB213" s="18"/>
      <c r="BC213" s="118"/>
      <c r="BE213" s="2"/>
      <c r="BF213" s="19"/>
      <c r="BG213" s="20"/>
      <c r="BH213" s="21"/>
      <c r="BI213" s="21"/>
      <c r="BK213" s="19"/>
      <c r="BL213" s="18"/>
      <c r="BM213" s="2"/>
      <c r="BN213" s="18"/>
      <c r="BO213" s="118"/>
      <c r="BQ213" s="2"/>
      <c r="BR213" s="19"/>
      <c r="BS213" s="20"/>
      <c r="BT213" s="21"/>
      <c r="BU213" s="21"/>
      <c r="BW213" s="19"/>
      <c r="BX213" s="18"/>
      <c r="BY213" s="2"/>
      <c r="BZ213" s="18"/>
      <c r="CA213" s="118"/>
      <c r="CC213" s="2"/>
      <c r="CD213" s="19"/>
      <c r="CE213" s="20"/>
      <c r="CF213" s="21"/>
      <c r="CG213" s="21"/>
      <c r="CI213" s="19"/>
      <c r="CJ213" s="18"/>
      <c r="CK213" s="2"/>
      <c r="CL213" s="18"/>
      <c r="CM213" s="118"/>
      <c r="CO213" s="2"/>
      <c r="CP213" s="19"/>
      <c r="CQ213" s="20"/>
      <c r="CR213" s="21"/>
      <c r="CS213" s="21"/>
    </row>
    <row r="214" spans="1:97" x14ac:dyDescent="0.25">
      <c r="A214" s="1">
        <f t="shared" si="62"/>
        <v>188</v>
      </c>
      <c r="B214" s="19">
        <f t="shared" si="63"/>
        <v>36.813193928602487</v>
      </c>
      <c r="C214" s="18">
        <f t="shared" si="77"/>
        <v>2.8298135828481921</v>
      </c>
      <c r="D214" s="2">
        <f t="shared" si="56"/>
        <v>0.91104951130295952</v>
      </c>
      <c r="E214" s="18">
        <f t="shared" si="64"/>
        <v>2.8449977413699079</v>
      </c>
      <c r="F214" s="21">
        <f t="shared" si="57"/>
        <v>0.61603727852720902</v>
      </c>
      <c r="G214" s="1">
        <f t="shared" si="58"/>
        <v>0</v>
      </c>
      <c r="H214" s="2">
        <f t="shared" si="54"/>
        <v>85.654515253598959</v>
      </c>
      <c r="I214" s="19">
        <f t="shared" si="80"/>
        <v>37.079876733159722</v>
      </c>
      <c r="J214" s="20">
        <f t="shared" si="59"/>
        <v>0.93320900097502013</v>
      </c>
      <c r="K214" s="21">
        <f t="shared" si="60"/>
        <v>17.083805104808352</v>
      </c>
      <c r="L214" s="21">
        <f t="shared" si="55"/>
        <v>0.47444043317015377</v>
      </c>
      <c r="M214" s="2">
        <f t="shared" si="65"/>
        <v>12.999724483033024</v>
      </c>
      <c r="N214" s="19">
        <f t="shared" si="78"/>
        <v>287.07383298150751</v>
      </c>
      <c r="O214" s="1">
        <f t="shared" si="66"/>
        <v>188</v>
      </c>
      <c r="P214" s="19">
        <f t="shared" si="67"/>
        <v>76.381991064602289</v>
      </c>
      <c r="Q214" s="18">
        <f t="shared" si="68"/>
        <v>4.335300947674722</v>
      </c>
      <c r="R214" s="2">
        <f t="shared" si="69"/>
        <v>0.92444638611347607</v>
      </c>
      <c r="S214" s="18">
        <f t="shared" si="70"/>
        <v>4.3507083874432801</v>
      </c>
      <c r="T214" s="18">
        <f t="shared" si="71"/>
        <v>1.4204885038940998</v>
      </c>
      <c r="U214" s="1">
        <f t="shared" si="61"/>
        <v>0</v>
      </c>
      <c r="V214" s="2">
        <f t="shared" si="72"/>
        <v>177.86288786312539</v>
      </c>
      <c r="W214" s="19">
        <f t="shared" si="73"/>
        <v>76.99692115286814</v>
      </c>
      <c r="X214" s="20"/>
      <c r="Y214" s="2">
        <f t="shared" si="74"/>
        <v>57.010030444733275</v>
      </c>
      <c r="Z214" s="21">
        <f t="shared" si="75"/>
        <v>1.1095267875318453</v>
      </c>
      <c r="AA214" s="2">
        <f t="shared" si="76"/>
        <v>44.09123732146795</v>
      </c>
      <c r="AB214" s="19">
        <f t="shared" si="79"/>
        <v>52.347938181293465</v>
      </c>
      <c r="AC214" s="2"/>
      <c r="AD214" s="18"/>
      <c r="AE214" s="118"/>
      <c r="AG214" s="2"/>
      <c r="AH214" s="19"/>
      <c r="AI214" s="20"/>
      <c r="AJ214" s="21"/>
      <c r="AK214" s="21"/>
      <c r="AM214" s="19"/>
      <c r="AN214" s="18"/>
      <c r="AO214" s="2"/>
      <c r="AP214" s="18"/>
      <c r="AQ214" s="118"/>
      <c r="AS214" s="2"/>
      <c r="AT214" s="19"/>
      <c r="AU214" s="20"/>
      <c r="AV214" s="21"/>
      <c r="AW214" s="21"/>
      <c r="AY214" s="19"/>
      <c r="AZ214" s="18"/>
      <c r="BA214" s="2"/>
      <c r="BB214" s="18"/>
      <c r="BC214" s="118"/>
      <c r="BE214" s="2"/>
      <c r="BF214" s="19"/>
      <c r="BG214" s="20"/>
      <c r="BH214" s="21"/>
      <c r="BI214" s="21"/>
      <c r="BK214" s="19"/>
      <c r="BL214" s="18"/>
      <c r="BM214" s="2"/>
      <c r="BN214" s="18"/>
      <c r="BO214" s="118"/>
      <c r="BQ214" s="2"/>
      <c r="BR214" s="19"/>
      <c r="BS214" s="20"/>
      <c r="BT214" s="21"/>
      <c r="BU214" s="21"/>
      <c r="BW214" s="19"/>
      <c r="BX214" s="18"/>
      <c r="BY214" s="2"/>
      <c r="BZ214" s="18"/>
      <c r="CA214" s="118"/>
      <c r="CC214" s="2"/>
      <c r="CD214" s="19"/>
      <c r="CE214" s="20"/>
      <c r="CF214" s="21"/>
      <c r="CG214" s="21"/>
      <c r="CI214" s="19"/>
      <c r="CJ214" s="18"/>
      <c r="CK214" s="2"/>
      <c r="CL214" s="18"/>
      <c r="CM214" s="118"/>
      <c r="CO214" s="2"/>
      <c r="CP214" s="19"/>
      <c r="CQ214" s="20"/>
      <c r="CR214" s="21"/>
      <c r="CS214" s="21"/>
    </row>
    <row r="215" spans="1:97" x14ac:dyDescent="0.25">
      <c r="A215" s="1">
        <f t="shared" si="62"/>
        <v>189</v>
      </c>
      <c r="B215" s="19">
        <f t="shared" si="63"/>
        <v>37.079876733159722</v>
      </c>
      <c r="C215" s="18">
        <f t="shared" si="77"/>
        <v>2.8449977413699079</v>
      </c>
      <c r="D215" s="2">
        <f t="shared" si="56"/>
        <v>0.91118104181296922</v>
      </c>
      <c r="E215" s="18">
        <f t="shared" si="64"/>
        <v>2.8601840920667909</v>
      </c>
      <c r="F215" s="21">
        <f t="shared" si="57"/>
        <v>0.62251882297495065</v>
      </c>
      <c r="G215" s="1">
        <f t="shared" si="58"/>
        <v>0</v>
      </c>
      <c r="H215" s="2">
        <f t="shared" si="54"/>
        <v>86.277034076573912</v>
      </c>
      <c r="I215" s="19">
        <f t="shared" si="80"/>
        <v>37.349365401114248</v>
      </c>
      <c r="J215" s="20">
        <f t="shared" si="59"/>
        <v>0.93316545861610678</v>
      </c>
      <c r="K215" s="21">
        <f t="shared" si="60"/>
        <v>17.353355755156507</v>
      </c>
      <c r="L215" s="21">
        <f t="shared" si="55"/>
        <v>0.47951899515279389</v>
      </c>
      <c r="M215" s="2">
        <f t="shared" si="65"/>
        <v>13.207308463618649</v>
      </c>
      <c r="N215" s="19">
        <f t="shared" si="78"/>
        <v>287.33411933081436</v>
      </c>
      <c r="O215" s="1">
        <f t="shared" si="66"/>
        <v>189</v>
      </c>
      <c r="P215" s="19">
        <f t="shared" si="67"/>
        <v>76.99692115286814</v>
      </c>
      <c r="Q215" s="18">
        <f t="shared" si="68"/>
        <v>4.3507083874432801</v>
      </c>
      <c r="R215" s="2">
        <f t="shared" si="69"/>
        <v>0.92459465122262807</v>
      </c>
      <c r="S215" s="18">
        <f t="shared" si="70"/>
        <v>4.3661182982969908</v>
      </c>
      <c r="T215" s="18">
        <f t="shared" si="71"/>
        <v>1.430405038312563</v>
      </c>
      <c r="U215" s="1">
        <f t="shared" si="61"/>
        <v>0</v>
      </c>
      <c r="V215" s="2">
        <f t="shared" si="72"/>
        <v>179.29329290143795</v>
      </c>
      <c r="W215" s="19">
        <f t="shared" si="73"/>
        <v>77.616144113176603</v>
      </c>
      <c r="X215" s="20"/>
      <c r="Y215" s="2">
        <f t="shared" si="74"/>
        <v>57.629395826322614</v>
      </c>
      <c r="Z215" s="21">
        <f t="shared" si="75"/>
        <v>1.1174004424940991</v>
      </c>
      <c r="AA215" s="2">
        <f t="shared" si="76"/>
        <v>44.57496045674678</v>
      </c>
      <c r="AB215" s="19">
        <f t="shared" si="79"/>
        <v>52.518143584630678</v>
      </c>
      <c r="AC215" s="2"/>
      <c r="AD215" s="18"/>
      <c r="AE215" s="118"/>
      <c r="AG215" s="2"/>
      <c r="AH215" s="19"/>
      <c r="AI215" s="20"/>
      <c r="AJ215" s="21"/>
      <c r="AK215" s="21"/>
      <c r="AM215" s="19"/>
      <c r="AN215" s="18"/>
      <c r="AO215" s="2"/>
      <c r="AP215" s="18"/>
      <c r="AQ215" s="118"/>
      <c r="AS215" s="2"/>
      <c r="AT215" s="19"/>
      <c r="AU215" s="20"/>
      <c r="AV215" s="21"/>
      <c r="AW215" s="21"/>
      <c r="AY215" s="19"/>
      <c r="AZ215" s="18"/>
      <c r="BA215" s="2"/>
      <c r="BB215" s="18"/>
      <c r="BC215" s="118"/>
      <c r="BE215" s="2"/>
      <c r="BF215" s="19"/>
      <c r="BG215" s="20"/>
      <c r="BH215" s="21"/>
      <c r="BI215" s="21"/>
      <c r="BK215" s="19"/>
      <c r="BL215" s="18"/>
      <c r="BM215" s="2"/>
      <c r="BN215" s="18"/>
      <c r="BO215" s="118"/>
      <c r="BQ215" s="2"/>
      <c r="BR215" s="19"/>
      <c r="BS215" s="20"/>
      <c r="BT215" s="21"/>
      <c r="BU215" s="21"/>
      <c r="BW215" s="19"/>
      <c r="BX215" s="18"/>
      <c r="BY215" s="2"/>
      <c r="BZ215" s="18"/>
      <c r="CA215" s="118"/>
      <c r="CC215" s="2"/>
      <c r="CD215" s="19"/>
      <c r="CE215" s="20"/>
      <c r="CF215" s="21"/>
      <c r="CG215" s="21"/>
      <c r="CI215" s="19"/>
      <c r="CJ215" s="18"/>
      <c r="CK215" s="2"/>
      <c r="CL215" s="18"/>
      <c r="CM215" s="118"/>
      <c r="CO215" s="2"/>
      <c r="CP215" s="19"/>
      <c r="CQ215" s="20"/>
      <c r="CR215" s="21"/>
      <c r="CS215" s="21"/>
    </row>
    <row r="216" spans="1:97" x14ac:dyDescent="0.25">
      <c r="A216" s="1">
        <f t="shared" si="62"/>
        <v>190</v>
      </c>
      <c r="B216" s="19">
        <f t="shared" si="63"/>
        <v>37.349365401114248</v>
      </c>
      <c r="C216" s="18">
        <f t="shared" si="77"/>
        <v>2.8601840920667909</v>
      </c>
      <c r="D216" s="2">
        <f t="shared" si="56"/>
        <v>0.91131301780192198</v>
      </c>
      <c r="E216" s="18">
        <f t="shared" si="64"/>
        <v>2.8753726423634896</v>
      </c>
      <c r="F216" s="21">
        <f t="shared" si="57"/>
        <v>0.62903471137480715</v>
      </c>
      <c r="G216" s="1">
        <f t="shared" si="58"/>
        <v>0</v>
      </c>
      <c r="H216" s="2">
        <f t="shared" si="54"/>
        <v>86.906068787948726</v>
      </c>
      <c r="I216" s="19">
        <f t="shared" si="80"/>
        <v>37.621674799977804</v>
      </c>
      <c r="J216" s="20">
        <f t="shared" si="59"/>
        <v>0.93312166237854199</v>
      </c>
      <c r="K216" s="21">
        <f t="shared" si="60"/>
        <v>17.625727785181798</v>
      </c>
      <c r="L216" s="21">
        <f t="shared" si="55"/>
        <v>0.48462533535416524</v>
      </c>
      <c r="M216" s="2">
        <f t="shared" si="65"/>
        <v>13.417102981087984</v>
      </c>
      <c r="N216" s="19">
        <f t="shared" si="78"/>
        <v>287.59302367125224</v>
      </c>
      <c r="O216" s="1">
        <f t="shared" si="66"/>
        <v>190</v>
      </c>
      <c r="P216" s="19">
        <f t="shared" si="67"/>
        <v>77.616144113176603</v>
      </c>
      <c r="Q216" s="18">
        <f t="shared" si="68"/>
        <v>4.3661182982969908</v>
      </c>
      <c r="R216" s="2">
        <f t="shared" si="69"/>
        <v>0.92474278337681715</v>
      </c>
      <c r="S216" s="18">
        <f t="shared" si="70"/>
        <v>4.3815306780199377</v>
      </c>
      <c r="T216" s="18">
        <f t="shared" si="71"/>
        <v>1.4403571606474979</v>
      </c>
      <c r="U216" s="1">
        <f t="shared" si="61"/>
        <v>0</v>
      </c>
      <c r="V216" s="2">
        <f t="shared" si="72"/>
        <v>180.73365006208545</v>
      </c>
      <c r="W216" s="19">
        <f t="shared" si="73"/>
        <v>78.239675351552137</v>
      </c>
      <c r="X216" s="20"/>
      <c r="Y216" s="2">
        <f t="shared" si="74"/>
        <v>58.253070476882982</v>
      </c>
      <c r="Z216" s="21">
        <f t="shared" si="75"/>
        <v>1.1253032042541991</v>
      </c>
      <c r="AA216" s="2">
        <f t="shared" si="76"/>
        <v>45.062104701012665</v>
      </c>
      <c r="AB216" s="19">
        <f t="shared" si="79"/>
        <v>52.687748259835246</v>
      </c>
      <c r="AC216" s="2"/>
      <c r="AD216" s="18"/>
      <c r="AE216" s="118"/>
      <c r="AG216" s="2"/>
      <c r="AH216" s="19"/>
      <c r="AI216" s="20"/>
      <c r="AJ216" s="21"/>
      <c r="AK216" s="21"/>
      <c r="AM216" s="19"/>
      <c r="AN216" s="18"/>
      <c r="AO216" s="2"/>
      <c r="AP216" s="18"/>
      <c r="AQ216" s="118"/>
      <c r="AS216" s="2"/>
      <c r="AT216" s="19"/>
      <c r="AU216" s="20"/>
      <c r="AV216" s="21"/>
      <c r="AW216" s="21"/>
      <c r="AY216" s="19"/>
      <c r="AZ216" s="18"/>
      <c r="BA216" s="2"/>
      <c r="BB216" s="18"/>
      <c r="BC216" s="118"/>
      <c r="BE216" s="2"/>
      <c r="BF216" s="19"/>
      <c r="BG216" s="20"/>
      <c r="BH216" s="21"/>
      <c r="BI216" s="21"/>
      <c r="BK216" s="19"/>
      <c r="BL216" s="18"/>
      <c r="BM216" s="2"/>
      <c r="BN216" s="18"/>
      <c r="BO216" s="118"/>
      <c r="BQ216" s="2"/>
      <c r="BR216" s="19"/>
      <c r="BS216" s="20"/>
      <c r="BT216" s="21"/>
      <c r="BU216" s="21"/>
      <c r="BW216" s="19"/>
      <c r="BX216" s="18"/>
      <c r="BY216" s="2"/>
      <c r="BZ216" s="18"/>
      <c r="CA216" s="118"/>
      <c r="CC216" s="2"/>
      <c r="CD216" s="19"/>
      <c r="CE216" s="20"/>
      <c r="CF216" s="21"/>
      <c r="CG216" s="21"/>
      <c r="CI216" s="19"/>
      <c r="CJ216" s="18"/>
      <c r="CK216" s="2"/>
      <c r="CL216" s="18"/>
      <c r="CM216" s="118"/>
      <c r="CO216" s="2"/>
      <c r="CP216" s="19"/>
      <c r="CQ216" s="20"/>
      <c r="CR216" s="21"/>
      <c r="CS216" s="21"/>
    </row>
    <row r="217" spans="1:97" x14ac:dyDescent="0.25">
      <c r="A217" s="1">
        <f t="shared" si="62"/>
        <v>191</v>
      </c>
      <c r="B217" s="19">
        <f t="shared" si="63"/>
        <v>37.621674799977804</v>
      </c>
      <c r="C217" s="18">
        <f t="shared" si="77"/>
        <v>2.8753726423634896</v>
      </c>
      <c r="D217" s="2">
        <f t="shared" si="56"/>
        <v>0.91144543064772399</v>
      </c>
      <c r="E217" s="18">
        <f t="shared" si="64"/>
        <v>2.8905633995409517</v>
      </c>
      <c r="F217" s="21">
        <f t="shared" si="57"/>
        <v>0.63558495640175627</v>
      </c>
      <c r="G217" s="1">
        <f t="shared" si="58"/>
        <v>0</v>
      </c>
      <c r="H217" s="2">
        <f t="shared" si="54"/>
        <v>87.541653744350484</v>
      </c>
      <c r="I217" s="19">
        <f t="shared" si="80"/>
        <v>37.896819802749128</v>
      </c>
      <c r="J217" s="20">
        <f t="shared" si="59"/>
        <v>0.93307761401404588</v>
      </c>
      <c r="K217" s="21">
        <f t="shared" si="60"/>
        <v>17.900936071303757</v>
      </c>
      <c r="L217" s="21">
        <f t="shared" si="55"/>
        <v>0.48975946799130859</v>
      </c>
      <c r="M217" s="2">
        <f t="shared" si="65"/>
        <v>13.629120066798507</v>
      </c>
      <c r="N217" s="19">
        <f t="shared" si="78"/>
        <v>287.85056040404896</v>
      </c>
      <c r="O217" s="1">
        <f t="shared" si="66"/>
        <v>191</v>
      </c>
      <c r="P217" s="19">
        <f t="shared" si="67"/>
        <v>78.239675351552137</v>
      </c>
      <c r="Q217" s="18">
        <f t="shared" si="68"/>
        <v>4.3815306780199377</v>
      </c>
      <c r="R217" s="2">
        <f t="shared" si="69"/>
        <v>0.92489078047583539</v>
      </c>
      <c r="S217" s="18">
        <f t="shared" si="70"/>
        <v>4.3969455243612012</v>
      </c>
      <c r="T217" s="18">
        <f t="shared" si="71"/>
        <v>1.4503448825684704</v>
      </c>
      <c r="U217" s="1">
        <f t="shared" si="61"/>
        <v>0</v>
      </c>
      <c r="V217" s="2">
        <f t="shared" si="72"/>
        <v>182.1839949446539</v>
      </c>
      <c r="W217" s="19">
        <f t="shared" si="73"/>
        <v>78.867530279070948</v>
      </c>
      <c r="X217" s="20"/>
      <c r="Y217" s="2">
        <f t="shared" si="74"/>
        <v>58.881069811035132</v>
      </c>
      <c r="Z217" s="21">
        <f t="shared" si="75"/>
        <v>1.1332350850343647</v>
      </c>
      <c r="AA217" s="2">
        <f t="shared" si="76"/>
        <v>45.552682659901997</v>
      </c>
      <c r="AB217" s="19">
        <f t="shared" si="79"/>
        <v>52.856756337218386</v>
      </c>
      <c r="AC217" s="2"/>
      <c r="AD217" s="18"/>
      <c r="AE217" s="118"/>
      <c r="AG217" s="2"/>
      <c r="AH217" s="19"/>
      <c r="AI217" s="20"/>
      <c r="AJ217" s="21"/>
      <c r="AK217" s="21"/>
      <c r="AM217" s="19"/>
      <c r="AN217" s="18"/>
      <c r="AO217" s="2"/>
      <c r="AP217" s="18"/>
      <c r="AQ217" s="118"/>
      <c r="AS217" s="2"/>
      <c r="AT217" s="19"/>
      <c r="AU217" s="20"/>
      <c r="AV217" s="21"/>
      <c r="AW217" s="21"/>
      <c r="AY217" s="19"/>
      <c r="AZ217" s="18"/>
      <c r="BA217" s="2"/>
      <c r="BB217" s="18"/>
      <c r="BC217" s="118"/>
      <c r="BE217" s="2"/>
      <c r="BF217" s="19"/>
      <c r="BG217" s="20"/>
      <c r="BH217" s="21"/>
      <c r="BI217" s="21"/>
      <c r="BK217" s="19"/>
      <c r="BL217" s="18"/>
      <c r="BM217" s="2"/>
      <c r="BN217" s="18"/>
      <c r="BO217" s="118"/>
      <c r="BQ217" s="2"/>
      <c r="BR217" s="19"/>
      <c r="BS217" s="20"/>
      <c r="BT217" s="21"/>
      <c r="BU217" s="21"/>
      <c r="BW217" s="19"/>
      <c r="BX217" s="18"/>
      <c r="BY217" s="2"/>
      <c r="BZ217" s="18"/>
      <c r="CA217" s="118"/>
      <c r="CC217" s="2"/>
      <c r="CD217" s="19"/>
      <c r="CE217" s="20"/>
      <c r="CF217" s="21"/>
      <c r="CG217" s="21"/>
      <c r="CI217" s="19"/>
      <c r="CJ217" s="18"/>
      <c r="CK217" s="2"/>
      <c r="CL217" s="18"/>
      <c r="CM217" s="118"/>
      <c r="CO217" s="2"/>
      <c r="CP217" s="19"/>
      <c r="CQ217" s="20"/>
      <c r="CR217" s="21"/>
      <c r="CS217" s="21"/>
    </row>
    <row r="218" spans="1:97" x14ac:dyDescent="0.25">
      <c r="A218" s="1">
        <f t="shared" si="62"/>
        <v>192</v>
      </c>
      <c r="B218" s="19">
        <f t="shared" si="63"/>
        <v>37.896819802749128</v>
      </c>
      <c r="C218" s="18">
        <f t="shared" si="77"/>
        <v>2.8905633995409517</v>
      </c>
      <c r="D218" s="2">
        <f t="shared" si="56"/>
        <v>0.91157827177039008</v>
      </c>
      <c r="E218" s="18">
        <f t="shared" si="64"/>
        <v>2.9057563707371248</v>
      </c>
      <c r="F218" s="21">
        <f t="shared" si="57"/>
        <v>0.64216957076063119</v>
      </c>
      <c r="G218" s="1">
        <f t="shared" si="58"/>
        <v>0</v>
      </c>
      <c r="H218" s="2">
        <f t="shared" ref="H218:H281" si="81">(B218*2.31)+F218-G218</f>
        <v>88.183823315111113</v>
      </c>
      <c r="I218" s="19">
        <f t="shared" si="80"/>
        <v>38.17481528792689</v>
      </c>
      <c r="J218" s="20">
        <f t="shared" si="59"/>
        <v>0.93303331528521716</v>
      </c>
      <c r="K218" s="21">
        <f t="shared" si="60"/>
        <v>18.178995495443111</v>
      </c>
      <c r="L218" s="21">
        <f t="shared" ref="L218:L281" si="82">($C$11*((0.4085*E218/$C$5^2))^2)/64.4</f>
        <v>0.49492140728612771</v>
      </c>
      <c r="M218" s="2">
        <f t="shared" si="65"/>
        <v>13.843371758264363</v>
      </c>
      <c r="N218" s="19">
        <f t="shared" si="78"/>
        <v>288.10674370589419</v>
      </c>
      <c r="O218" s="1">
        <f t="shared" si="66"/>
        <v>192</v>
      </c>
      <c r="P218" s="19">
        <f t="shared" si="67"/>
        <v>78.867530279070948</v>
      </c>
      <c r="Q218" s="18">
        <f t="shared" si="68"/>
        <v>4.3969455243612012</v>
      </c>
      <c r="R218" s="2">
        <f t="shared" si="69"/>
        <v>0.92503864046465167</v>
      </c>
      <c r="S218" s="18">
        <f t="shared" si="70"/>
        <v>4.4123628350356121</v>
      </c>
      <c r="T218" s="18">
        <f t="shared" si="71"/>
        <v>1.460368215715351</v>
      </c>
      <c r="U218" s="1">
        <f t="shared" si="61"/>
        <v>0</v>
      </c>
      <c r="V218" s="2">
        <f t="shared" si="72"/>
        <v>183.64436316036927</v>
      </c>
      <c r="W218" s="19">
        <f t="shared" si="73"/>
        <v>79.499724311848169</v>
      </c>
      <c r="X218" s="20"/>
      <c r="Y218" s="2">
        <f t="shared" si="74"/>
        <v>59.513409248439878</v>
      </c>
      <c r="Z218" s="21">
        <f t="shared" si="75"/>
        <v>1.1411960970249688</v>
      </c>
      <c r="AA218" s="2">
        <f t="shared" si="76"/>
        <v>46.046706944328392</v>
      </c>
      <c r="AB218" s="19">
        <f t="shared" si="79"/>
        <v>53.025171904749207</v>
      </c>
      <c r="AC218" s="2"/>
      <c r="AD218" s="18"/>
      <c r="AE218" s="118"/>
      <c r="AG218" s="2"/>
      <c r="AH218" s="19"/>
      <c r="AI218" s="20"/>
      <c r="AJ218" s="21"/>
      <c r="AK218" s="21"/>
      <c r="AM218" s="19"/>
      <c r="AN218" s="18"/>
      <c r="AO218" s="2"/>
      <c r="AP218" s="18"/>
      <c r="AQ218" s="118"/>
      <c r="AS218" s="2"/>
      <c r="AT218" s="19"/>
      <c r="AU218" s="20"/>
      <c r="AV218" s="21"/>
      <c r="AW218" s="21"/>
      <c r="AY218" s="19"/>
      <c r="AZ218" s="18"/>
      <c r="BA218" s="2"/>
      <c r="BB218" s="18"/>
      <c r="BC218" s="118"/>
      <c r="BE218" s="2"/>
      <c r="BF218" s="19"/>
      <c r="BG218" s="20"/>
      <c r="BH218" s="21"/>
      <c r="BI218" s="21"/>
      <c r="BK218" s="19"/>
      <c r="BL218" s="18"/>
      <c r="BM218" s="2"/>
      <c r="BN218" s="18"/>
      <c r="BO218" s="118"/>
      <c r="BQ218" s="2"/>
      <c r="BR218" s="19"/>
      <c r="BS218" s="20"/>
      <c r="BT218" s="21"/>
      <c r="BU218" s="21"/>
      <c r="BW218" s="19"/>
      <c r="BX218" s="18"/>
      <c r="BY218" s="2"/>
      <c r="BZ218" s="18"/>
      <c r="CA218" s="118"/>
      <c r="CC218" s="2"/>
      <c r="CD218" s="19"/>
      <c r="CE218" s="20"/>
      <c r="CF218" s="21"/>
      <c r="CG218" s="21"/>
      <c r="CI218" s="19"/>
      <c r="CJ218" s="18"/>
      <c r="CK218" s="2"/>
      <c r="CL218" s="18"/>
      <c r="CM218" s="118"/>
      <c r="CO218" s="2"/>
      <c r="CP218" s="19"/>
      <c r="CQ218" s="20"/>
      <c r="CR218" s="21"/>
      <c r="CS218" s="21"/>
    </row>
    <row r="219" spans="1:97" x14ac:dyDescent="0.25">
      <c r="A219" s="1">
        <f t="shared" si="62"/>
        <v>193</v>
      </c>
      <c r="B219" s="19">
        <f t="shared" si="63"/>
        <v>38.17481528792689</v>
      </c>
      <c r="C219" s="18">
        <f t="shared" si="77"/>
        <v>2.9057563707371248</v>
      </c>
      <c r="D219" s="2">
        <f t="shared" ref="D219:D282" si="83">$C$17*I218^$C$18</f>
        <v>0.91171153263395222</v>
      </c>
      <c r="E219" s="18">
        <f t="shared" si="64"/>
        <v>2.9209515629476908</v>
      </c>
      <c r="F219" s="21">
        <f t="shared" ref="F219:F282" si="84">(($C$7*($C$16/12)*(E219)^1.852)/($C$5^4.871)+L219)-G219</f>
        <v>0.64878856718456634</v>
      </c>
      <c r="G219" s="1">
        <f t="shared" ref="G219:G282" si="85">$C$9*($C$16/12)/100</f>
        <v>0</v>
      </c>
      <c r="H219" s="2">
        <f t="shared" si="81"/>
        <v>88.83261188229568</v>
      </c>
      <c r="I219" s="19">
        <f t="shared" si="80"/>
        <v>38.455676139521941</v>
      </c>
      <c r="J219" s="20">
        <f t="shared" ref="J219:J282" si="86">(1-1.27*0.05)*($D$26/((E219*60)/((A219/($C$16/12)+1))))</f>
        <v>0.93298876796499774</v>
      </c>
      <c r="K219" s="21">
        <f t="shared" ref="K219:K282" si="87">K218+(F219*0.433)</f>
        <v>18.459920945034028</v>
      </c>
      <c r="L219" s="21">
        <f t="shared" si="82"/>
        <v>0.50011116746438267</v>
      </c>
      <c r="M219" s="2">
        <f t="shared" si="65"/>
        <v>14.059870099158035</v>
      </c>
      <c r="N219" s="19">
        <f t="shared" si="78"/>
        <v>288.36158753359592</v>
      </c>
      <c r="O219" s="1">
        <f t="shared" si="66"/>
        <v>193</v>
      </c>
      <c r="P219" s="19">
        <f t="shared" si="67"/>
        <v>79.499724311848169</v>
      </c>
      <c r="Q219" s="18">
        <f t="shared" si="68"/>
        <v>4.4123628350356121</v>
      </c>
      <c r="R219" s="2">
        <f t="shared" si="69"/>
        <v>0.92518636133275001</v>
      </c>
      <c r="S219" s="18">
        <f t="shared" si="70"/>
        <v>4.4277826077244908</v>
      </c>
      <c r="T219" s="18">
        <f t="shared" si="71"/>
        <v>1.4704271716983386</v>
      </c>
      <c r="U219" s="1">
        <f t="shared" ref="U219:U282" si="88">$C$9*($C$16/12)/100</f>
        <v>0</v>
      </c>
      <c r="V219" s="2">
        <f t="shared" si="72"/>
        <v>185.1147903320676</v>
      </c>
      <c r="W219" s="19">
        <f t="shared" si="73"/>
        <v>80.136272871024929</v>
      </c>
      <c r="X219" s="20"/>
      <c r="Y219" s="2">
        <f t="shared" si="74"/>
        <v>60.150104213785255</v>
      </c>
      <c r="Z219" s="21">
        <f t="shared" si="75"/>
        <v>1.1491862523846057</v>
      </c>
      <c r="AA219" s="2">
        <f t="shared" si="76"/>
        <v>46.544190170468916</v>
      </c>
      <c r="AB219" s="19">
        <f t="shared" si="79"/>
        <v>53.192999008632746</v>
      </c>
      <c r="AC219" s="2"/>
      <c r="AD219" s="18"/>
      <c r="AE219" s="118"/>
      <c r="AG219" s="2"/>
      <c r="AH219" s="19"/>
      <c r="AI219" s="20"/>
      <c r="AJ219" s="21"/>
      <c r="AK219" s="21"/>
      <c r="AM219" s="19"/>
      <c r="AN219" s="18"/>
      <c r="AO219" s="2"/>
      <c r="AP219" s="18"/>
      <c r="AQ219" s="118"/>
      <c r="AS219" s="2"/>
      <c r="AT219" s="19"/>
      <c r="AU219" s="20"/>
      <c r="AV219" s="21"/>
      <c r="AW219" s="21"/>
      <c r="AY219" s="19"/>
      <c r="AZ219" s="18"/>
      <c r="BA219" s="2"/>
      <c r="BB219" s="18"/>
      <c r="BC219" s="118"/>
      <c r="BE219" s="2"/>
      <c r="BF219" s="19"/>
      <c r="BG219" s="20"/>
      <c r="BH219" s="21"/>
      <c r="BI219" s="21"/>
      <c r="BK219" s="19"/>
      <c r="BL219" s="18"/>
      <c r="BM219" s="2"/>
      <c r="BN219" s="18"/>
      <c r="BO219" s="118"/>
      <c r="BQ219" s="2"/>
      <c r="BR219" s="19"/>
      <c r="BS219" s="20"/>
      <c r="BT219" s="21"/>
      <c r="BU219" s="21"/>
      <c r="BW219" s="19"/>
      <c r="BX219" s="18"/>
      <c r="BY219" s="2"/>
      <c r="BZ219" s="18"/>
      <c r="CA219" s="118"/>
      <c r="CC219" s="2"/>
      <c r="CD219" s="19"/>
      <c r="CE219" s="20"/>
      <c r="CF219" s="21"/>
      <c r="CG219" s="21"/>
      <c r="CI219" s="19"/>
      <c r="CJ219" s="18"/>
      <c r="CK219" s="2"/>
      <c r="CL219" s="18"/>
      <c r="CM219" s="118"/>
      <c r="CO219" s="2"/>
      <c r="CP219" s="19"/>
      <c r="CQ219" s="20"/>
      <c r="CR219" s="21"/>
      <c r="CS219" s="21"/>
    </row>
    <row r="220" spans="1:97" x14ac:dyDescent="0.25">
      <c r="A220" s="1">
        <f t="shared" ref="A220:A283" si="89">A219+$C$16/12</f>
        <v>194</v>
      </c>
      <c r="B220" s="19">
        <f t="shared" ref="B220:B283" si="90">I219</f>
        <v>38.455676139521941</v>
      </c>
      <c r="C220" s="18">
        <f t="shared" si="77"/>
        <v>2.9209515629476908</v>
      </c>
      <c r="D220" s="2">
        <f t="shared" si="83"/>
        <v>0.91184520474830089</v>
      </c>
      <c r="E220" s="18">
        <f t="shared" ref="E220:E283" si="91">C220+D220/60</f>
        <v>2.936148983026829</v>
      </c>
      <c r="F220" s="21">
        <f t="shared" si="84"/>
        <v>0.65544195843347952</v>
      </c>
      <c r="G220" s="1">
        <f t="shared" si="85"/>
        <v>0</v>
      </c>
      <c r="H220" s="2">
        <f t="shared" si="81"/>
        <v>89.488053840729165</v>
      </c>
      <c r="I220" s="19">
        <f t="shared" si="80"/>
        <v>38.7394172470689</v>
      </c>
      <c r="J220" s="20">
        <f t="shared" si="86"/>
        <v>0.93294397383614314</v>
      </c>
      <c r="K220" s="21">
        <f t="shared" si="87"/>
        <v>18.743727313035723</v>
      </c>
      <c r="L220" s="21">
        <f t="shared" si="82"/>
        <v>0.50532876275470673</v>
      </c>
      <c r="M220" s="2">
        <f t="shared" ref="M220:M283" si="92">(L220/2.31)+M219</f>
        <v>14.278627139311588</v>
      </c>
      <c r="N220" s="19">
        <f t="shared" si="78"/>
        <v>288.61510562861702</v>
      </c>
      <c r="O220" s="1">
        <f t="shared" ref="O220:O283" si="93">O219+$C$16/12</f>
        <v>194</v>
      </c>
      <c r="P220" s="19">
        <f t="shared" ref="P220:P283" si="94">W219</f>
        <v>80.136272871024929</v>
      </c>
      <c r="Q220" s="18">
        <f t="shared" ref="Q220:Q283" si="95">S219</f>
        <v>4.4277826077244908</v>
      </c>
      <c r="R220" s="2">
        <f t="shared" ref="R220:R283" si="96">$C$17*W219^$C$18</f>
        <v>0.925333941113473</v>
      </c>
      <c r="S220" s="18">
        <f t="shared" ref="S220:S283" si="97">Q220+R220/60</f>
        <v>4.4432048400763824</v>
      </c>
      <c r="T220" s="18">
        <f t="shared" ref="T220:T283" si="98">(($C$7*($C$16/12)*(S220)^1.852)/($C$5^4.871)+Z220)-U220</f>
        <v>1.480521762097994</v>
      </c>
      <c r="U220" s="1">
        <f t="shared" si="88"/>
        <v>0</v>
      </c>
      <c r="V220" s="2">
        <f t="shared" ref="V220:V283" si="99">(P220*2.31)+T220-U220</f>
        <v>186.59531209416559</v>
      </c>
      <c r="W220" s="19">
        <f t="shared" ref="W220:W283" si="100">V220/2.31</f>
        <v>80.77719138275566</v>
      </c>
      <c r="X220" s="20"/>
      <c r="Y220" s="2">
        <f t="shared" ref="Y220:Y283" si="101">Y219+(T220*0.433)</f>
        <v>60.791170136773687</v>
      </c>
      <c r="Z220" s="21">
        <f t="shared" ref="Z220:Z283" si="102">($C$11*((0.4085*S220/$C$5^2))^2)/64.4</f>
        <v>1.1572055632401654</v>
      </c>
      <c r="AA220" s="2">
        <f t="shared" ref="AA220:AA283" si="103">(Z220/2.31)+AA219</f>
        <v>47.045144959750374</v>
      </c>
      <c r="AB220" s="19">
        <f t="shared" si="79"/>
        <v>53.360241653878141</v>
      </c>
      <c r="AC220" s="2"/>
      <c r="AD220" s="18"/>
      <c r="AE220" s="118"/>
      <c r="AG220" s="2"/>
      <c r="AH220" s="19"/>
      <c r="AI220" s="20"/>
      <c r="AJ220" s="21"/>
      <c r="AK220" s="21"/>
      <c r="AM220" s="19"/>
      <c r="AN220" s="18"/>
      <c r="AO220" s="2"/>
      <c r="AP220" s="18"/>
      <c r="AQ220" s="118"/>
      <c r="AS220" s="2"/>
      <c r="AT220" s="19"/>
      <c r="AU220" s="20"/>
      <c r="AV220" s="21"/>
      <c r="AW220" s="21"/>
      <c r="AY220" s="19"/>
      <c r="AZ220" s="18"/>
      <c r="BA220" s="2"/>
      <c r="BB220" s="18"/>
      <c r="BC220" s="118"/>
      <c r="BE220" s="2"/>
      <c r="BF220" s="19"/>
      <c r="BG220" s="20"/>
      <c r="BH220" s="21"/>
      <c r="BI220" s="21"/>
      <c r="BK220" s="19"/>
      <c r="BL220" s="18"/>
      <c r="BM220" s="2"/>
      <c r="BN220" s="18"/>
      <c r="BO220" s="118"/>
      <c r="BQ220" s="2"/>
      <c r="BR220" s="19"/>
      <c r="BS220" s="20"/>
      <c r="BT220" s="21"/>
      <c r="BU220" s="21"/>
      <c r="BW220" s="19"/>
      <c r="BX220" s="18"/>
      <c r="BY220" s="2"/>
      <c r="BZ220" s="18"/>
      <c r="CA220" s="118"/>
      <c r="CC220" s="2"/>
      <c r="CD220" s="19"/>
      <c r="CE220" s="20"/>
      <c r="CF220" s="21"/>
      <c r="CG220" s="21"/>
      <c r="CI220" s="19"/>
      <c r="CJ220" s="18"/>
      <c r="CK220" s="2"/>
      <c r="CL220" s="18"/>
      <c r="CM220" s="118"/>
      <c r="CO220" s="2"/>
      <c r="CP220" s="19"/>
      <c r="CQ220" s="20"/>
      <c r="CR220" s="21"/>
      <c r="CS220" s="21"/>
    </row>
    <row r="221" spans="1:97" x14ac:dyDescent="0.25">
      <c r="A221" s="1">
        <f t="shared" si="89"/>
        <v>195</v>
      </c>
      <c r="B221" s="19">
        <f t="shared" si="90"/>
        <v>38.7394172470689</v>
      </c>
      <c r="C221" s="18">
        <f t="shared" ref="C221:C284" si="104">E220</f>
        <v>2.936148983026829</v>
      </c>
      <c r="D221" s="2">
        <f t="shared" si="83"/>
        <v>0.91197927967095849</v>
      </c>
      <c r="E221" s="18">
        <f t="shared" si="91"/>
        <v>2.9513486376880116</v>
      </c>
      <c r="F221" s="21">
        <f t="shared" si="84"/>
        <v>0.66212975729257617</v>
      </c>
      <c r="G221" s="1">
        <f t="shared" si="85"/>
        <v>0</v>
      </c>
      <c r="H221" s="2">
        <f t="shared" si="81"/>
        <v>90.150183598021741</v>
      </c>
      <c r="I221" s="19">
        <f t="shared" si="80"/>
        <v>39.026053505637115</v>
      </c>
      <c r="J221" s="20">
        <f t="shared" si="86"/>
        <v>0.93289893469070195</v>
      </c>
      <c r="K221" s="21">
        <f t="shared" si="87"/>
        <v>19.030429497943409</v>
      </c>
      <c r="L221" s="21">
        <f t="shared" si="82"/>
        <v>0.51057420738763737</v>
      </c>
      <c r="M221" s="2">
        <f t="shared" si="92"/>
        <v>14.499654934717492</v>
      </c>
      <c r="N221" s="19">
        <f t="shared" ref="N221:N284" si="105">($C$16/12)/(0.4085*E220/$C$5^2)+N220</f>
        <v>288.86731152149514</v>
      </c>
      <c r="O221" s="1">
        <f t="shared" si="93"/>
        <v>195</v>
      </c>
      <c r="P221" s="19">
        <f t="shared" si="94"/>
        <v>80.77719138275566</v>
      </c>
      <c r="Q221" s="18">
        <f t="shared" si="95"/>
        <v>4.4432048400763824</v>
      </c>
      <c r="R221" s="2">
        <f t="shared" si="96"/>
        <v>0.92548137788337292</v>
      </c>
      <c r="S221" s="18">
        <f t="shared" si="97"/>
        <v>4.458629529707772</v>
      </c>
      <c r="T221" s="18">
        <f t="shared" si="98"/>
        <v>1.4906519984652669</v>
      </c>
      <c r="U221" s="1">
        <f t="shared" si="88"/>
        <v>0</v>
      </c>
      <c r="V221" s="2">
        <f t="shared" si="99"/>
        <v>188.08596409263086</v>
      </c>
      <c r="W221" s="19">
        <f t="shared" si="100"/>
        <v>81.422495278195171</v>
      </c>
      <c r="X221" s="20"/>
      <c r="Y221" s="2">
        <f t="shared" si="101"/>
        <v>61.436622452109148</v>
      </c>
      <c r="Z221" s="21">
        <f t="shared" si="102"/>
        <v>1.1652540416869033</v>
      </c>
      <c r="AA221" s="2">
        <f t="shared" si="103"/>
        <v>47.54958393883561</v>
      </c>
      <c r="AB221" s="19">
        <f t="shared" ref="AB221:AB284" si="106">($C$16/12)/(0.4085*S220/$C$5^2)+AB220</f>
        <v>53.526903804857135</v>
      </c>
      <c r="AC221" s="2"/>
      <c r="AD221" s="18"/>
      <c r="AE221" s="118"/>
      <c r="AG221" s="2"/>
      <c r="AH221" s="19"/>
      <c r="AI221" s="20"/>
      <c r="AJ221" s="21"/>
      <c r="AK221" s="21"/>
      <c r="AM221" s="19"/>
      <c r="AN221" s="18"/>
      <c r="AO221" s="2"/>
      <c r="AP221" s="18"/>
      <c r="AQ221" s="118"/>
      <c r="AS221" s="2"/>
      <c r="AT221" s="19"/>
      <c r="AU221" s="20"/>
      <c r="AV221" s="21"/>
      <c r="AW221" s="21"/>
      <c r="AY221" s="19"/>
      <c r="AZ221" s="18"/>
      <c r="BA221" s="2"/>
      <c r="BB221" s="18"/>
      <c r="BC221" s="118"/>
      <c r="BE221" s="2"/>
      <c r="BF221" s="19"/>
      <c r="BG221" s="20"/>
      <c r="BH221" s="21"/>
      <c r="BI221" s="21"/>
      <c r="BK221" s="19"/>
      <c r="BL221" s="18"/>
      <c r="BM221" s="2"/>
      <c r="BN221" s="18"/>
      <c r="BO221" s="118"/>
      <c r="BQ221" s="2"/>
      <c r="BR221" s="19"/>
      <c r="BS221" s="20"/>
      <c r="BT221" s="21"/>
      <c r="BU221" s="21"/>
      <c r="BW221" s="19"/>
      <c r="BX221" s="18"/>
      <c r="BY221" s="2"/>
      <c r="BZ221" s="18"/>
      <c r="CA221" s="118"/>
      <c r="CC221" s="2"/>
      <c r="CD221" s="19"/>
      <c r="CE221" s="20"/>
      <c r="CF221" s="21"/>
      <c r="CG221" s="21"/>
      <c r="CI221" s="19"/>
      <c r="CJ221" s="18"/>
      <c r="CK221" s="2"/>
      <c r="CL221" s="18"/>
      <c r="CM221" s="118"/>
      <c r="CO221" s="2"/>
      <c r="CP221" s="19"/>
      <c r="CQ221" s="20"/>
      <c r="CR221" s="21"/>
      <c r="CS221" s="21"/>
    </row>
    <row r="222" spans="1:97" x14ac:dyDescent="0.25">
      <c r="A222" s="1">
        <f t="shared" si="89"/>
        <v>196</v>
      </c>
      <c r="B222" s="19">
        <f t="shared" si="90"/>
        <v>39.026053505637115</v>
      </c>
      <c r="C222" s="18">
        <f t="shared" si="104"/>
        <v>2.9513486376880116</v>
      </c>
      <c r="D222" s="2">
        <f t="shared" si="83"/>
        <v>0.91211374900878539</v>
      </c>
      <c r="E222" s="18">
        <f t="shared" si="91"/>
        <v>2.9665505335048246</v>
      </c>
      <c r="F222" s="21">
        <f t="shared" si="84"/>
        <v>0.66885197657088502</v>
      </c>
      <c r="G222" s="1">
        <f t="shared" si="85"/>
        <v>0</v>
      </c>
      <c r="H222" s="2">
        <f t="shared" si="81"/>
        <v>90.819035574592633</v>
      </c>
      <c r="I222" s="19">
        <f t="shared" si="80"/>
        <v>39.315599815840969</v>
      </c>
      <c r="J222" s="20">
        <f t="shared" si="86"/>
        <v>0.93285365232949924</v>
      </c>
      <c r="K222" s="21">
        <f t="shared" si="87"/>
        <v>19.320042403798602</v>
      </c>
      <c r="L222" s="21">
        <f t="shared" si="82"/>
        <v>0.51584751559466668</v>
      </c>
      <c r="M222" s="2">
        <f t="shared" si="92"/>
        <v>14.722965547529036</v>
      </c>
      <c r="N222" s="19">
        <f t="shared" si="105"/>
        <v>289.11821853614981</v>
      </c>
      <c r="O222" s="1">
        <f t="shared" si="93"/>
        <v>196</v>
      </c>
      <c r="P222" s="19">
        <f t="shared" si="94"/>
        <v>81.422495278195171</v>
      </c>
      <c r="Q222" s="18">
        <f t="shared" si="95"/>
        <v>4.458629529707772</v>
      </c>
      <c r="R222" s="2">
        <f t="shared" si="96"/>
        <v>0.9256286697615671</v>
      </c>
      <c r="S222" s="18">
        <f t="shared" si="97"/>
        <v>4.4740566742037986</v>
      </c>
      <c r="T222" s="18">
        <f t="shared" si="98"/>
        <v>1.5008178923215367</v>
      </c>
      <c r="U222" s="1">
        <f t="shared" si="88"/>
        <v>0</v>
      </c>
      <c r="V222" s="2">
        <f t="shared" si="99"/>
        <v>189.58678198495241</v>
      </c>
      <c r="W222" s="19">
        <f t="shared" si="100"/>
        <v>82.072199993485896</v>
      </c>
      <c r="X222" s="20"/>
      <c r="Y222" s="2">
        <f t="shared" si="101"/>
        <v>62.086476599484371</v>
      </c>
      <c r="Z222" s="21">
        <f t="shared" si="102"/>
        <v>1.1733316997885184</v>
      </c>
      <c r="AA222" s="2">
        <f t="shared" si="103"/>
        <v>48.057519739609859</v>
      </c>
      <c r="AB222" s="19">
        <f t="shared" si="106"/>
        <v>53.692989385853124</v>
      </c>
      <c r="AC222" s="2"/>
      <c r="AD222" s="18"/>
      <c r="AE222" s="118"/>
      <c r="AG222" s="2"/>
      <c r="AH222" s="19"/>
      <c r="AI222" s="20"/>
      <c r="AJ222" s="21"/>
      <c r="AK222" s="21"/>
      <c r="AM222" s="19"/>
      <c r="AN222" s="18"/>
      <c r="AO222" s="2"/>
      <c r="AP222" s="18"/>
      <c r="AQ222" s="118"/>
      <c r="AS222" s="2"/>
      <c r="AT222" s="19"/>
      <c r="AU222" s="20"/>
      <c r="AV222" s="21"/>
      <c r="AW222" s="21"/>
      <c r="AY222" s="19"/>
      <c r="AZ222" s="18"/>
      <c r="BA222" s="2"/>
      <c r="BB222" s="18"/>
      <c r="BC222" s="118"/>
      <c r="BE222" s="2"/>
      <c r="BF222" s="19"/>
      <c r="BG222" s="20"/>
      <c r="BH222" s="21"/>
      <c r="BI222" s="21"/>
      <c r="BK222" s="19"/>
      <c r="BL222" s="18"/>
      <c r="BM222" s="2"/>
      <c r="BN222" s="18"/>
      <c r="BO222" s="118"/>
      <c r="BQ222" s="2"/>
      <c r="BR222" s="19"/>
      <c r="BS222" s="20"/>
      <c r="BT222" s="21"/>
      <c r="BU222" s="21"/>
      <c r="BW222" s="19"/>
      <c r="BX222" s="18"/>
      <c r="BY222" s="2"/>
      <c r="BZ222" s="18"/>
      <c r="CA222" s="118"/>
      <c r="CC222" s="2"/>
      <c r="CD222" s="19"/>
      <c r="CE222" s="20"/>
      <c r="CF222" s="21"/>
      <c r="CG222" s="21"/>
      <c r="CI222" s="19"/>
      <c r="CJ222" s="18"/>
      <c r="CK222" s="2"/>
      <c r="CL222" s="18"/>
      <c r="CM222" s="118"/>
      <c r="CO222" s="2"/>
      <c r="CP222" s="19"/>
      <c r="CQ222" s="20"/>
      <c r="CR222" s="21"/>
      <c r="CS222" s="21"/>
    </row>
    <row r="223" spans="1:97" x14ac:dyDescent="0.25">
      <c r="A223" s="1">
        <f t="shared" si="89"/>
        <v>197</v>
      </c>
      <c r="B223" s="19">
        <f t="shared" si="90"/>
        <v>39.315599815840969</v>
      </c>
      <c r="C223" s="18">
        <f t="shared" si="104"/>
        <v>2.9665505335048246</v>
      </c>
      <c r="D223" s="2">
        <f t="shared" si="83"/>
        <v>0.91224860441962041</v>
      </c>
      <c r="E223" s="18">
        <f t="shared" si="91"/>
        <v>2.9817546769118182</v>
      </c>
      <c r="F223" s="21">
        <f t="shared" si="84"/>
        <v>0.67560862909981956</v>
      </c>
      <c r="G223" s="1">
        <f t="shared" si="85"/>
        <v>0</v>
      </c>
      <c r="H223" s="2">
        <f t="shared" si="81"/>
        <v>91.494644203692459</v>
      </c>
      <c r="I223" s="19">
        <f t="shared" si="80"/>
        <v>39.608071083849552</v>
      </c>
      <c r="J223" s="20">
        <f t="shared" si="86"/>
        <v>0.93280812856162998</v>
      </c>
      <c r="K223" s="21">
        <f t="shared" si="87"/>
        <v>19.612580940198825</v>
      </c>
      <c r="L223" s="21">
        <f t="shared" si="82"/>
        <v>0.52114870160730842</v>
      </c>
      <c r="M223" s="2">
        <f t="shared" si="92"/>
        <v>14.948571046060339</v>
      </c>
      <c r="N223" s="19">
        <f t="shared" si="105"/>
        <v>289.36783979408017</v>
      </c>
      <c r="O223" s="1">
        <f t="shared" si="93"/>
        <v>197</v>
      </c>
      <c r="P223" s="19">
        <f t="shared" si="94"/>
        <v>82.072199993485896</v>
      </c>
      <c r="Q223" s="18">
        <f t="shared" si="95"/>
        <v>4.4740566742037986</v>
      </c>
      <c r="R223" s="2">
        <f t="shared" si="96"/>
        <v>0.92577581490910066</v>
      </c>
      <c r="S223" s="18">
        <f t="shared" si="97"/>
        <v>4.4894862711189507</v>
      </c>
      <c r="T223" s="18">
        <f t="shared" si="98"/>
        <v>1.5110194551586484</v>
      </c>
      <c r="U223" s="1">
        <f t="shared" si="88"/>
        <v>0</v>
      </c>
      <c r="V223" s="2">
        <f t="shared" si="99"/>
        <v>191.09780144011106</v>
      </c>
      <c r="W223" s="19">
        <f t="shared" si="100"/>
        <v>82.726320969745046</v>
      </c>
      <c r="X223" s="20"/>
      <c r="Y223" s="2">
        <f t="shared" si="101"/>
        <v>62.740748023568067</v>
      </c>
      <c r="Z223" s="21">
        <f t="shared" si="102"/>
        <v>1.1814385495772297</v>
      </c>
      <c r="AA223" s="2">
        <f t="shared" si="103"/>
        <v>48.5689649991671</v>
      </c>
      <c r="AB223" s="19">
        <f t="shared" si="106"/>
        <v>53.858502281600956</v>
      </c>
      <c r="AC223" s="2"/>
      <c r="AD223" s="18"/>
      <c r="AE223" s="118"/>
      <c r="AG223" s="2"/>
      <c r="AH223" s="19"/>
      <c r="AI223" s="20"/>
      <c r="AJ223" s="21"/>
      <c r="AK223" s="21"/>
      <c r="AM223" s="19"/>
      <c r="AN223" s="18"/>
      <c r="AO223" s="2"/>
      <c r="AP223" s="18"/>
      <c r="AQ223" s="118"/>
      <c r="AS223" s="2"/>
      <c r="AT223" s="19"/>
      <c r="AU223" s="20"/>
      <c r="AV223" s="21"/>
      <c r="AW223" s="21"/>
      <c r="AY223" s="19"/>
      <c r="AZ223" s="18"/>
      <c r="BA223" s="2"/>
      <c r="BB223" s="18"/>
      <c r="BC223" s="118"/>
      <c r="BE223" s="2"/>
      <c r="BF223" s="19"/>
      <c r="BG223" s="20"/>
      <c r="BH223" s="21"/>
      <c r="BI223" s="21"/>
      <c r="BK223" s="19"/>
      <c r="BL223" s="18"/>
      <c r="BM223" s="2"/>
      <c r="BN223" s="18"/>
      <c r="BO223" s="118"/>
      <c r="BQ223" s="2"/>
      <c r="BR223" s="19"/>
      <c r="BS223" s="20"/>
      <c r="BT223" s="21"/>
      <c r="BU223" s="21"/>
      <c r="BW223" s="19"/>
      <c r="BX223" s="18"/>
      <c r="BY223" s="2"/>
      <c r="BZ223" s="18"/>
      <c r="CA223" s="118"/>
      <c r="CC223" s="2"/>
      <c r="CD223" s="19"/>
      <c r="CE223" s="20"/>
      <c r="CF223" s="21"/>
      <c r="CG223" s="21"/>
      <c r="CI223" s="19"/>
      <c r="CJ223" s="18"/>
      <c r="CK223" s="2"/>
      <c r="CL223" s="18"/>
      <c r="CM223" s="118"/>
      <c r="CO223" s="2"/>
      <c r="CP223" s="19"/>
      <c r="CQ223" s="20"/>
      <c r="CR223" s="21"/>
      <c r="CS223" s="21"/>
    </row>
    <row r="224" spans="1:97" x14ac:dyDescent="0.25">
      <c r="A224" s="1">
        <f t="shared" si="89"/>
        <v>198</v>
      </c>
      <c r="B224" s="19">
        <f t="shared" si="90"/>
        <v>39.608071083849552</v>
      </c>
      <c r="C224" s="18">
        <f t="shared" si="104"/>
        <v>2.9817546769118182</v>
      </c>
      <c r="D224" s="2">
        <f t="shared" si="83"/>
        <v>0.91238383761385422</v>
      </c>
      <c r="E224" s="18">
        <f t="shared" si="91"/>
        <v>2.9969610742053825</v>
      </c>
      <c r="F224" s="21">
        <f t="shared" si="84"/>
        <v>0.6823997277317706</v>
      </c>
      <c r="G224" s="1">
        <f t="shared" si="85"/>
        <v>0</v>
      </c>
      <c r="H224" s="2">
        <f t="shared" si="81"/>
        <v>92.177043931424251</v>
      </c>
      <c r="I224" s="19">
        <f t="shared" si="80"/>
        <v>39.903482221395777</v>
      </c>
      <c r="J224" s="20">
        <f t="shared" si="86"/>
        <v>0.93276236520395561</v>
      </c>
      <c r="K224" s="21">
        <f t="shared" si="87"/>
        <v>19.908060022306682</v>
      </c>
      <c r="L224" s="21">
        <f t="shared" si="82"/>
        <v>0.52647777965618636</v>
      </c>
      <c r="M224" s="2">
        <f t="shared" si="92"/>
        <v>15.17648350478596</v>
      </c>
      <c r="N224" s="19">
        <f t="shared" si="105"/>
        <v>289.61618821845639</v>
      </c>
      <c r="O224" s="1">
        <f t="shared" si="93"/>
        <v>198</v>
      </c>
      <c r="P224" s="19">
        <f t="shared" si="94"/>
        <v>82.726320969745046</v>
      </c>
      <c r="Q224" s="18">
        <f t="shared" si="95"/>
        <v>4.4894862711189507</v>
      </c>
      <c r="R224" s="2">
        <f t="shared" si="96"/>
        <v>0.92592281152831435</v>
      </c>
      <c r="S224" s="18">
        <f t="shared" si="97"/>
        <v>4.5049183179777561</v>
      </c>
      <c r="T224" s="18">
        <f t="shared" si="98"/>
        <v>1.5212566984389542</v>
      </c>
      <c r="U224" s="1">
        <f t="shared" si="88"/>
        <v>0</v>
      </c>
      <c r="V224" s="2">
        <f t="shared" si="99"/>
        <v>192.61905813855</v>
      </c>
      <c r="W224" s="19">
        <f t="shared" si="100"/>
        <v>83.38487365305194</v>
      </c>
      <c r="X224" s="20"/>
      <c r="Y224" s="2">
        <f t="shared" si="101"/>
        <v>63.399452173992131</v>
      </c>
      <c r="Z224" s="21">
        <f t="shared" si="102"/>
        <v>1.1895746030538548</v>
      </c>
      <c r="AA224" s="2">
        <f t="shared" si="103"/>
        <v>49.083932359796478</v>
      </c>
      <c r="AB224" s="19">
        <f t="shared" si="106"/>
        <v>54.023446337817624</v>
      </c>
      <c r="AC224" s="2"/>
      <c r="AD224" s="18"/>
      <c r="AE224" s="118"/>
      <c r="AG224" s="2"/>
      <c r="AH224" s="19"/>
      <c r="AI224" s="20"/>
      <c r="AJ224" s="21"/>
      <c r="AK224" s="21"/>
      <c r="AM224" s="19"/>
      <c r="AN224" s="18"/>
      <c r="AO224" s="2"/>
      <c r="AP224" s="18"/>
      <c r="AQ224" s="118"/>
      <c r="AS224" s="2"/>
      <c r="AT224" s="19"/>
      <c r="AU224" s="20"/>
      <c r="AV224" s="21"/>
      <c r="AW224" s="21"/>
      <c r="AY224" s="19"/>
      <c r="AZ224" s="18"/>
      <c r="BA224" s="2"/>
      <c r="BB224" s="18"/>
      <c r="BC224" s="118"/>
      <c r="BE224" s="2"/>
      <c r="BF224" s="19"/>
      <c r="BG224" s="20"/>
      <c r="BH224" s="21"/>
      <c r="BI224" s="21"/>
      <c r="BK224" s="19"/>
      <c r="BL224" s="18"/>
      <c r="BM224" s="2"/>
      <c r="BN224" s="18"/>
      <c r="BO224" s="118"/>
      <c r="BQ224" s="2"/>
      <c r="BR224" s="19"/>
      <c r="BS224" s="20"/>
      <c r="BT224" s="21"/>
      <c r="BU224" s="21"/>
      <c r="BW224" s="19"/>
      <c r="BX224" s="18"/>
      <c r="BY224" s="2"/>
      <c r="BZ224" s="18"/>
      <c r="CA224" s="118"/>
      <c r="CC224" s="2"/>
      <c r="CD224" s="19"/>
      <c r="CE224" s="20"/>
      <c r="CF224" s="21"/>
      <c r="CG224" s="21"/>
      <c r="CI224" s="19"/>
      <c r="CJ224" s="18"/>
      <c r="CK224" s="2"/>
      <c r="CL224" s="18"/>
      <c r="CM224" s="118"/>
      <c r="CO224" s="2"/>
      <c r="CP224" s="19"/>
      <c r="CQ224" s="20"/>
      <c r="CR224" s="21"/>
      <c r="CS224" s="21"/>
    </row>
    <row r="225" spans="1:97" x14ac:dyDescent="0.25">
      <c r="A225" s="1">
        <f t="shared" si="89"/>
        <v>199</v>
      </c>
      <c r="B225" s="19">
        <f t="shared" si="90"/>
        <v>39.903482221395777</v>
      </c>
      <c r="C225" s="18">
        <f t="shared" si="104"/>
        <v>2.9969610742053825</v>
      </c>
      <c r="D225" s="2">
        <f t="shared" si="83"/>
        <v>0.91251944035593935</v>
      </c>
      <c r="E225" s="18">
        <f t="shared" si="91"/>
        <v>3.0121697315446481</v>
      </c>
      <c r="F225" s="21">
        <f t="shared" si="84"/>
        <v>0.68922528533871974</v>
      </c>
      <c r="G225" s="1">
        <f t="shared" si="85"/>
        <v>0</v>
      </c>
      <c r="H225" s="2">
        <f t="shared" si="81"/>
        <v>92.866269216762973</v>
      </c>
      <c r="I225" s="19">
        <f t="shared" ref="I225:I288" si="107">H225/2.31</f>
        <v>40.201848145784837</v>
      </c>
      <c r="J225" s="20">
        <f t="shared" si="86"/>
        <v>0.93271636408061298</v>
      </c>
      <c r="K225" s="21">
        <f t="shared" si="87"/>
        <v>20.206494570858347</v>
      </c>
      <c r="L225" s="21">
        <f t="shared" si="82"/>
        <v>0.53183476397013363</v>
      </c>
      <c r="M225" s="2">
        <f t="shared" si="92"/>
        <v>15.40671500434013</v>
      </c>
      <c r="N225" s="19">
        <f t="shared" si="105"/>
        <v>289.86327653810821</v>
      </c>
      <c r="O225" s="1">
        <f t="shared" si="93"/>
        <v>199</v>
      </c>
      <c r="P225" s="19">
        <f t="shared" si="94"/>
        <v>83.38487365305194</v>
      </c>
      <c r="Q225" s="18">
        <f t="shared" si="95"/>
        <v>4.5049183179777561</v>
      </c>
      <c r="R225" s="2">
        <f t="shared" si="96"/>
        <v>0.92606965786221984</v>
      </c>
      <c r="S225" s="18">
        <f t="shared" si="97"/>
        <v>4.5203528122754602</v>
      </c>
      <c r="T225" s="18">
        <f t="shared" si="98"/>
        <v>1.5315296335953599</v>
      </c>
      <c r="U225" s="1">
        <f t="shared" si="88"/>
        <v>0</v>
      </c>
      <c r="V225" s="2">
        <f t="shared" si="99"/>
        <v>194.15058777214534</v>
      </c>
      <c r="W225" s="19">
        <f t="shared" si="100"/>
        <v>84.047873494435208</v>
      </c>
      <c r="X225" s="20"/>
      <c r="Y225" s="2">
        <f t="shared" si="101"/>
        <v>64.062604505338925</v>
      </c>
      <c r="Z225" s="21">
        <f t="shared" si="102"/>
        <v>1.1977398721878927</v>
      </c>
      <c r="AA225" s="2">
        <f t="shared" si="103"/>
        <v>49.602434468968724</v>
      </c>
      <c r="AB225" s="19">
        <f t="shared" si="106"/>
        <v>54.187825361724059</v>
      </c>
      <c r="AC225" s="2"/>
      <c r="AD225" s="18"/>
      <c r="AE225" s="118"/>
      <c r="AG225" s="2"/>
      <c r="AH225" s="19"/>
      <c r="AI225" s="20"/>
      <c r="AJ225" s="21"/>
      <c r="AK225" s="21"/>
      <c r="AM225" s="19"/>
      <c r="AN225" s="18"/>
      <c r="AO225" s="2"/>
      <c r="AP225" s="18"/>
      <c r="AQ225" s="118"/>
      <c r="AS225" s="2"/>
      <c r="AT225" s="19"/>
      <c r="AU225" s="20"/>
      <c r="AV225" s="21"/>
      <c r="AW225" s="21"/>
      <c r="AY225" s="19"/>
      <c r="AZ225" s="18"/>
      <c r="BA225" s="2"/>
      <c r="BB225" s="18"/>
      <c r="BC225" s="118"/>
      <c r="BE225" s="2"/>
      <c r="BF225" s="19"/>
      <c r="BG225" s="20"/>
      <c r="BH225" s="21"/>
      <c r="BI225" s="21"/>
      <c r="BK225" s="19"/>
      <c r="BL225" s="18"/>
      <c r="BM225" s="2"/>
      <c r="BN225" s="18"/>
      <c r="BO225" s="118"/>
      <c r="BQ225" s="2"/>
      <c r="BR225" s="19"/>
      <c r="BS225" s="20"/>
      <c r="BT225" s="21"/>
      <c r="BU225" s="21"/>
      <c r="BW225" s="19"/>
      <c r="BX225" s="18"/>
      <c r="BY225" s="2"/>
      <c r="BZ225" s="18"/>
      <c r="CA225" s="118"/>
      <c r="CC225" s="2"/>
      <c r="CD225" s="19"/>
      <c r="CE225" s="20"/>
      <c r="CF225" s="21"/>
      <c r="CG225" s="21"/>
      <c r="CI225" s="19"/>
      <c r="CJ225" s="18"/>
      <c r="CK225" s="2"/>
      <c r="CL225" s="18"/>
      <c r="CM225" s="118"/>
      <c r="CO225" s="2"/>
      <c r="CP225" s="19"/>
      <c r="CQ225" s="20"/>
      <c r="CR225" s="21"/>
      <c r="CS225" s="21"/>
    </row>
    <row r="226" spans="1:97" x14ac:dyDescent="0.25">
      <c r="A226" s="1">
        <f t="shared" si="89"/>
        <v>200</v>
      </c>
      <c r="B226" s="19">
        <f t="shared" si="90"/>
        <v>40.201848145784837</v>
      </c>
      <c r="C226" s="18">
        <f t="shared" si="104"/>
        <v>3.0121697315446481</v>
      </c>
      <c r="D226" s="2">
        <f t="shared" si="83"/>
        <v>0.91265540446583526</v>
      </c>
      <c r="E226" s="18">
        <f t="shared" si="91"/>
        <v>3.0273806549524118</v>
      </c>
      <c r="F226" s="21">
        <f t="shared" si="84"/>
        <v>0.69608531481088864</v>
      </c>
      <c r="G226" s="1">
        <f t="shared" si="85"/>
        <v>0</v>
      </c>
      <c r="H226" s="2">
        <f t="shared" si="81"/>
        <v>93.56235453157386</v>
      </c>
      <c r="I226" s="19">
        <f t="shared" si="107"/>
        <v>40.503183779902102</v>
      </c>
      <c r="J226" s="20">
        <f t="shared" si="86"/>
        <v>0.93267012702252472</v>
      </c>
      <c r="K226" s="21">
        <f t="shared" si="87"/>
        <v>20.507899512171463</v>
      </c>
      <c r="L226" s="21">
        <f t="shared" si="82"/>
        <v>0.53721966877531802</v>
      </c>
      <c r="M226" s="2">
        <f t="shared" si="92"/>
        <v>15.639277631515592</v>
      </c>
      <c r="N226" s="19">
        <f t="shared" si="105"/>
        <v>290.10911729141384</v>
      </c>
      <c r="O226" s="1">
        <f t="shared" si="93"/>
        <v>200</v>
      </c>
      <c r="P226" s="19">
        <f t="shared" si="94"/>
        <v>84.047873494435208</v>
      </c>
      <c r="Q226" s="18">
        <f t="shared" si="95"/>
        <v>4.5203528122754602</v>
      </c>
      <c r="R226" s="2">
        <f t="shared" si="96"/>
        <v>0.92621635219388043</v>
      </c>
      <c r="S226" s="18">
        <f t="shared" si="97"/>
        <v>4.5357897514786911</v>
      </c>
      <c r="T226" s="18">
        <f t="shared" si="98"/>
        <v>1.5418382720313701</v>
      </c>
      <c r="U226" s="1">
        <f t="shared" si="88"/>
        <v>0</v>
      </c>
      <c r="V226" s="2">
        <f t="shared" si="99"/>
        <v>195.69242604417673</v>
      </c>
      <c r="W226" s="19">
        <f t="shared" si="100"/>
        <v>84.715335949860048</v>
      </c>
      <c r="X226" s="20"/>
      <c r="Y226" s="2">
        <f t="shared" si="101"/>
        <v>64.730220477128512</v>
      </c>
      <c r="Z226" s="21">
        <f t="shared" si="102"/>
        <v>1.2059343689176045</v>
      </c>
      <c r="AA226" s="2">
        <f t="shared" si="103"/>
        <v>50.124483979322662</v>
      </c>
      <c r="AB226" s="19">
        <f t="shared" si="106"/>
        <v>54.351643122558222</v>
      </c>
      <c r="AC226" s="2"/>
      <c r="AD226" s="18"/>
      <c r="AE226" s="118"/>
      <c r="AG226" s="2"/>
      <c r="AH226" s="19"/>
      <c r="AI226" s="20"/>
      <c r="AJ226" s="21"/>
      <c r="AK226" s="21"/>
      <c r="AM226" s="19"/>
      <c r="AN226" s="18"/>
      <c r="AO226" s="2"/>
      <c r="AP226" s="18"/>
      <c r="AQ226" s="118"/>
      <c r="AS226" s="2"/>
      <c r="AT226" s="19"/>
      <c r="AU226" s="20"/>
      <c r="AV226" s="21"/>
      <c r="AW226" s="21"/>
      <c r="AY226" s="19"/>
      <c r="AZ226" s="18"/>
      <c r="BA226" s="2"/>
      <c r="BB226" s="18"/>
      <c r="BC226" s="118"/>
      <c r="BE226" s="2"/>
      <c r="BF226" s="19"/>
      <c r="BG226" s="20"/>
      <c r="BH226" s="21"/>
      <c r="BI226" s="21"/>
      <c r="BK226" s="19"/>
      <c r="BL226" s="18"/>
      <c r="BM226" s="2"/>
      <c r="BN226" s="18"/>
      <c r="BO226" s="118"/>
      <c r="BQ226" s="2"/>
      <c r="BR226" s="19"/>
      <c r="BS226" s="20"/>
      <c r="BT226" s="21"/>
      <c r="BU226" s="21"/>
      <c r="BW226" s="19"/>
      <c r="BX226" s="18"/>
      <c r="BY226" s="2"/>
      <c r="BZ226" s="18"/>
      <c r="CA226" s="118"/>
      <c r="CC226" s="2"/>
      <c r="CD226" s="19"/>
      <c r="CE226" s="20"/>
      <c r="CF226" s="21"/>
      <c r="CG226" s="21"/>
      <c r="CI226" s="19"/>
      <c r="CJ226" s="18"/>
      <c r="CK226" s="2"/>
      <c r="CL226" s="18"/>
      <c r="CM226" s="118"/>
      <c r="CO226" s="2"/>
      <c r="CP226" s="19"/>
      <c r="CQ226" s="20"/>
      <c r="CR226" s="21"/>
      <c r="CS226" s="21"/>
    </row>
    <row r="227" spans="1:97" x14ac:dyDescent="0.25">
      <c r="A227" s="1">
        <f t="shared" si="89"/>
        <v>201</v>
      </c>
      <c r="B227" s="19">
        <f t="shared" si="90"/>
        <v>40.503183779902102</v>
      </c>
      <c r="C227" s="18">
        <f t="shared" si="104"/>
        <v>3.0273806549524118</v>
      </c>
      <c r="D227" s="2">
        <f t="shared" si="83"/>
        <v>0.91279172182038937</v>
      </c>
      <c r="E227" s="18">
        <f t="shared" si="91"/>
        <v>3.0425938503160848</v>
      </c>
      <c r="F227" s="21">
        <f t="shared" si="84"/>
        <v>0.70297982905540879</v>
      </c>
      <c r="G227" s="1">
        <f t="shared" si="85"/>
        <v>0</v>
      </c>
      <c r="H227" s="2">
        <f t="shared" si="81"/>
        <v>94.265334360629268</v>
      </c>
      <c r="I227" s="19">
        <f t="shared" si="107"/>
        <v>40.807504052220459</v>
      </c>
      <c r="J227" s="20">
        <f t="shared" si="86"/>
        <v>0.93262365586692175</v>
      </c>
      <c r="K227" s="21">
        <f t="shared" si="87"/>
        <v>20.812289778152454</v>
      </c>
      <c r="L227" s="21">
        <f t="shared" si="82"/>
        <v>0.54263250829437792</v>
      </c>
      <c r="M227" s="2">
        <f t="shared" si="92"/>
        <v>15.874183479262076</v>
      </c>
      <c r="N227" s="19">
        <f t="shared" si="105"/>
        <v>290.35372283009161</v>
      </c>
      <c r="O227" s="1">
        <f t="shared" si="93"/>
        <v>201</v>
      </c>
      <c r="P227" s="19">
        <f t="shared" si="94"/>
        <v>84.715335949860048</v>
      </c>
      <c r="Q227" s="18">
        <f t="shared" si="95"/>
        <v>4.5357897514786911</v>
      </c>
      <c r="R227" s="2">
        <f t="shared" si="96"/>
        <v>0.92636289284579787</v>
      </c>
      <c r="S227" s="18">
        <f t="shared" si="97"/>
        <v>4.551229133026121</v>
      </c>
      <c r="T227" s="18">
        <f t="shared" si="98"/>
        <v>1.5521826251211412</v>
      </c>
      <c r="U227" s="1">
        <f t="shared" si="88"/>
        <v>0</v>
      </c>
      <c r="V227" s="2">
        <f t="shared" si="99"/>
        <v>197.24460866929786</v>
      </c>
      <c r="W227" s="19">
        <f t="shared" si="100"/>
        <v>85.387276480215519</v>
      </c>
      <c r="X227" s="20"/>
      <c r="Y227" s="2">
        <f t="shared" si="101"/>
        <v>65.402315553805963</v>
      </c>
      <c r="Z227" s="21">
        <f t="shared" si="102"/>
        <v>1.2141581051501011</v>
      </c>
      <c r="AA227" s="2">
        <f t="shared" si="103"/>
        <v>50.650093548651711</v>
      </c>
      <c r="AB227" s="19">
        <f t="shared" si="106"/>
        <v>54.514903352079656</v>
      </c>
      <c r="AC227" s="2"/>
      <c r="AD227" s="18"/>
      <c r="AE227" s="118"/>
      <c r="AG227" s="2"/>
      <c r="AH227" s="19"/>
      <c r="AI227" s="20"/>
      <c r="AJ227" s="21"/>
      <c r="AK227" s="21"/>
      <c r="AM227" s="19"/>
      <c r="AN227" s="18"/>
      <c r="AO227" s="2"/>
      <c r="AP227" s="18"/>
      <c r="AQ227" s="118"/>
      <c r="AS227" s="2"/>
      <c r="AT227" s="19"/>
      <c r="AU227" s="20"/>
      <c r="AV227" s="21"/>
      <c r="AW227" s="21"/>
      <c r="AY227" s="19"/>
      <c r="AZ227" s="18"/>
      <c r="BA227" s="2"/>
      <c r="BB227" s="18"/>
      <c r="BC227" s="118"/>
      <c r="BE227" s="2"/>
      <c r="BF227" s="19"/>
      <c r="BG227" s="20"/>
      <c r="BH227" s="21"/>
      <c r="BI227" s="21"/>
      <c r="BK227" s="19"/>
      <c r="BL227" s="18"/>
      <c r="BM227" s="2"/>
      <c r="BN227" s="18"/>
      <c r="BO227" s="118"/>
      <c r="BQ227" s="2"/>
      <c r="BR227" s="19"/>
      <c r="BS227" s="20"/>
      <c r="BT227" s="21"/>
      <c r="BU227" s="21"/>
      <c r="BW227" s="19"/>
      <c r="BX227" s="18"/>
      <c r="BY227" s="2"/>
      <c r="BZ227" s="18"/>
      <c r="CA227" s="118"/>
      <c r="CC227" s="2"/>
      <c r="CD227" s="19"/>
      <c r="CE227" s="20"/>
      <c r="CF227" s="21"/>
      <c r="CG227" s="21"/>
      <c r="CI227" s="19"/>
      <c r="CJ227" s="18"/>
      <c r="CK227" s="2"/>
      <c r="CL227" s="18"/>
      <c r="CM227" s="118"/>
      <c r="CO227" s="2"/>
      <c r="CP227" s="19"/>
      <c r="CQ227" s="20"/>
      <c r="CR227" s="21"/>
      <c r="CS227" s="21"/>
    </row>
    <row r="228" spans="1:97" x14ac:dyDescent="0.25">
      <c r="A228" s="1">
        <f t="shared" si="89"/>
        <v>202</v>
      </c>
      <c r="B228" s="19">
        <f t="shared" si="90"/>
        <v>40.807504052220459</v>
      </c>
      <c r="C228" s="18">
        <f t="shared" si="104"/>
        <v>3.0425938503160848</v>
      </c>
      <c r="D228" s="2">
        <f t="shared" si="83"/>
        <v>0.91292838435465817</v>
      </c>
      <c r="E228" s="18">
        <f t="shared" si="91"/>
        <v>3.0578093233886623</v>
      </c>
      <c r="F228" s="21">
        <f t="shared" si="84"/>
        <v>0.70990884099502072</v>
      </c>
      <c r="G228" s="1">
        <f t="shared" si="85"/>
        <v>0</v>
      </c>
      <c r="H228" s="2">
        <f t="shared" si="81"/>
        <v>94.975243201624295</v>
      </c>
      <c r="I228" s="19">
        <f t="shared" si="107"/>
        <v>41.114823896807053</v>
      </c>
      <c r="J228" s="20">
        <f t="shared" si="86"/>
        <v>0.93257695245686945</v>
      </c>
      <c r="K228" s="21">
        <f t="shared" si="87"/>
        <v>21.119680306303298</v>
      </c>
      <c r="L228" s="21">
        <f t="shared" si="82"/>
        <v>0.54807329674558047</v>
      </c>
      <c r="M228" s="2">
        <f t="shared" si="92"/>
        <v>16.111444646684404</v>
      </c>
      <c r="N228" s="19">
        <f t="shared" si="105"/>
        <v>290.59710532289802</v>
      </c>
      <c r="O228" s="1">
        <f t="shared" si="93"/>
        <v>202</v>
      </c>
      <c r="P228" s="19">
        <f t="shared" si="94"/>
        <v>85.387276480215519</v>
      </c>
      <c r="Q228" s="18">
        <f t="shared" si="95"/>
        <v>4.551229133026121</v>
      </c>
      <c r="R228" s="2">
        <f t="shared" si="96"/>
        <v>0.92650927817930739</v>
      </c>
      <c r="S228" s="18">
        <f t="shared" si="97"/>
        <v>4.5666709543291093</v>
      </c>
      <c r="T228" s="18">
        <f t="shared" si="98"/>
        <v>1.56256270420953</v>
      </c>
      <c r="U228" s="1">
        <f t="shared" si="88"/>
        <v>0</v>
      </c>
      <c r="V228" s="2">
        <f t="shared" si="99"/>
        <v>198.8071713735074</v>
      </c>
      <c r="W228" s="19">
        <f t="shared" si="100"/>
        <v>86.063710551301909</v>
      </c>
      <c r="X228" s="20"/>
      <c r="Y228" s="2">
        <f t="shared" si="101"/>
        <v>66.078905204728684</v>
      </c>
      <c r="Z228" s="21">
        <f t="shared" si="102"/>
        <v>1.2224110927614253</v>
      </c>
      <c r="AA228" s="2">
        <f t="shared" si="103"/>
        <v>51.179275839890423</v>
      </c>
      <c r="AB228" s="19">
        <f t="shared" si="106"/>
        <v>54.677609745065638</v>
      </c>
      <c r="AC228" s="2"/>
      <c r="AD228" s="18"/>
      <c r="AE228" s="118"/>
      <c r="AG228" s="2"/>
      <c r="AH228" s="19"/>
      <c r="AI228" s="20"/>
      <c r="AJ228" s="21"/>
      <c r="AK228" s="21"/>
      <c r="AM228" s="19"/>
      <c r="AN228" s="18"/>
      <c r="AO228" s="2"/>
      <c r="AP228" s="18"/>
      <c r="AQ228" s="118"/>
      <c r="AS228" s="2"/>
      <c r="AT228" s="19"/>
      <c r="AU228" s="20"/>
      <c r="AV228" s="21"/>
      <c r="AW228" s="21"/>
      <c r="AY228" s="19"/>
      <c r="AZ228" s="18"/>
      <c r="BA228" s="2"/>
      <c r="BB228" s="18"/>
      <c r="BC228" s="118"/>
      <c r="BE228" s="2"/>
      <c r="BF228" s="19"/>
      <c r="BG228" s="20"/>
      <c r="BH228" s="21"/>
      <c r="BI228" s="21"/>
      <c r="BK228" s="19"/>
      <c r="BL228" s="18"/>
      <c r="BM228" s="2"/>
      <c r="BN228" s="18"/>
      <c r="BO228" s="118"/>
      <c r="BQ228" s="2"/>
      <c r="BR228" s="19"/>
      <c r="BS228" s="20"/>
      <c r="BT228" s="21"/>
      <c r="BU228" s="21"/>
      <c r="BW228" s="19"/>
      <c r="BX228" s="18"/>
      <c r="BY228" s="2"/>
      <c r="BZ228" s="18"/>
      <c r="CA228" s="118"/>
      <c r="CC228" s="2"/>
      <c r="CD228" s="19"/>
      <c r="CE228" s="20"/>
      <c r="CF228" s="21"/>
      <c r="CG228" s="21"/>
      <c r="CI228" s="19"/>
      <c r="CJ228" s="18"/>
      <c r="CK228" s="2"/>
      <c r="CL228" s="18"/>
      <c r="CM228" s="118"/>
      <c r="CO228" s="2"/>
      <c r="CP228" s="19"/>
      <c r="CQ228" s="20"/>
      <c r="CR228" s="21"/>
      <c r="CS228" s="21"/>
    </row>
    <row r="229" spans="1:97" x14ac:dyDescent="0.25">
      <c r="A229" s="1">
        <f t="shared" si="89"/>
        <v>203</v>
      </c>
      <c r="B229" s="19">
        <f t="shared" si="90"/>
        <v>41.114823896807053</v>
      </c>
      <c r="C229" s="18">
        <f t="shared" si="104"/>
        <v>3.0578093233886623</v>
      </c>
      <c r="D229" s="2">
        <f t="shared" si="83"/>
        <v>0.91306538406316351</v>
      </c>
      <c r="E229" s="18">
        <f t="shared" si="91"/>
        <v>3.073027079789715</v>
      </c>
      <c r="F229" s="21">
        <f t="shared" si="84"/>
        <v>0.71687236356679962</v>
      </c>
      <c r="G229" s="1">
        <f t="shared" si="85"/>
        <v>0</v>
      </c>
      <c r="H229" s="2">
        <f t="shared" si="81"/>
        <v>95.692115565191088</v>
      </c>
      <c r="I229" s="19">
        <f t="shared" si="107"/>
        <v>41.425158253329471</v>
      </c>
      <c r="J229" s="20">
        <f t="shared" si="86"/>
        <v>0.93253001864080476</v>
      </c>
      <c r="K229" s="21">
        <f t="shared" si="87"/>
        <v>21.430086039727723</v>
      </c>
      <c r="L229" s="21">
        <f t="shared" si="82"/>
        <v>0.55354204834199383</v>
      </c>
      <c r="M229" s="2">
        <f t="shared" si="92"/>
        <v>16.351073239040247</v>
      </c>
      <c r="N229" s="19">
        <f t="shared" si="105"/>
        <v>290.83927675923428</v>
      </c>
      <c r="O229" s="1">
        <f t="shared" si="93"/>
        <v>203</v>
      </c>
      <c r="P229" s="19">
        <f t="shared" si="94"/>
        <v>86.063710551301909</v>
      </c>
      <c r="Q229" s="18">
        <f t="shared" si="95"/>
        <v>4.5666709543291093</v>
      </c>
      <c r="R229" s="2">
        <f t="shared" si="96"/>
        <v>0.92665550659397566</v>
      </c>
      <c r="S229" s="18">
        <f t="shared" si="97"/>
        <v>4.5821152127723419</v>
      </c>
      <c r="T229" s="18">
        <f t="shared" si="98"/>
        <v>1.5729785206121525</v>
      </c>
      <c r="U229" s="1">
        <f t="shared" si="88"/>
        <v>0</v>
      </c>
      <c r="V229" s="2">
        <f t="shared" si="99"/>
        <v>200.38014989411954</v>
      </c>
      <c r="W229" s="19">
        <f t="shared" si="100"/>
        <v>86.744653633817975</v>
      </c>
      <c r="X229" s="20"/>
      <c r="Y229" s="2">
        <f t="shared" si="101"/>
        <v>66.760004904153746</v>
      </c>
      <c r="Z229" s="21">
        <f t="shared" si="102"/>
        <v>1.230693343596643</v>
      </c>
      <c r="AA229" s="2">
        <f t="shared" si="103"/>
        <v>51.712043521101087</v>
      </c>
      <c r="AB229" s="19">
        <f t="shared" si="106"/>
        <v>54.839765959799131</v>
      </c>
      <c r="AC229" s="2"/>
      <c r="AD229" s="18"/>
      <c r="AE229" s="118"/>
      <c r="AG229" s="2"/>
      <c r="AH229" s="19"/>
      <c r="AI229" s="20"/>
      <c r="AJ229" s="21"/>
      <c r="AK229" s="21"/>
      <c r="AM229" s="19"/>
      <c r="AN229" s="18"/>
      <c r="AO229" s="2"/>
      <c r="AP229" s="18"/>
      <c r="AQ229" s="118"/>
      <c r="AS229" s="2"/>
      <c r="AT229" s="19"/>
      <c r="AU229" s="20"/>
      <c r="AV229" s="21"/>
      <c r="AW229" s="21"/>
      <c r="AY229" s="19"/>
      <c r="AZ229" s="18"/>
      <c r="BA229" s="2"/>
      <c r="BB229" s="18"/>
      <c r="BC229" s="118"/>
      <c r="BE229" s="2"/>
      <c r="BF229" s="19"/>
      <c r="BG229" s="20"/>
      <c r="BH229" s="21"/>
      <c r="BI229" s="21"/>
      <c r="BK229" s="19"/>
      <c r="BL229" s="18"/>
      <c r="BM229" s="2"/>
      <c r="BN229" s="18"/>
      <c r="BO229" s="118"/>
      <c r="BQ229" s="2"/>
      <c r="BR229" s="19"/>
      <c r="BS229" s="20"/>
      <c r="BT229" s="21"/>
      <c r="BU229" s="21"/>
      <c r="BW229" s="19"/>
      <c r="BX229" s="18"/>
      <c r="BY229" s="2"/>
      <c r="BZ229" s="18"/>
      <c r="CA229" s="118"/>
      <c r="CC229" s="2"/>
      <c r="CD229" s="19"/>
      <c r="CE229" s="20"/>
      <c r="CF229" s="21"/>
      <c r="CG229" s="21"/>
      <c r="CI229" s="19"/>
      <c r="CJ229" s="18"/>
      <c r="CK229" s="2"/>
      <c r="CL229" s="18"/>
      <c r="CM229" s="118"/>
      <c r="CO229" s="2"/>
      <c r="CP229" s="19"/>
      <c r="CQ229" s="20"/>
      <c r="CR229" s="21"/>
      <c r="CS229" s="21"/>
    </row>
    <row r="230" spans="1:97" x14ac:dyDescent="0.25">
      <c r="A230" s="1">
        <f t="shared" si="89"/>
        <v>204</v>
      </c>
      <c r="B230" s="19">
        <f t="shared" si="90"/>
        <v>41.425158253329471</v>
      </c>
      <c r="C230" s="18">
        <f t="shared" si="104"/>
        <v>3.073027079789715</v>
      </c>
      <c r="D230" s="2">
        <f t="shared" si="83"/>
        <v>0.91320271300109201</v>
      </c>
      <c r="E230" s="18">
        <f t="shared" si="91"/>
        <v>3.0882471250063999</v>
      </c>
      <c r="F230" s="21">
        <f t="shared" si="84"/>
        <v>0.72387040972090755</v>
      </c>
      <c r="G230" s="1">
        <f t="shared" si="85"/>
        <v>0</v>
      </c>
      <c r="H230" s="2">
        <f t="shared" si="81"/>
        <v>96.415985974911976</v>
      </c>
      <c r="I230" s="19">
        <f t="shared" si="107"/>
        <v>41.73852206706146</v>
      </c>
      <c r="J230" s="20">
        <f t="shared" si="86"/>
        <v>0.93248285627207772</v>
      </c>
      <c r="K230" s="21">
        <f t="shared" si="87"/>
        <v>21.743521927136875</v>
      </c>
      <c r="L230" s="21">
        <f t="shared" si="82"/>
        <v>0.55903877729067919</v>
      </c>
      <c r="M230" s="2">
        <f t="shared" si="92"/>
        <v>16.593081367737511</v>
      </c>
      <c r="N230" s="19">
        <f t="shared" si="105"/>
        <v>291.08024895266448</v>
      </c>
      <c r="O230" s="1">
        <f t="shared" si="93"/>
        <v>204</v>
      </c>
      <c r="P230" s="19">
        <f t="shared" si="94"/>
        <v>86.744653633817975</v>
      </c>
      <c r="Q230" s="18">
        <f t="shared" si="95"/>
        <v>4.5821152127723419</v>
      </c>
      <c r="R230" s="2">
        <f t="shared" si="96"/>
        <v>0.92680157652700956</v>
      </c>
      <c r="S230" s="18">
        <f t="shared" si="97"/>
        <v>4.5975619057144588</v>
      </c>
      <c r="T230" s="18">
        <f t="shared" si="98"/>
        <v>1.5834300856154406</v>
      </c>
      <c r="U230" s="1">
        <f t="shared" si="88"/>
        <v>0</v>
      </c>
      <c r="V230" s="2">
        <f t="shared" si="99"/>
        <v>201.96357997973499</v>
      </c>
      <c r="W230" s="19">
        <f t="shared" si="100"/>
        <v>87.430121203348477</v>
      </c>
      <c r="X230" s="20"/>
      <c r="Y230" s="2">
        <f t="shared" si="101"/>
        <v>67.445630131225229</v>
      </c>
      <c r="Z230" s="21">
        <f t="shared" si="102"/>
        <v>1.239004869469932</v>
      </c>
      <c r="AA230" s="2">
        <f t="shared" si="103"/>
        <v>52.248409265460367</v>
      </c>
      <c r="AB230" s="19">
        <f t="shared" si="106"/>
        <v>55.001375618548707</v>
      </c>
      <c r="AC230" s="2"/>
      <c r="AD230" s="18"/>
      <c r="AE230" s="118"/>
      <c r="AG230" s="2"/>
      <c r="AH230" s="19"/>
      <c r="AI230" s="20"/>
      <c r="AJ230" s="21"/>
      <c r="AK230" s="21"/>
      <c r="AM230" s="19"/>
      <c r="AN230" s="18"/>
      <c r="AO230" s="2"/>
      <c r="AP230" s="18"/>
      <c r="AQ230" s="118"/>
      <c r="AS230" s="2"/>
      <c r="AT230" s="19"/>
      <c r="AU230" s="20"/>
      <c r="AV230" s="21"/>
      <c r="AW230" s="21"/>
      <c r="AY230" s="19"/>
      <c r="AZ230" s="18"/>
      <c r="BA230" s="2"/>
      <c r="BB230" s="18"/>
      <c r="BC230" s="118"/>
      <c r="BE230" s="2"/>
      <c r="BF230" s="19"/>
      <c r="BG230" s="20"/>
      <c r="BH230" s="21"/>
      <c r="BI230" s="21"/>
      <c r="BK230" s="19"/>
      <c r="BL230" s="18"/>
      <c r="BM230" s="2"/>
      <c r="BN230" s="18"/>
      <c r="BO230" s="118"/>
      <c r="BQ230" s="2"/>
      <c r="BR230" s="19"/>
      <c r="BS230" s="20"/>
      <c r="BT230" s="21"/>
      <c r="BU230" s="21"/>
      <c r="BW230" s="19"/>
      <c r="BX230" s="18"/>
      <c r="BY230" s="2"/>
      <c r="BZ230" s="18"/>
      <c r="CA230" s="118"/>
      <c r="CC230" s="2"/>
      <c r="CD230" s="19"/>
      <c r="CE230" s="20"/>
      <c r="CF230" s="21"/>
      <c r="CG230" s="21"/>
      <c r="CI230" s="19"/>
      <c r="CJ230" s="18"/>
      <c r="CK230" s="2"/>
      <c r="CL230" s="18"/>
      <c r="CM230" s="118"/>
      <c r="CO230" s="2"/>
      <c r="CP230" s="19"/>
      <c r="CQ230" s="20"/>
      <c r="CR230" s="21"/>
      <c r="CS230" s="21"/>
    </row>
    <row r="231" spans="1:97" x14ac:dyDescent="0.25">
      <c r="A231" s="1">
        <f t="shared" si="89"/>
        <v>205</v>
      </c>
      <c r="B231" s="19">
        <f t="shared" si="90"/>
        <v>41.73852206706146</v>
      </c>
      <c r="C231" s="18">
        <f t="shared" si="104"/>
        <v>3.0882471250063999</v>
      </c>
      <c r="D231" s="2">
        <f t="shared" si="83"/>
        <v>0.91334036328543067</v>
      </c>
      <c r="E231" s="18">
        <f t="shared" si="91"/>
        <v>3.1034694643944905</v>
      </c>
      <c r="F231" s="21">
        <f t="shared" si="84"/>
        <v>0.7309029924193714</v>
      </c>
      <c r="G231" s="1">
        <f t="shared" si="85"/>
        <v>0</v>
      </c>
      <c r="H231" s="2">
        <f t="shared" si="81"/>
        <v>97.14688896733135</v>
      </c>
      <c r="I231" s="19">
        <f t="shared" si="107"/>
        <v>42.054930288888031</v>
      </c>
      <c r="J231" s="20">
        <f t="shared" si="86"/>
        <v>0.93243546720850334</v>
      </c>
      <c r="K231" s="21">
        <f t="shared" si="87"/>
        <v>22.060002922854462</v>
      </c>
      <c r="L231" s="21">
        <f t="shared" si="82"/>
        <v>0.56456349779189952</v>
      </c>
      <c r="M231" s="2">
        <f t="shared" si="92"/>
        <v>16.837481150331406</v>
      </c>
      <c r="N231" s="19">
        <f t="shared" si="105"/>
        <v>291.32003354434795</v>
      </c>
      <c r="O231" s="1">
        <f t="shared" si="93"/>
        <v>205</v>
      </c>
      <c r="P231" s="19">
        <f t="shared" si="94"/>
        <v>87.430121203348477</v>
      </c>
      <c r="Q231" s="18">
        <f t="shared" si="95"/>
        <v>4.5975619057144588</v>
      </c>
      <c r="R231" s="2">
        <f t="shared" si="96"/>
        <v>0.92694748645266767</v>
      </c>
      <c r="S231" s="18">
        <f t="shared" si="97"/>
        <v>4.6130110304886696</v>
      </c>
      <c r="T231" s="18">
        <f t="shared" si="98"/>
        <v>1.5939174104766973</v>
      </c>
      <c r="U231" s="1">
        <f t="shared" si="88"/>
        <v>0</v>
      </c>
      <c r="V231" s="2">
        <f t="shared" si="99"/>
        <v>203.55749739021169</v>
      </c>
      <c r="W231" s="19">
        <f t="shared" si="100"/>
        <v>88.120128740351376</v>
      </c>
      <c r="X231" s="20"/>
      <c r="Y231" s="2">
        <f t="shared" si="101"/>
        <v>68.135796369961639</v>
      </c>
      <c r="Z231" s="21">
        <f t="shared" si="102"/>
        <v>1.2473456821646685</v>
      </c>
      <c r="AA231" s="2">
        <f t="shared" si="103"/>
        <v>52.78838575124594</v>
      </c>
      <c r="AB231" s="19">
        <f t="shared" si="106"/>
        <v>55.162442308040582</v>
      </c>
      <c r="AC231" s="2"/>
      <c r="AD231" s="18"/>
      <c r="AE231" s="118"/>
      <c r="AG231" s="2"/>
      <c r="AH231" s="19"/>
      <c r="AI231" s="20"/>
      <c r="AJ231" s="21"/>
      <c r="AK231" s="21"/>
      <c r="AM231" s="19"/>
      <c r="AN231" s="18"/>
      <c r="AO231" s="2"/>
      <c r="AP231" s="18"/>
      <c r="AQ231" s="118"/>
      <c r="AS231" s="2"/>
      <c r="AT231" s="19"/>
      <c r="AU231" s="20"/>
      <c r="AV231" s="21"/>
      <c r="AW231" s="21"/>
      <c r="AY231" s="19"/>
      <c r="AZ231" s="18"/>
      <c r="BA231" s="2"/>
      <c r="BB231" s="18"/>
      <c r="BC231" s="118"/>
      <c r="BE231" s="2"/>
      <c r="BF231" s="19"/>
      <c r="BG231" s="20"/>
      <c r="BH231" s="21"/>
      <c r="BI231" s="21"/>
      <c r="BK231" s="19"/>
      <c r="BL231" s="18"/>
      <c r="BM231" s="2"/>
      <c r="BN231" s="18"/>
      <c r="BO231" s="118"/>
      <c r="BQ231" s="2"/>
      <c r="BR231" s="19"/>
      <c r="BS231" s="20"/>
      <c r="BT231" s="21"/>
      <c r="BU231" s="21"/>
      <c r="BW231" s="19"/>
      <c r="BX231" s="18"/>
      <c r="BY231" s="2"/>
      <c r="BZ231" s="18"/>
      <c r="CA231" s="118"/>
      <c r="CC231" s="2"/>
      <c r="CD231" s="19"/>
      <c r="CE231" s="20"/>
      <c r="CF231" s="21"/>
      <c r="CG231" s="21"/>
      <c r="CI231" s="19"/>
      <c r="CJ231" s="18"/>
      <c r="CK231" s="2"/>
      <c r="CL231" s="18"/>
      <c r="CM231" s="118"/>
      <c r="CO231" s="2"/>
      <c r="CP231" s="19"/>
      <c r="CQ231" s="20"/>
      <c r="CR231" s="21"/>
      <c r="CS231" s="21"/>
    </row>
    <row r="232" spans="1:97" x14ac:dyDescent="0.25">
      <c r="A232" s="1">
        <f t="shared" si="89"/>
        <v>206</v>
      </c>
      <c r="B232" s="19">
        <f t="shared" si="90"/>
        <v>42.054930288888031</v>
      </c>
      <c r="C232" s="18">
        <f t="shared" si="104"/>
        <v>3.1034694643944905</v>
      </c>
      <c r="D232" s="2">
        <f t="shared" si="83"/>
        <v>0.91347832709604848</v>
      </c>
      <c r="E232" s="18">
        <f t="shared" si="91"/>
        <v>3.1186941031794246</v>
      </c>
      <c r="F232" s="21">
        <f t="shared" si="84"/>
        <v>0.73797012463488643</v>
      </c>
      <c r="G232" s="1">
        <f t="shared" si="85"/>
        <v>0</v>
      </c>
      <c r="H232" s="2">
        <f t="shared" si="81"/>
        <v>97.884859091966234</v>
      </c>
      <c r="I232" s="19">
        <f t="shared" si="107"/>
        <v>42.374397875310059</v>
      </c>
      <c r="J232" s="20">
        <f t="shared" si="86"/>
        <v>0.93238785331191787</v>
      </c>
      <c r="K232" s="21">
        <f t="shared" si="87"/>
        <v>22.379543986821368</v>
      </c>
      <c r="L232" s="21">
        <f t="shared" si="82"/>
        <v>0.57011622403834339</v>
      </c>
      <c r="M232" s="2">
        <f t="shared" si="92"/>
        <v>17.084284710521164</v>
      </c>
      <c r="N232" s="19">
        <f t="shared" si="105"/>
        <v>291.55864200638797</v>
      </c>
      <c r="O232" s="1">
        <f t="shared" si="93"/>
        <v>206</v>
      </c>
      <c r="P232" s="19">
        <f t="shared" si="94"/>
        <v>88.120128740351376</v>
      </c>
      <c r="Q232" s="18">
        <f t="shared" si="95"/>
        <v>4.6130110304886696</v>
      </c>
      <c r="R232" s="2">
        <f t="shared" si="96"/>
        <v>0.92709323488168027</v>
      </c>
      <c r="S232" s="18">
        <f t="shared" si="97"/>
        <v>4.6284625844033647</v>
      </c>
      <c r="T232" s="18">
        <f t="shared" si="98"/>
        <v>1.6044405064241669</v>
      </c>
      <c r="U232" s="1">
        <f t="shared" si="88"/>
        <v>0</v>
      </c>
      <c r="V232" s="2">
        <f t="shared" si="99"/>
        <v>205.16193789663586</v>
      </c>
      <c r="W232" s="19">
        <f t="shared" si="100"/>
        <v>88.814691730145398</v>
      </c>
      <c r="X232" s="20"/>
      <c r="Y232" s="2">
        <f t="shared" si="101"/>
        <v>68.830519109243298</v>
      </c>
      <c r="Z232" s="21">
        <f t="shared" si="102"/>
        <v>1.2557157934335252</v>
      </c>
      <c r="AA232" s="2">
        <f t="shared" si="103"/>
        <v>53.331985661823225</v>
      </c>
      <c r="AB232" s="19">
        <f t="shared" si="106"/>
        <v>55.322969579922898</v>
      </c>
      <c r="AC232" s="2"/>
      <c r="AD232" s="18"/>
      <c r="AE232" s="118"/>
      <c r="AG232" s="2"/>
      <c r="AH232" s="19"/>
      <c r="AI232" s="20"/>
      <c r="AJ232" s="21"/>
      <c r="AK232" s="21"/>
      <c r="AM232" s="19"/>
      <c r="AN232" s="18"/>
      <c r="AO232" s="2"/>
      <c r="AP232" s="18"/>
      <c r="AQ232" s="118"/>
      <c r="AS232" s="2"/>
      <c r="AT232" s="19"/>
      <c r="AU232" s="20"/>
      <c r="AV232" s="21"/>
      <c r="AW232" s="21"/>
      <c r="AY232" s="19"/>
      <c r="AZ232" s="18"/>
      <c r="BA232" s="2"/>
      <c r="BB232" s="18"/>
      <c r="BC232" s="118"/>
      <c r="BE232" s="2"/>
      <c r="BF232" s="19"/>
      <c r="BG232" s="20"/>
      <c r="BH232" s="21"/>
      <c r="BI232" s="21"/>
      <c r="BK232" s="19"/>
      <c r="BL232" s="18"/>
      <c r="BM232" s="2"/>
      <c r="BN232" s="18"/>
      <c r="BO232" s="118"/>
      <c r="BQ232" s="2"/>
      <c r="BR232" s="19"/>
      <c r="BS232" s="20"/>
      <c r="BT232" s="21"/>
      <c r="BU232" s="21"/>
      <c r="BW232" s="19"/>
      <c r="BX232" s="18"/>
      <c r="BY232" s="2"/>
      <c r="BZ232" s="18"/>
      <c r="CA232" s="118"/>
      <c r="CC232" s="2"/>
      <c r="CD232" s="19"/>
      <c r="CE232" s="20"/>
      <c r="CF232" s="21"/>
      <c r="CG232" s="21"/>
      <c r="CI232" s="19"/>
      <c r="CJ232" s="18"/>
      <c r="CK232" s="2"/>
      <c r="CL232" s="18"/>
      <c r="CM232" s="118"/>
      <c r="CO232" s="2"/>
      <c r="CP232" s="19"/>
      <c r="CQ232" s="20"/>
      <c r="CR232" s="21"/>
      <c r="CS232" s="21"/>
    </row>
    <row r="233" spans="1:97" x14ac:dyDescent="0.25">
      <c r="A233" s="1">
        <f t="shared" si="89"/>
        <v>207</v>
      </c>
      <c r="B233" s="19">
        <f t="shared" si="90"/>
        <v>42.374397875310059</v>
      </c>
      <c r="C233" s="18">
        <f t="shared" si="104"/>
        <v>3.1186941031794246</v>
      </c>
      <c r="D233" s="2">
        <f t="shared" si="83"/>
        <v>0.91361659667671635</v>
      </c>
      <c r="E233" s="18">
        <f t="shared" si="91"/>
        <v>3.1339210464573699</v>
      </c>
      <c r="F233" s="21">
        <f t="shared" si="84"/>
        <v>0.74507181934964606</v>
      </c>
      <c r="G233" s="1">
        <f t="shared" si="85"/>
        <v>0</v>
      </c>
      <c r="H233" s="2">
        <f t="shared" si="81"/>
        <v>98.629930911315881</v>
      </c>
      <c r="I233" s="19">
        <f t="shared" si="107"/>
        <v>42.696939788448432</v>
      </c>
      <c r="J233" s="20">
        <f t="shared" si="86"/>
        <v>0.93234001644774567</v>
      </c>
      <c r="K233" s="21">
        <f t="shared" si="87"/>
        <v>22.702160084599765</v>
      </c>
      <c r="L233" s="21">
        <f t="shared" si="82"/>
        <v>0.57569697021436883</v>
      </c>
      <c r="M233" s="2">
        <f t="shared" si="92"/>
        <v>17.333504178146431</v>
      </c>
      <c r="N233" s="19">
        <f t="shared" si="105"/>
        <v>291.79608564509959</v>
      </c>
      <c r="O233" s="1">
        <f t="shared" si="93"/>
        <v>207</v>
      </c>
      <c r="P233" s="19">
        <f t="shared" si="94"/>
        <v>88.814691730145398</v>
      </c>
      <c r="Q233" s="18">
        <f t="shared" si="95"/>
        <v>4.6284625844033647</v>
      </c>
      <c r="R233" s="2">
        <f t="shared" si="96"/>
        <v>0.92723882036067529</v>
      </c>
      <c r="S233" s="18">
        <f t="shared" si="97"/>
        <v>4.6439165647427094</v>
      </c>
      <c r="T233" s="18">
        <f t="shared" si="98"/>
        <v>1.6149993846570918</v>
      </c>
      <c r="U233" s="1">
        <f t="shared" si="88"/>
        <v>0</v>
      </c>
      <c r="V233" s="2">
        <f t="shared" si="99"/>
        <v>206.77693728129296</v>
      </c>
      <c r="W233" s="19">
        <f t="shared" si="100"/>
        <v>89.513825662897389</v>
      </c>
      <c r="X233" s="20"/>
      <c r="Y233" s="2">
        <f t="shared" si="101"/>
        <v>69.529813842799825</v>
      </c>
      <c r="Z233" s="21">
        <f t="shared" si="102"/>
        <v>1.2641152149985606</v>
      </c>
      <c r="AA233" s="2">
        <f t="shared" si="103"/>
        <v>53.879221685632125</v>
      </c>
      <c r="AB233" s="19">
        <f t="shared" si="106"/>
        <v>55.482960951222459</v>
      </c>
      <c r="AC233" s="2"/>
      <c r="AD233" s="18"/>
      <c r="AE233" s="118"/>
      <c r="AG233" s="2"/>
      <c r="AH233" s="19"/>
      <c r="AI233" s="20"/>
      <c r="AJ233" s="21"/>
      <c r="AK233" s="21"/>
      <c r="AM233" s="19"/>
      <c r="AN233" s="18"/>
      <c r="AO233" s="2"/>
      <c r="AP233" s="18"/>
      <c r="AQ233" s="118"/>
      <c r="AS233" s="2"/>
      <c r="AT233" s="19"/>
      <c r="AU233" s="20"/>
      <c r="AV233" s="21"/>
      <c r="AW233" s="21"/>
      <c r="AY233" s="19"/>
      <c r="AZ233" s="18"/>
      <c r="BA233" s="2"/>
      <c r="BB233" s="18"/>
      <c r="BC233" s="118"/>
      <c r="BE233" s="2"/>
      <c r="BF233" s="19"/>
      <c r="BG233" s="20"/>
      <c r="BH233" s="21"/>
      <c r="BI233" s="21"/>
      <c r="BK233" s="19"/>
      <c r="BL233" s="18"/>
      <c r="BM233" s="2"/>
      <c r="BN233" s="18"/>
      <c r="BO233" s="118"/>
      <c r="BQ233" s="2"/>
      <c r="BR233" s="19"/>
      <c r="BS233" s="20"/>
      <c r="BT233" s="21"/>
      <c r="BU233" s="21"/>
      <c r="BW233" s="19"/>
      <c r="BX233" s="18"/>
      <c r="BY233" s="2"/>
      <c r="BZ233" s="18"/>
      <c r="CA233" s="118"/>
      <c r="CC233" s="2"/>
      <c r="CD233" s="19"/>
      <c r="CE233" s="20"/>
      <c r="CF233" s="21"/>
      <c r="CG233" s="21"/>
      <c r="CI233" s="19"/>
      <c r="CJ233" s="18"/>
      <c r="CK233" s="2"/>
      <c r="CL233" s="18"/>
      <c r="CM233" s="118"/>
      <c r="CO233" s="2"/>
      <c r="CP233" s="19"/>
      <c r="CQ233" s="20"/>
      <c r="CR233" s="21"/>
      <c r="CS233" s="21"/>
    </row>
    <row r="234" spans="1:97" x14ac:dyDescent="0.25">
      <c r="A234" s="1">
        <f t="shared" si="89"/>
        <v>208</v>
      </c>
      <c r="B234" s="19">
        <f t="shared" si="90"/>
        <v>42.696939788448432</v>
      </c>
      <c r="C234" s="18">
        <f t="shared" si="104"/>
        <v>3.1339210464573699</v>
      </c>
      <c r="D234" s="2">
        <f t="shared" si="83"/>
        <v>0.91375516433607307</v>
      </c>
      <c r="E234" s="18">
        <f t="shared" si="91"/>
        <v>3.1491502991963043</v>
      </c>
      <c r="F234" s="21">
        <f t="shared" si="84"/>
        <v>0.75220808955419682</v>
      </c>
      <c r="G234" s="1">
        <f t="shared" si="85"/>
        <v>0</v>
      </c>
      <c r="H234" s="2">
        <f t="shared" si="81"/>
        <v>99.382139000870083</v>
      </c>
      <c r="I234" s="19">
        <f t="shared" si="107"/>
        <v>43.022570996047655</v>
      </c>
      <c r="J234" s="20">
        <f t="shared" si="86"/>
        <v>0.93229195848457269</v>
      </c>
      <c r="K234" s="21">
        <f t="shared" si="87"/>
        <v>23.027866187376731</v>
      </c>
      <c r="L234" s="21">
        <f t="shared" si="82"/>
        <v>0.58130575049526167</v>
      </c>
      <c r="M234" s="2">
        <f t="shared" si="92"/>
        <v>17.585151689183341</v>
      </c>
      <c r="N234" s="19">
        <f t="shared" si="105"/>
        <v>292.03237560419876</v>
      </c>
      <c r="O234" s="1">
        <f t="shared" si="93"/>
        <v>208</v>
      </c>
      <c r="P234" s="19">
        <f t="shared" si="94"/>
        <v>89.513825662897389</v>
      </c>
      <c r="Q234" s="18">
        <f t="shared" si="95"/>
        <v>4.6439165647427094</v>
      </c>
      <c r="R234" s="2">
        <f t="shared" si="96"/>
        <v>0.92738424147161125</v>
      </c>
      <c r="S234" s="18">
        <f t="shared" si="97"/>
        <v>4.6593729687672365</v>
      </c>
      <c r="T234" s="18">
        <f t="shared" si="98"/>
        <v>1.6255940563457836</v>
      </c>
      <c r="U234" s="1">
        <f t="shared" si="88"/>
        <v>0</v>
      </c>
      <c r="V234" s="2">
        <f t="shared" si="99"/>
        <v>208.40253133763878</v>
      </c>
      <c r="W234" s="19">
        <f t="shared" si="100"/>
        <v>90.217546033609864</v>
      </c>
      <c r="X234" s="20"/>
      <c r="Y234" s="2">
        <f t="shared" si="101"/>
        <v>70.233696069197549</v>
      </c>
      <c r="Z234" s="21">
        <f t="shared" si="102"/>
        <v>1.272543958551315</v>
      </c>
      <c r="AA234" s="2">
        <f t="shared" si="103"/>
        <v>54.430106516173822</v>
      </c>
      <c r="AB234" s="19">
        <f t="shared" si="106"/>
        <v>55.642419904793996</v>
      </c>
      <c r="AC234" s="2"/>
      <c r="AD234" s="18"/>
      <c r="AE234" s="118"/>
      <c r="AG234" s="2"/>
      <c r="AH234" s="19"/>
      <c r="AI234" s="20"/>
      <c r="AJ234" s="21"/>
      <c r="AK234" s="21"/>
      <c r="AM234" s="19"/>
      <c r="AN234" s="18"/>
      <c r="AO234" s="2"/>
      <c r="AP234" s="18"/>
      <c r="AQ234" s="118"/>
      <c r="AS234" s="2"/>
      <c r="AT234" s="19"/>
      <c r="AU234" s="20"/>
      <c r="AV234" s="21"/>
      <c r="AW234" s="21"/>
      <c r="AY234" s="19"/>
      <c r="AZ234" s="18"/>
      <c r="BA234" s="2"/>
      <c r="BB234" s="18"/>
      <c r="BC234" s="118"/>
      <c r="BE234" s="2"/>
      <c r="BF234" s="19"/>
      <c r="BG234" s="20"/>
      <c r="BH234" s="21"/>
      <c r="BI234" s="21"/>
      <c r="BK234" s="19"/>
      <c r="BL234" s="18"/>
      <c r="BM234" s="2"/>
      <c r="BN234" s="18"/>
      <c r="BO234" s="118"/>
      <c r="BQ234" s="2"/>
      <c r="BR234" s="19"/>
      <c r="BS234" s="20"/>
      <c r="BT234" s="21"/>
      <c r="BU234" s="21"/>
      <c r="BW234" s="19"/>
      <c r="BX234" s="18"/>
      <c r="BY234" s="2"/>
      <c r="BZ234" s="18"/>
      <c r="CA234" s="118"/>
      <c r="CC234" s="2"/>
      <c r="CD234" s="19"/>
      <c r="CE234" s="20"/>
      <c r="CF234" s="21"/>
      <c r="CG234" s="21"/>
      <c r="CI234" s="19"/>
      <c r="CJ234" s="18"/>
      <c r="CK234" s="2"/>
      <c r="CL234" s="18"/>
      <c r="CM234" s="118"/>
      <c r="CO234" s="2"/>
      <c r="CP234" s="19"/>
      <c r="CQ234" s="20"/>
      <c r="CR234" s="21"/>
      <c r="CS234" s="21"/>
    </row>
    <row r="235" spans="1:97" x14ac:dyDescent="0.25">
      <c r="A235" s="1">
        <f t="shared" si="89"/>
        <v>209</v>
      </c>
      <c r="B235" s="19">
        <f t="shared" si="90"/>
        <v>43.022570996047655</v>
      </c>
      <c r="C235" s="18">
        <f t="shared" si="104"/>
        <v>3.1491502991963043</v>
      </c>
      <c r="D235" s="2">
        <f t="shared" si="83"/>
        <v>0.91389402244853513</v>
      </c>
      <c r="E235" s="18">
        <f t="shared" si="91"/>
        <v>3.1643818662371133</v>
      </c>
      <c r="F235" s="21">
        <f t="shared" si="84"/>
        <v>0.75937894824631935</v>
      </c>
      <c r="G235" s="1">
        <f t="shared" si="85"/>
        <v>0</v>
      </c>
      <c r="H235" s="2">
        <f t="shared" si="81"/>
        <v>100.14151794911641</v>
      </c>
      <c r="I235" s="19">
        <f t="shared" si="107"/>
        <v>43.351306471478964</v>
      </c>
      <c r="J235" s="20">
        <f t="shared" si="86"/>
        <v>0.93224368129372703</v>
      </c>
      <c r="K235" s="21">
        <f t="shared" si="87"/>
        <v>23.356677271967389</v>
      </c>
      <c r="L235" s="21">
        <f t="shared" si="82"/>
        <v>0.58694257904651281</v>
      </c>
      <c r="M235" s="2">
        <f t="shared" si="92"/>
        <v>17.839239385740274</v>
      </c>
      <c r="N235" s="19">
        <f t="shared" si="105"/>
        <v>292.26752286791509</v>
      </c>
      <c r="O235" s="1">
        <f t="shared" si="93"/>
        <v>209</v>
      </c>
      <c r="P235" s="19">
        <f t="shared" si="94"/>
        <v>90.217546033609864</v>
      </c>
      <c r="Q235" s="18">
        <f t="shared" si="95"/>
        <v>4.6593729687672365</v>
      </c>
      <c r="R235" s="2">
        <f t="shared" si="96"/>
        <v>0.92752949683121588</v>
      </c>
      <c r="S235" s="18">
        <f t="shared" si="97"/>
        <v>4.6748317937144233</v>
      </c>
      <c r="T235" s="18">
        <f t="shared" si="98"/>
        <v>1.6362245326316871</v>
      </c>
      <c r="U235" s="1">
        <f t="shared" si="88"/>
        <v>0</v>
      </c>
      <c r="V235" s="2">
        <f t="shared" si="99"/>
        <v>210.03875587027048</v>
      </c>
      <c r="W235" s="19">
        <f t="shared" si="100"/>
        <v>90.92586834210843</v>
      </c>
      <c r="X235" s="20"/>
      <c r="Y235" s="2">
        <f t="shared" si="101"/>
        <v>70.942181291827069</v>
      </c>
      <c r="Z235" s="21">
        <f t="shared" si="102"/>
        <v>1.2810020357529046</v>
      </c>
      <c r="AA235" s="2">
        <f t="shared" si="103"/>
        <v>54.984652851997588</v>
      </c>
      <c r="AB235" s="19">
        <f t="shared" si="106"/>
        <v>55.801349889762193</v>
      </c>
      <c r="AC235" s="2"/>
      <c r="AD235" s="18"/>
      <c r="AE235" s="118"/>
      <c r="AG235" s="2"/>
      <c r="AH235" s="19"/>
      <c r="AI235" s="20"/>
      <c r="AJ235" s="21"/>
      <c r="AK235" s="21"/>
      <c r="AM235" s="19"/>
      <c r="AN235" s="18"/>
      <c r="AO235" s="2"/>
      <c r="AP235" s="18"/>
      <c r="AQ235" s="118"/>
      <c r="AS235" s="2"/>
      <c r="AT235" s="19"/>
      <c r="AU235" s="20"/>
      <c r="AV235" s="21"/>
      <c r="AW235" s="21"/>
      <c r="AY235" s="19"/>
      <c r="AZ235" s="18"/>
      <c r="BA235" s="2"/>
      <c r="BB235" s="18"/>
      <c r="BC235" s="118"/>
      <c r="BE235" s="2"/>
      <c r="BF235" s="19"/>
      <c r="BG235" s="20"/>
      <c r="BH235" s="21"/>
      <c r="BI235" s="21"/>
      <c r="BK235" s="19"/>
      <c r="BL235" s="18"/>
      <c r="BM235" s="2"/>
      <c r="BN235" s="18"/>
      <c r="BO235" s="118"/>
      <c r="BQ235" s="2"/>
      <c r="BR235" s="19"/>
      <c r="BS235" s="20"/>
      <c r="BT235" s="21"/>
      <c r="BU235" s="21"/>
      <c r="BW235" s="19"/>
      <c r="BX235" s="18"/>
      <c r="BY235" s="2"/>
      <c r="BZ235" s="18"/>
      <c r="CA235" s="118"/>
      <c r="CC235" s="2"/>
      <c r="CD235" s="19"/>
      <c r="CE235" s="20"/>
      <c r="CF235" s="21"/>
      <c r="CG235" s="21"/>
      <c r="CI235" s="19"/>
      <c r="CJ235" s="18"/>
      <c r="CK235" s="2"/>
      <c r="CL235" s="18"/>
      <c r="CM235" s="118"/>
      <c r="CO235" s="2"/>
      <c r="CP235" s="19"/>
      <c r="CQ235" s="20"/>
      <c r="CR235" s="21"/>
      <c r="CS235" s="21"/>
    </row>
    <row r="236" spans="1:97" x14ac:dyDescent="0.25">
      <c r="A236" s="1">
        <f t="shared" si="89"/>
        <v>210</v>
      </c>
      <c r="B236" s="19">
        <f t="shared" si="90"/>
        <v>43.351306471478964</v>
      </c>
      <c r="C236" s="18">
        <f t="shared" si="104"/>
        <v>3.1643818662371133</v>
      </c>
      <c r="D236" s="2">
        <f t="shared" si="83"/>
        <v>0.9140331634551514</v>
      </c>
      <c r="E236" s="18">
        <f t="shared" si="91"/>
        <v>3.1796157522946991</v>
      </c>
      <c r="F236" s="21">
        <f t="shared" si="84"/>
        <v>0.76658440842993103</v>
      </c>
      <c r="G236" s="1">
        <f t="shared" si="85"/>
        <v>0</v>
      </c>
      <c r="H236" s="2">
        <f t="shared" si="81"/>
        <v>100.90810235754634</v>
      </c>
      <c r="I236" s="19">
        <f t="shared" si="107"/>
        <v>43.683161193743004</v>
      </c>
      <c r="J236" s="20">
        <f t="shared" si="86"/>
        <v>0.93219518674886837</v>
      </c>
      <c r="K236" s="21">
        <f t="shared" si="87"/>
        <v>23.688608320817547</v>
      </c>
      <c r="L236" s="21">
        <f t="shared" si="82"/>
        <v>0.59260747002310898</v>
      </c>
      <c r="M236" s="2">
        <f t="shared" si="92"/>
        <v>18.095779416053308</v>
      </c>
      <c r="N236" s="19">
        <f t="shared" si="105"/>
        <v>292.50153826403033</v>
      </c>
      <c r="O236" s="1">
        <f t="shared" si="93"/>
        <v>210</v>
      </c>
      <c r="P236" s="19">
        <f t="shared" si="94"/>
        <v>90.92586834210843</v>
      </c>
      <c r="Q236" s="18">
        <f t="shared" si="95"/>
        <v>4.6748317937144233</v>
      </c>
      <c r="R236" s="2">
        <f t="shared" si="96"/>
        <v>0.92767458509043155</v>
      </c>
      <c r="S236" s="18">
        <f t="shared" si="97"/>
        <v>4.6902930367992637</v>
      </c>
      <c r="T236" s="18">
        <f t="shared" si="98"/>
        <v>1.6468908246274556</v>
      </c>
      <c r="U236" s="1">
        <f t="shared" si="88"/>
        <v>0</v>
      </c>
      <c r="V236" s="2">
        <f t="shared" si="99"/>
        <v>211.68564669489794</v>
      </c>
      <c r="W236" s="19">
        <f t="shared" si="100"/>
        <v>91.638808093029411</v>
      </c>
      <c r="X236" s="20"/>
      <c r="Y236" s="2">
        <f t="shared" si="101"/>
        <v>71.655285018890751</v>
      </c>
      <c r="Z236" s="21">
        <f t="shared" si="102"/>
        <v>1.2894894582341214</v>
      </c>
      <c r="AA236" s="2">
        <f t="shared" si="103"/>
        <v>55.542873396687682</v>
      </c>
      <c r="AB236" s="19">
        <f t="shared" si="106"/>
        <v>55.959754321956538</v>
      </c>
      <c r="AC236" s="2"/>
      <c r="AD236" s="18"/>
      <c r="AE236" s="118"/>
      <c r="AG236" s="2"/>
      <c r="AH236" s="19"/>
      <c r="AI236" s="20"/>
      <c r="AJ236" s="21"/>
      <c r="AK236" s="21"/>
      <c r="AM236" s="19"/>
      <c r="AN236" s="18"/>
      <c r="AO236" s="2"/>
      <c r="AP236" s="18"/>
      <c r="AQ236" s="118"/>
      <c r="AS236" s="2"/>
      <c r="AT236" s="19"/>
      <c r="AU236" s="20"/>
      <c r="AV236" s="21"/>
      <c r="AW236" s="21"/>
      <c r="AY236" s="19"/>
      <c r="AZ236" s="18"/>
      <c r="BA236" s="2"/>
      <c r="BB236" s="18"/>
      <c r="BC236" s="118"/>
      <c r="BE236" s="2"/>
      <c r="BF236" s="19"/>
      <c r="BG236" s="20"/>
      <c r="BH236" s="21"/>
      <c r="BI236" s="21"/>
      <c r="BK236" s="19"/>
      <c r="BL236" s="18"/>
      <c r="BM236" s="2"/>
      <c r="BN236" s="18"/>
      <c r="BO236" s="118"/>
      <c r="BQ236" s="2"/>
      <c r="BR236" s="19"/>
      <c r="BS236" s="20"/>
      <c r="BT236" s="21"/>
      <c r="BU236" s="21"/>
      <c r="BW236" s="19"/>
      <c r="BX236" s="18"/>
      <c r="BY236" s="2"/>
      <c r="BZ236" s="18"/>
      <c r="CA236" s="118"/>
      <c r="CC236" s="2"/>
      <c r="CD236" s="19"/>
      <c r="CE236" s="20"/>
      <c r="CF236" s="21"/>
      <c r="CG236" s="21"/>
      <c r="CI236" s="19"/>
      <c r="CJ236" s="18"/>
      <c r="CK236" s="2"/>
      <c r="CL236" s="18"/>
      <c r="CM236" s="118"/>
      <c r="CO236" s="2"/>
      <c r="CP236" s="19"/>
      <c r="CQ236" s="20"/>
      <c r="CR236" s="21"/>
      <c r="CS236" s="21"/>
    </row>
    <row r="237" spans="1:97" x14ac:dyDescent="0.25">
      <c r="A237" s="1">
        <f t="shared" si="89"/>
        <v>211</v>
      </c>
      <c r="B237" s="19">
        <f t="shared" si="90"/>
        <v>43.683161193743004</v>
      </c>
      <c r="C237" s="18">
        <f t="shared" si="104"/>
        <v>3.1796157522946991</v>
      </c>
      <c r="D237" s="2">
        <f t="shared" si="83"/>
        <v>0.91417257986440559</v>
      </c>
      <c r="E237" s="18">
        <f t="shared" si="91"/>
        <v>3.194851961959106</v>
      </c>
      <c r="F237" s="21">
        <f t="shared" si="84"/>
        <v>0.77382448311401841</v>
      </c>
      <c r="G237" s="1">
        <f t="shared" si="85"/>
        <v>0</v>
      </c>
      <c r="H237" s="2">
        <f t="shared" si="81"/>
        <v>101.68192684066035</v>
      </c>
      <c r="I237" s="19">
        <f t="shared" si="107"/>
        <v>44.018150147472014</v>
      </c>
      <c r="J237" s="20">
        <f t="shared" si="86"/>
        <v>0.93214647672558404</v>
      </c>
      <c r="K237" s="21">
        <f t="shared" si="87"/>
        <v>24.023674322005917</v>
      </c>
      <c r="L237" s="21">
        <f t="shared" si="82"/>
        <v>0.59830043756884377</v>
      </c>
      <c r="M237" s="2">
        <f t="shared" si="92"/>
        <v>18.354783934481379</v>
      </c>
      <c r="N237" s="19">
        <f t="shared" si="105"/>
        <v>292.73443246684491</v>
      </c>
      <c r="O237" s="1">
        <f t="shared" si="93"/>
        <v>211</v>
      </c>
      <c r="P237" s="19">
        <f t="shared" si="94"/>
        <v>91.638808093029411</v>
      </c>
      <c r="Q237" s="18">
        <f t="shared" si="95"/>
        <v>4.6902930367992637</v>
      </c>
      <c r="R237" s="2">
        <f t="shared" si="96"/>
        <v>0.92781950493386811</v>
      </c>
      <c r="S237" s="18">
        <f t="shared" si="97"/>
        <v>4.705756695214828</v>
      </c>
      <c r="T237" s="18">
        <f t="shared" si="98"/>
        <v>1.657592943417016</v>
      </c>
      <c r="U237" s="1">
        <f t="shared" si="88"/>
        <v>0</v>
      </c>
      <c r="V237" s="2">
        <f t="shared" si="99"/>
        <v>213.34323963831497</v>
      </c>
      <c r="W237" s="19">
        <f t="shared" si="100"/>
        <v>92.35638079580734</v>
      </c>
      <c r="X237" s="20"/>
      <c r="Y237" s="2">
        <f t="shared" si="101"/>
        <v>72.373022763390324</v>
      </c>
      <c r="Z237" s="21">
        <f t="shared" si="102"/>
        <v>1.2980062375955272</v>
      </c>
      <c r="AA237" s="2">
        <f t="shared" si="103"/>
        <v>56.104780858850248</v>
      </c>
      <c r="AB237" s="19">
        <f t="shared" si="106"/>
        <v>56.117636584339174</v>
      </c>
      <c r="AC237" s="2"/>
      <c r="AD237" s="18"/>
      <c r="AE237" s="118"/>
      <c r="AG237" s="2"/>
      <c r="AH237" s="19"/>
      <c r="AI237" s="20"/>
      <c r="AJ237" s="21"/>
      <c r="AK237" s="21"/>
      <c r="AM237" s="19"/>
      <c r="AN237" s="18"/>
      <c r="AO237" s="2"/>
      <c r="AP237" s="18"/>
      <c r="AQ237" s="118"/>
      <c r="AS237" s="2"/>
      <c r="AT237" s="19"/>
      <c r="AU237" s="20"/>
      <c r="AV237" s="21"/>
      <c r="AW237" s="21"/>
      <c r="AY237" s="19"/>
      <c r="AZ237" s="18"/>
      <c r="BA237" s="2"/>
      <c r="BB237" s="18"/>
      <c r="BC237" s="118"/>
      <c r="BE237" s="2"/>
      <c r="BF237" s="19"/>
      <c r="BG237" s="20"/>
      <c r="BH237" s="21"/>
      <c r="BI237" s="21"/>
      <c r="BK237" s="19"/>
      <c r="BL237" s="18"/>
      <c r="BM237" s="2"/>
      <c r="BN237" s="18"/>
      <c r="BO237" s="118"/>
      <c r="BQ237" s="2"/>
      <c r="BR237" s="19"/>
      <c r="BS237" s="20"/>
      <c r="BT237" s="21"/>
      <c r="BU237" s="21"/>
      <c r="BW237" s="19"/>
      <c r="BX237" s="18"/>
      <c r="BY237" s="2"/>
      <c r="BZ237" s="18"/>
      <c r="CA237" s="118"/>
      <c r="CC237" s="2"/>
      <c r="CD237" s="19"/>
      <c r="CE237" s="20"/>
      <c r="CF237" s="21"/>
      <c r="CG237" s="21"/>
      <c r="CI237" s="19"/>
      <c r="CJ237" s="18"/>
      <c r="CK237" s="2"/>
      <c r="CL237" s="18"/>
      <c r="CM237" s="118"/>
      <c r="CO237" s="2"/>
      <c r="CP237" s="19"/>
      <c r="CQ237" s="20"/>
      <c r="CR237" s="21"/>
      <c r="CS237" s="21"/>
    </row>
    <row r="238" spans="1:97" x14ac:dyDescent="0.25">
      <c r="A238" s="1">
        <f t="shared" si="89"/>
        <v>212</v>
      </c>
      <c r="B238" s="19">
        <f t="shared" si="90"/>
        <v>44.018150147472014</v>
      </c>
      <c r="C238" s="18">
        <f t="shared" si="104"/>
        <v>3.194851961959106</v>
      </c>
      <c r="D238" s="2">
        <f t="shared" si="83"/>
        <v>0.91431226425296552</v>
      </c>
      <c r="E238" s="18">
        <f t="shared" si="91"/>
        <v>3.2100904996966553</v>
      </c>
      <c r="F238" s="21">
        <f t="shared" si="84"/>
        <v>0.78109918531158695</v>
      </c>
      <c r="G238" s="1">
        <f t="shared" si="85"/>
        <v>0</v>
      </c>
      <c r="H238" s="2">
        <f t="shared" si="81"/>
        <v>102.46302602597194</v>
      </c>
      <c r="I238" s="19">
        <f t="shared" si="107"/>
        <v>44.356288322931576</v>
      </c>
      <c r="J238" s="20">
        <f t="shared" si="86"/>
        <v>0.93209755310099429</v>
      </c>
      <c r="K238" s="21">
        <f t="shared" si="87"/>
        <v>24.361890269245833</v>
      </c>
      <c r="L238" s="21">
        <f t="shared" si="82"/>
        <v>0.60402149581564013</v>
      </c>
      <c r="M238" s="2">
        <f t="shared" si="92"/>
        <v>18.616265101501135</v>
      </c>
      <c r="N238" s="19">
        <f t="shared" si="105"/>
        <v>292.96621600007421</v>
      </c>
      <c r="O238" s="1">
        <f t="shared" si="93"/>
        <v>212</v>
      </c>
      <c r="P238" s="19">
        <f t="shared" si="94"/>
        <v>92.35638079580734</v>
      </c>
      <c r="Q238" s="18">
        <f t="shared" si="95"/>
        <v>4.705756695214828</v>
      </c>
      <c r="R238" s="2">
        <f t="shared" si="96"/>
        <v>0.92796425507926061</v>
      </c>
      <c r="S238" s="18">
        <f t="shared" si="97"/>
        <v>4.7212227661328159</v>
      </c>
      <c r="T238" s="18">
        <f t="shared" si="98"/>
        <v>1.6683309000556497</v>
      </c>
      <c r="U238" s="1">
        <f t="shared" si="88"/>
        <v>0</v>
      </c>
      <c r="V238" s="2">
        <f t="shared" si="99"/>
        <v>215.01157053837062</v>
      </c>
      <c r="W238" s="19">
        <f t="shared" si="100"/>
        <v>93.07860196466261</v>
      </c>
      <c r="X238" s="20"/>
      <c r="Y238" s="2">
        <f t="shared" si="101"/>
        <v>73.095410043114427</v>
      </c>
      <c r="Z238" s="21">
        <f t="shared" si="102"/>
        <v>1.3065523854075562</v>
      </c>
      <c r="AA238" s="2">
        <f t="shared" si="103"/>
        <v>56.67038795210027</v>
      </c>
      <c r="AB238" s="19">
        <f t="shared" si="106"/>
        <v>56.275000027425897</v>
      </c>
      <c r="AC238" s="2"/>
      <c r="AD238" s="18"/>
      <c r="AE238" s="118"/>
      <c r="AG238" s="2"/>
      <c r="AH238" s="19"/>
      <c r="AI238" s="20"/>
      <c r="AJ238" s="21"/>
      <c r="AK238" s="21"/>
      <c r="AM238" s="19"/>
      <c r="AN238" s="18"/>
      <c r="AO238" s="2"/>
      <c r="AP238" s="18"/>
      <c r="AQ238" s="118"/>
      <c r="AS238" s="2"/>
      <c r="AT238" s="19"/>
      <c r="AU238" s="20"/>
      <c r="AV238" s="21"/>
      <c r="AW238" s="21"/>
      <c r="AY238" s="19"/>
      <c r="AZ238" s="18"/>
      <c r="BA238" s="2"/>
      <c r="BB238" s="18"/>
      <c r="BC238" s="118"/>
      <c r="BE238" s="2"/>
      <c r="BF238" s="19"/>
      <c r="BG238" s="20"/>
      <c r="BH238" s="21"/>
      <c r="BI238" s="21"/>
      <c r="BK238" s="19"/>
      <c r="BL238" s="18"/>
      <c r="BM238" s="2"/>
      <c r="BN238" s="18"/>
      <c r="BO238" s="118"/>
      <c r="BQ238" s="2"/>
      <c r="BR238" s="19"/>
      <c r="BS238" s="20"/>
      <c r="BT238" s="21"/>
      <c r="BU238" s="21"/>
      <c r="BW238" s="19"/>
      <c r="BX238" s="18"/>
      <c r="BY238" s="2"/>
      <c r="BZ238" s="18"/>
      <c r="CA238" s="118"/>
      <c r="CC238" s="2"/>
      <c r="CD238" s="19"/>
      <c r="CE238" s="20"/>
      <c r="CF238" s="21"/>
      <c r="CG238" s="21"/>
      <c r="CI238" s="19"/>
      <c r="CJ238" s="18"/>
      <c r="CK238" s="2"/>
      <c r="CL238" s="18"/>
      <c r="CM238" s="118"/>
      <c r="CO238" s="2"/>
      <c r="CP238" s="19"/>
      <c r="CQ238" s="20"/>
      <c r="CR238" s="21"/>
      <c r="CS238" s="21"/>
    </row>
    <row r="239" spans="1:97" x14ac:dyDescent="0.25">
      <c r="A239" s="1">
        <f t="shared" si="89"/>
        <v>213</v>
      </c>
      <c r="B239" s="19">
        <f t="shared" si="90"/>
        <v>44.356288322931576</v>
      </c>
      <c r="C239" s="18">
        <f t="shared" si="104"/>
        <v>3.2100904996966553</v>
      </c>
      <c r="D239" s="2">
        <f t="shared" si="83"/>
        <v>0.9144522092663816</v>
      </c>
      <c r="E239" s="18">
        <f t="shared" si="91"/>
        <v>3.2253313698510948</v>
      </c>
      <c r="F239" s="21">
        <f t="shared" si="84"/>
        <v>0.78840852803864214</v>
      </c>
      <c r="G239" s="1">
        <f t="shared" si="85"/>
        <v>0</v>
      </c>
      <c r="H239" s="2">
        <f t="shared" si="81"/>
        <v>103.25143455401059</v>
      </c>
      <c r="I239" s="19">
        <f t="shared" si="107"/>
        <v>44.697590716021899</v>
      </c>
      <c r="J239" s="20">
        <f t="shared" si="86"/>
        <v>0.93204841775336333</v>
      </c>
      <c r="K239" s="21">
        <f t="shared" si="87"/>
        <v>24.703271161886565</v>
      </c>
      <c r="L239" s="21">
        <f t="shared" si="82"/>
        <v>0.60977065888289428</v>
      </c>
      <c r="M239" s="2">
        <f t="shared" si="92"/>
        <v>18.880235083701521</v>
      </c>
      <c r="N239" s="19">
        <f t="shared" si="105"/>
        <v>293.19689923967678</v>
      </c>
      <c r="O239" s="1">
        <f t="shared" si="93"/>
        <v>213</v>
      </c>
      <c r="P239" s="19">
        <f t="shared" si="94"/>
        <v>93.07860196466261</v>
      </c>
      <c r="Q239" s="18">
        <f t="shared" si="95"/>
        <v>4.7212227661328159</v>
      </c>
      <c r="R239" s="2">
        <f t="shared" si="96"/>
        <v>0.92810883427693558</v>
      </c>
      <c r="S239" s="18">
        <f t="shared" si="97"/>
        <v>4.7366912467040985</v>
      </c>
      <c r="T239" s="18">
        <f t="shared" si="98"/>
        <v>1.6791047055700632</v>
      </c>
      <c r="U239" s="1">
        <f t="shared" si="88"/>
        <v>0</v>
      </c>
      <c r="V239" s="2">
        <f t="shared" si="99"/>
        <v>216.69067524394072</v>
      </c>
      <c r="W239" s="19">
        <f t="shared" si="100"/>
        <v>93.805487118589056</v>
      </c>
      <c r="X239" s="20"/>
      <c r="Y239" s="2">
        <f t="shared" si="101"/>
        <v>73.822462380626263</v>
      </c>
      <c r="Z239" s="21">
        <f t="shared" si="102"/>
        <v>1.3151279132106133</v>
      </c>
      <c r="AA239" s="2">
        <f t="shared" si="103"/>
        <v>57.23970739504859</v>
      </c>
      <c r="AB239" s="19">
        <f t="shared" si="106"/>
        <v>56.431847969700385</v>
      </c>
      <c r="AC239" s="2"/>
      <c r="AD239" s="18"/>
      <c r="AE239" s="118"/>
      <c r="AG239" s="2"/>
      <c r="AH239" s="19"/>
      <c r="AI239" s="20"/>
      <c r="AJ239" s="21"/>
      <c r="AK239" s="21"/>
      <c r="AM239" s="19"/>
      <c r="AN239" s="18"/>
      <c r="AO239" s="2"/>
      <c r="AP239" s="18"/>
      <c r="AQ239" s="118"/>
      <c r="AS239" s="2"/>
      <c r="AT239" s="19"/>
      <c r="AU239" s="20"/>
      <c r="AV239" s="21"/>
      <c r="AW239" s="21"/>
      <c r="AY239" s="19"/>
      <c r="AZ239" s="18"/>
      <c r="BA239" s="2"/>
      <c r="BB239" s="18"/>
      <c r="BC239" s="118"/>
      <c r="BE239" s="2"/>
      <c r="BF239" s="19"/>
      <c r="BG239" s="20"/>
      <c r="BH239" s="21"/>
      <c r="BI239" s="21"/>
      <c r="BK239" s="19"/>
      <c r="BL239" s="18"/>
      <c r="BM239" s="2"/>
      <c r="BN239" s="18"/>
      <c r="BO239" s="118"/>
      <c r="BQ239" s="2"/>
      <c r="BR239" s="19"/>
      <c r="BS239" s="20"/>
      <c r="BT239" s="21"/>
      <c r="BU239" s="21"/>
      <c r="BW239" s="19"/>
      <c r="BX239" s="18"/>
      <c r="BY239" s="2"/>
      <c r="BZ239" s="18"/>
      <c r="CA239" s="118"/>
      <c r="CC239" s="2"/>
      <c r="CD239" s="19"/>
      <c r="CE239" s="20"/>
      <c r="CF239" s="21"/>
      <c r="CG239" s="21"/>
      <c r="CI239" s="19"/>
      <c r="CJ239" s="18"/>
      <c r="CK239" s="2"/>
      <c r="CL239" s="18"/>
      <c r="CM239" s="118"/>
      <c r="CO239" s="2"/>
      <c r="CP239" s="19"/>
      <c r="CQ239" s="20"/>
      <c r="CR239" s="21"/>
      <c r="CS239" s="21"/>
    </row>
    <row r="240" spans="1:97" x14ac:dyDescent="0.25">
      <c r="A240" s="1">
        <f t="shared" si="89"/>
        <v>214</v>
      </c>
      <c r="B240" s="19">
        <f t="shared" si="90"/>
        <v>44.697590716021899</v>
      </c>
      <c r="C240" s="18">
        <f t="shared" si="104"/>
        <v>3.2253313698510948</v>
      </c>
      <c r="D240" s="2">
        <f t="shared" si="83"/>
        <v>0.91459240761973593</v>
      </c>
      <c r="E240" s="18">
        <f t="shared" si="91"/>
        <v>3.2405745766447569</v>
      </c>
      <c r="F240" s="21">
        <f t="shared" si="84"/>
        <v>0.79575252431318932</v>
      </c>
      <c r="G240" s="1">
        <f t="shared" si="85"/>
        <v>0</v>
      </c>
      <c r="H240" s="2">
        <f t="shared" si="81"/>
        <v>104.04718707832377</v>
      </c>
      <c r="I240" s="19">
        <f t="shared" si="107"/>
        <v>45.042072328278685</v>
      </c>
      <c r="J240" s="20">
        <f t="shared" si="86"/>
        <v>0.93199907256171954</v>
      </c>
      <c r="K240" s="21">
        <f t="shared" si="87"/>
        <v>25.047832004914177</v>
      </c>
      <c r="L240" s="21">
        <f t="shared" si="82"/>
        <v>0.61554794087683207</v>
      </c>
      <c r="M240" s="2">
        <f t="shared" si="92"/>
        <v>19.146706053778072</v>
      </c>
      <c r="N240" s="19">
        <f t="shared" si="105"/>
        <v>293.4264924166165</v>
      </c>
      <c r="O240" s="1">
        <f t="shared" si="93"/>
        <v>214</v>
      </c>
      <c r="P240" s="19">
        <f t="shared" si="94"/>
        <v>93.805487118589056</v>
      </c>
      <c r="Q240" s="18">
        <f t="shared" si="95"/>
        <v>4.7366912467040985</v>
      </c>
      <c r="R240" s="2">
        <f t="shared" si="96"/>
        <v>0.928253241309282</v>
      </c>
      <c r="S240" s="18">
        <f t="shared" si="97"/>
        <v>4.7521621340592528</v>
      </c>
      <c r="T240" s="18">
        <f t="shared" si="98"/>
        <v>1.6899143709584645</v>
      </c>
      <c r="U240" s="1">
        <f t="shared" si="88"/>
        <v>0</v>
      </c>
      <c r="V240" s="2">
        <f t="shared" si="99"/>
        <v>218.38058961489918</v>
      </c>
      <c r="W240" s="19">
        <f t="shared" si="100"/>
        <v>94.537051781341631</v>
      </c>
      <c r="X240" s="20"/>
      <c r="Y240" s="2">
        <f t="shared" si="101"/>
        <v>74.554195303251277</v>
      </c>
      <c r="Z240" s="21">
        <f t="shared" si="102"/>
        <v>1.3237328325151725</v>
      </c>
      <c r="AA240" s="2">
        <f t="shared" si="103"/>
        <v>57.812751911288927</v>
      </c>
      <c r="AB240" s="19">
        <f t="shared" si="106"/>
        <v>56.588183698021851</v>
      </c>
      <c r="AC240" s="2"/>
      <c r="AD240" s="18"/>
      <c r="AE240" s="118"/>
      <c r="AG240" s="2"/>
      <c r="AH240" s="19"/>
      <c r="AI240" s="20"/>
      <c r="AJ240" s="21"/>
      <c r="AK240" s="21"/>
      <c r="AM240" s="19"/>
      <c r="AN240" s="18"/>
      <c r="AO240" s="2"/>
      <c r="AP240" s="18"/>
      <c r="AQ240" s="118"/>
      <c r="AS240" s="2"/>
      <c r="AT240" s="19"/>
      <c r="AU240" s="20"/>
      <c r="AV240" s="21"/>
      <c r="AW240" s="21"/>
      <c r="AY240" s="19"/>
      <c r="AZ240" s="18"/>
      <c r="BA240" s="2"/>
      <c r="BB240" s="18"/>
      <c r="BC240" s="118"/>
      <c r="BE240" s="2"/>
      <c r="BF240" s="19"/>
      <c r="BG240" s="20"/>
      <c r="BH240" s="21"/>
      <c r="BI240" s="21"/>
      <c r="BK240" s="19"/>
      <c r="BL240" s="18"/>
      <c r="BM240" s="2"/>
      <c r="BN240" s="18"/>
      <c r="BO240" s="118"/>
      <c r="BQ240" s="2"/>
      <c r="BR240" s="19"/>
      <c r="BS240" s="20"/>
      <c r="BT240" s="21"/>
      <c r="BU240" s="21"/>
      <c r="BW240" s="19"/>
      <c r="BX240" s="18"/>
      <c r="BY240" s="2"/>
      <c r="BZ240" s="18"/>
      <c r="CA240" s="118"/>
      <c r="CC240" s="2"/>
      <c r="CD240" s="19"/>
      <c r="CE240" s="20"/>
      <c r="CF240" s="21"/>
      <c r="CG240" s="21"/>
      <c r="CI240" s="19"/>
      <c r="CJ240" s="18"/>
      <c r="CK240" s="2"/>
      <c r="CL240" s="18"/>
      <c r="CM240" s="118"/>
      <c r="CO240" s="2"/>
      <c r="CP240" s="19"/>
      <c r="CQ240" s="20"/>
      <c r="CR240" s="21"/>
      <c r="CS240" s="21"/>
    </row>
    <row r="241" spans="1:97" x14ac:dyDescent="0.25">
      <c r="A241" s="1">
        <f t="shared" si="89"/>
        <v>215</v>
      </c>
      <c r="B241" s="19">
        <f t="shared" si="90"/>
        <v>45.042072328278685</v>
      </c>
      <c r="C241" s="18">
        <f t="shared" si="104"/>
        <v>3.2405745766447569</v>
      </c>
      <c r="D241" s="2">
        <f t="shared" si="83"/>
        <v>0.9147328520982404</v>
      </c>
      <c r="E241" s="18">
        <f t="shared" si="91"/>
        <v>3.2558201241797278</v>
      </c>
      <c r="F241" s="21">
        <f t="shared" si="84"/>
        <v>0.80313118715425813</v>
      </c>
      <c r="G241" s="1">
        <f t="shared" si="85"/>
        <v>0</v>
      </c>
      <c r="H241" s="2">
        <f t="shared" si="81"/>
        <v>104.85031826547802</v>
      </c>
      <c r="I241" s="19">
        <f t="shared" si="107"/>
        <v>45.389748166873602</v>
      </c>
      <c r="J241" s="20">
        <f t="shared" si="86"/>
        <v>0.93194951940548398</v>
      </c>
      <c r="K241" s="21">
        <f t="shared" si="87"/>
        <v>25.395587808951969</v>
      </c>
      <c r="L241" s="21">
        <f t="shared" si="82"/>
        <v>0.62135335588988205</v>
      </c>
      <c r="M241" s="2">
        <f t="shared" si="92"/>
        <v>19.415690190526938</v>
      </c>
      <c r="N241" s="19">
        <f t="shared" si="105"/>
        <v>293.65500561956031</v>
      </c>
      <c r="O241" s="1">
        <f t="shared" si="93"/>
        <v>215</v>
      </c>
      <c r="P241" s="19">
        <f t="shared" si="94"/>
        <v>94.537051781341631</v>
      </c>
      <c r="Q241" s="18">
        <f t="shared" si="95"/>
        <v>4.7521621340592528</v>
      </c>
      <c r="R241" s="2">
        <f t="shared" si="96"/>
        <v>0.92839747499022962</v>
      </c>
      <c r="S241" s="18">
        <f t="shared" si="97"/>
        <v>4.7676354253090896</v>
      </c>
      <c r="T241" s="18">
        <f t="shared" si="98"/>
        <v>1.7007599071906458</v>
      </c>
      <c r="U241" s="1">
        <f t="shared" si="88"/>
        <v>0</v>
      </c>
      <c r="V241" s="2">
        <f t="shared" si="99"/>
        <v>220.08134952208982</v>
      </c>
      <c r="W241" s="19">
        <f t="shared" si="100"/>
        <v>95.273311481424159</v>
      </c>
      <c r="X241" s="20"/>
      <c r="Y241" s="2">
        <f t="shared" si="101"/>
        <v>75.29062434306482</v>
      </c>
      <c r="Z241" s="21">
        <f t="shared" si="102"/>
        <v>1.3323671548018841</v>
      </c>
      <c r="AA241" s="2">
        <f t="shared" si="103"/>
        <v>58.389534229384978</v>
      </c>
      <c r="AB241" s="19">
        <f t="shared" si="106"/>
        <v>56.74401046802619</v>
      </c>
      <c r="AC241" s="2"/>
      <c r="AD241" s="18"/>
      <c r="AE241" s="118"/>
      <c r="AG241" s="2"/>
      <c r="AH241" s="19"/>
      <c r="AI241" s="20"/>
      <c r="AJ241" s="21"/>
      <c r="AK241" s="21"/>
      <c r="AM241" s="19"/>
      <c r="AN241" s="18"/>
      <c r="AO241" s="2"/>
      <c r="AP241" s="18"/>
      <c r="AQ241" s="118"/>
      <c r="AS241" s="2"/>
      <c r="AT241" s="19"/>
      <c r="AU241" s="20"/>
      <c r="AV241" s="21"/>
      <c r="AW241" s="21"/>
      <c r="AY241" s="19"/>
      <c r="AZ241" s="18"/>
      <c r="BA241" s="2"/>
      <c r="BB241" s="18"/>
      <c r="BC241" s="118"/>
      <c r="BE241" s="2"/>
      <c r="BF241" s="19"/>
      <c r="BG241" s="20"/>
      <c r="BH241" s="21"/>
      <c r="BI241" s="21"/>
      <c r="BK241" s="19"/>
      <c r="BL241" s="18"/>
      <c r="BM241" s="2"/>
      <c r="BN241" s="18"/>
      <c r="BO241" s="118"/>
      <c r="BQ241" s="2"/>
      <c r="BR241" s="19"/>
      <c r="BS241" s="20"/>
      <c r="BT241" s="21"/>
      <c r="BU241" s="21"/>
      <c r="BW241" s="19"/>
      <c r="BX241" s="18"/>
      <c r="BY241" s="2"/>
      <c r="BZ241" s="18"/>
      <c r="CA241" s="118"/>
      <c r="CC241" s="2"/>
      <c r="CD241" s="19"/>
      <c r="CE241" s="20"/>
      <c r="CF241" s="21"/>
      <c r="CG241" s="21"/>
      <c r="CI241" s="19"/>
      <c r="CJ241" s="18"/>
      <c r="CK241" s="2"/>
      <c r="CL241" s="18"/>
      <c r="CM241" s="118"/>
      <c r="CO241" s="2"/>
      <c r="CP241" s="19"/>
      <c r="CQ241" s="20"/>
      <c r="CR241" s="21"/>
      <c r="CS241" s="21"/>
    </row>
    <row r="242" spans="1:97" x14ac:dyDescent="0.25">
      <c r="A242" s="1">
        <f t="shared" si="89"/>
        <v>216</v>
      </c>
      <c r="B242" s="19">
        <f t="shared" si="90"/>
        <v>45.389748166873602</v>
      </c>
      <c r="C242" s="18">
        <f t="shared" si="104"/>
        <v>3.2558201241797278</v>
      </c>
      <c r="D242" s="2">
        <f t="shared" si="83"/>
        <v>0.91487353555779061</v>
      </c>
      <c r="E242" s="18">
        <f t="shared" si="91"/>
        <v>3.2710680164390245</v>
      </c>
      <c r="F242" s="21">
        <f t="shared" si="84"/>
        <v>0.8105445295809488</v>
      </c>
      <c r="G242" s="1">
        <f t="shared" si="85"/>
        <v>0</v>
      </c>
      <c r="H242" s="2">
        <f t="shared" si="81"/>
        <v>105.66086279505897</v>
      </c>
      <c r="I242" s="19">
        <f t="shared" si="107"/>
        <v>45.740633244614273</v>
      </c>
      <c r="J242" s="20">
        <f t="shared" si="86"/>
        <v>0.9318997601641047</v>
      </c>
      <c r="K242" s="21">
        <f t="shared" si="87"/>
        <v>25.746553590260522</v>
      </c>
      <c r="L242" s="21">
        <f t="shared" si="82"/>
        <v>0.62718691800006232</v>
      </c>
      <c r="M242" s="2">
        <f t="shared" si="92"/>
        <v>19.687199678838653</v>
      </c>
      <c r="N242" s="19">
        <f t="shared" si="105"/>
        <v>293.88244879751352</v>
      </c>
      <c r="O242" s="1">
        <f t="shared" si="93"/>
        <v>216</v>
      </c>
      <c r="P242" s="19">
        <f t="shared" si="94"/>
        <v>95.273311481424159</v>
      </c>
      <c r="Q242" s="18">
        <f t="shared" si="95"/>
        <v>4.7676354253090896</v>
      </c>
      <c r="R242" s="2">
        <f t="shared" si="96"/>
        <v>0.92854153416473384</v>
      </c>
      <c r="S242" s="18">
        <f t="shared" si="97"/>
        <v>4.7831111175451682</v>
      </c>
      <c r="T242" s="18">
        <f t="shared" si="98"/>
        <v>1.71164132520806</v>
      </c>
      <c r="U242" s="1">
        <f t="shared" si="88"/>
        <v>0</v>
      </c>
      <c r="V242" s="2">
        <f t="shared" si="99"/>
        <v>221.79299084729789</v>
      </c>
      <c r="W242" s="19">
        <f t="shared" si="100"/>
        <v>96.014281752077011</v>
      </c>
      <c r="X242" s="20"/>
      <c r="Y242" s="2">
        <f t="shared" si="101"/>
        <v>76.031765036879904</v>
      </c>
      <c r="Z242" s="21">
        <f t="shared" si="102"/>
        <v>1.341030891521672</v>
      </c>
      <c r="AA242" s="2">
        <f t="shared" si="103"/>
        <v>58.970067082857561</v>
      </c>
      <c r="AB242" s="19">
        <f t="shared" si="106"/>
        <v>56.899331504520795</v>
      </c>
      <c r="AC242" s="2"/>
      <c r="AD242" s="18"/>
      <c r="AE242" s="118"/>
      <c r="AG242" s="2"/>
      <c r="AH242" s="19"/>
      <c r="AI242" s="20"/>
      <c r="AJ242" s="21"/>
      <c r="AK242" s="21"/>
      <c r="AM242" s="19"/>
      <c r="AN242" s="18"/>
      <c r="AO242" s="2"/>
      <c r="AP242" s="18"/>
      <c r="AQ242" s="118"/>
      <c r="AS242" s="2"/>
      <c r="AT242" s="19"/>
      <c r="AU242" s="20"/>
      <c r="AV242" s="21"/>
      <c r="AW242" s="21"/>
      <c r="AY242" s="19"/>
      <c r="AZ242" s="18"/>
      <c r="BA242" s="2"/>
      <c r="BB242" s="18"/>
      <c r="BC242" s="118"/>
      <c r="BE242" s="2"/>
      <c r="BF242" s="19"/>
      <c r="BG242" s="20"/>
      <c r="BH242" s="21"/>
      <c r="BI242" s="21"/>
      <c r="BK242" s="19"/>
      <c r="BL242" s="18"/>
      <c r="BM242" s="2"/>
      <c r="BN242" s="18"/>
      <c r="BO242" s="118"/>
      <c r="BQ242" s="2"/>
      <c r="BR242" s="19"/>
      <c r="BS242" s="20"/>
      <c r="BT242" s="21"/>
      <c r="BU242" s="21"/>
      <c r="BW242" s="19"/>
      <c r="BX242" s="18"/>
      <c r="BY242" s="2"/>
      <c r="BZ242" s="18"/>
      <c r="CA242" s="118"/>
      <c r="CC242" s="2"/>
      <c r="CD242" s="19"/>
      <c r="CE242" s="20"/>
      <c r="CF242" s="21"/>
      <c r="CG242" s="21"/>
      <c r="CI242" s="19"/>
      <c r="CJ242" s="18"/>
      <c r="CK242" s="2"/>
      <c r="CL242" s="18"/>
      <c r="CM242" s="118"/>
      <c r="CO242" s="2"/>
      <c r="CP242" s="19"/>
      <c r="CQ242" s="20"/>
      <c r="CR242" s="21"/>
      <c r="CS242" s="21"/>
    </row>
    <row r="243" spans="1:97" x14ac:dyDescent="0.25">
      <c r="A243" s="1">
        <f t="shared" si="89"/>
        <v>217</v>
      </c>
      <c r="B243" s="19">
        <f t="shared" si="90"/>
        <v>45.740633244614273</v>
      </c>
      <c r="C243" s="18">
        <f t="shared" si="104"/>
        <v>3.2710680164390245</v>
      </c>
      <c r="D243" s="2">
        <f t="shared" si="83"/>
        <v>0.91501445092546907</v>
      </c>
      <c r="E243" s="18">
        <f t="shared" si="91"/>
        <v>3.2863182572877823</v>
      </c>
      <c r="F243" s="21">
        <f t="shared" si="84"/>
        <v>0.81799256461150549</v>
      </c>
      <c r="G243" s="1">
        <f t="shared" si="85"/>
        <v>0</v>
      </c>
      <c r="H243" s="2">
        <f t="shared" si="81"/>
        <v>106.47885535967048</v>
      </c>
      <c r="I243" s="19">
        <f t="shared" si="107"/>
        <v>46.094742579943926</v>
      </c>
      <c r="J243" s="20">
        <f t="shared" si="86"/>
        <v>0.93184979671670021</v>
      </c>
      <c r="K243" s="21">
        <f t="shared" si="87"/>
        <v>26.100744370737303</v>
      </c>
      <c r="L243" s="21">
        <f t="shared" si="82"/>
        <v>0.63304864127038796</v>
      </c>
      <c r="M243" s="2">
        <f t="shared" si="92"/>
        <v>19.961246709691633</v>
      </c>
      <c r="N243" s="19">
        <f t="shared" si="105"/>
        <v>294.10883176239406</v>
      </c>
      <c r="O243" s="1">
        <f t="shared" si="93"/>
        <v>217</v>
      </c>
      <c r="P243" s="19">
        <f t="shared" si="94"/>
        <v>96.014281752077011</v>
      </c>
      <c r="Q243" s="18">
        <f t="shared" si="95"/>
        <v>4.7831111175451682</v>
      </c>
      <c r="R243" s="2">
        <f t="shared" si="96"/>
        <v>0.92868541770826696</v>
      </c>
      <c r="S243" s="18">
        <f t="shared" si="97"/>
        <v>4.7985892078403056</v>
      </c>
      <c r="T243" s="18">
        <f t="shared" si="98"/>
        <v>1.7225586359239036</v>
      </c>
      <c r="U243" s="1">
        <f t="shared" si="88"/>
        <v>0</v>
      </c>
      <c r="V243" s="2">
        <f t="shared" si="99"/>
        <v>223.5155494832218</v>
      </c>
      <c r="W243" s="19">
        <f t="shared" si="100"/>
        <v>96.759978131264845</v>
      </c>
      <c r="X243" s="20"/>
      <c r="Y243" s="2">
        <f t="shared" si="101"/>
        <v>76.777632926234958</v>
      </c>
      <c r="Z243" s="21">
        <f t="shared" si="102"/>
        <v>1.3497240540958411</v>
      </c>
      <c r="AA243" s="2">
        <f t="shared" si="103"/>
        <v>59.554363210171779</v>
      </c>
      <c r="AB243" s="19">
        <f t="shared" si="106"/>
        <v>57.05415000187309</v>
      </c>
      <c r="AC243" s="2"/>
      <c r="AD243" s="18"/>
      <c r="AE243" s="118"/>
      <c r="AG243" s="2"/>
      <c r="AH243" s="19"/>
      <c r="AI243" s="20"/>
      <c r="AJ243" s="21"/>
      <c r="AK243" s="21"/>
      <c r="AM243" s="19"/>
      <c r="AN243" s="18"/>
      <c r="AO243" s="2"/>
      <c r="AP243" s="18"/>
      <c r="AQ243" s="118"/>
      <c r="AS243" s="2"/>
      <c r="AT243" s="19"/>
      <c r="AU243" s="20"/>
      <c r="AV243" s="21"/>
      <c r="AW243" s="21"/>
      <c r="AY243" s="19"/>
      <c r="AZ243" s="18"/>
      <c r="BA243" s="2"/>
      <c r="BB243" s="18"/>
      <c r="BC243" s="118"/>
      <c r="BE243" s="2"/>
      <c r="BF243" s="19"/>
      <c r="BG243" s="20"/>
      <c r="BH243" s="21"/>
      <c r="BI243" s="21"/>
      <c r="BK243" s="19"/>
      <c r="BL243" s="18"/>
      <c r="BM243" s="2"/>
      <c r="BN243" s="18"/>
      <c r="BO243" s="118"/>
      <c r="BQ243" s="2"/>
      <c r="BR243" s="19"/>
      <c r="BS243" s="20"/>
      <c r="BT243" s="21"/>
      <c r="BU243" s="21"/>
      <c r="BW243" s="19"/>
      <c r="BX243" s="18"/>
      <c r="BY243" s="2"/>
      <c r="BZ243" s="18"/>
      <c r="CA243" s="118"/>
      <c r="CC243" s="2"/>
      <c r="CD243" s="19"/>
      <c r="CE243" s="20"/>
      <c r="CF243" s="21"/>
      <c r="CG243" s="21"/>
      <c r="CI243" s="19"/>
      <c r="CJ243" s="18"/>
      <c r="CK243" s="2"/>
      <c r="CL243" s="18"/>
      <c r="CM243" s="118"/>
      <c r="CO243" s="2"/>
      <c r="CP243" s="19"/>
      <c r="CQ243" s="20"/>
      <c r="CR243" s="21"/>
      <c r="CS243" s="21"/>
    </row>
    <row r="244" spans="1:97" x14ac:dyDescent="0.25">
      <c r="A244" s="1">
        <f t="shared" si="89"/>
        <v>218</v>
      </c>
      <c r="B244" s="19">
        <f t="shared" si="90"/>
        <v>46.094742579943926</v>
      </c>
      <c r="C244" s="18">
        <f t="shared" si="104"/>
        <v>3.2863182572877823</v>
      </c>
      <c r="D244" s="2">
        <f t="shared" si="83"/>
        <v>0.91515559120000578</v>
      </c>
      <c r="E244" s="18">
        <f t="shared" si="91"/>
        <v>3.301570850474449</v>
      </c>
      <c r="F244" s="21">
        <f t="shared" si="84"/>
        <v>0.8254753052624062</v>
      </c>
      <c r="G244" s="1">
        <f t="shared" si="85"/>
        <v>0</v>
      </c>
      <c r="H244" s="2">
        <f t="shared" si="81"/>
        <v>107.30433066493288</v>
      </c>
      <c r="I244" s="19">
        <f t="shared" si="107"/>
        <v>46.452091196940636</v>
      </c>
      <c r="J244" s="20">
        <f t="shared" si="86"/>
        <v>0.93179963094171037</v>
      </c>
      <c r="K244" s="21">
        <f t="shared" si="87"/>
        <v>26.458175177915926</v>
      </c>
      <c r="L244" s="21">
        <f t="shared" si="82"/>
        <v>0.63893853974828707</v>
      </c>
      <c r="M244" s="2">
        <f t="shared" si="92"/>
        <v>20.237843480145436</v>
      </c>
      <c r="N244" s="19">
        <f t="shared" si="105"/>
        <v>294.33416419154793</v>
      </c>
      <c r="O244" s="1">
        <f t="shared" si="93"/>
        <v>218</v>
      </c>
      <c r="P244" s="19">
        <f t="shared" si="94"/>
        <v>96.759978131264845</v>
      </c>
      <c r="Q244" s="18">
        <f t="shared" si="95"/>
        <v>4.7985892078403056</v>
      </c>
      <c r="R244" s="2">
        <f t="shared" si="96"/>
        <v>0.92882912452631539</v>
      </c>
      <c r="S244" s="18">
        <f t="shared" si="97"/>
        <v>4.8140696932490776</v>
      </c>
      <c r="T244" s="18">
        <f t="shared" si="98"/>
        <v>1.733511850223199</v>
      </c>
      <c r="U244" s="1">
        <f t="shared" si="88"/>
        <v>0</v>
      </c>
      <c r="V244" s="2">
        <f t="shared" si="99"/>
        <v>225.24906133344501</v>
      </c>
      <c r="W244" s="19">
        <f t="shared" si="100"/>
        <v>97.510416161664509</v>
      </c>
      <c r="X244" s="20"/>
      <c r="Y244" s="2">
        <f t="shared" si="101"/>
        <v>77.5282435573816</v>
      </c>
      <c r="Z244" s="21">
        <f t="shared" si="102"/>
        <v>1.3584466539161779</v>
      </c>
      <c r="AA244" s="2">
        <f t="shared" si="103"/>
        <v>60.142435354724235</v>
      </c>
      <c r="AB244" s="19">
        <f t="shared" si="106"/>
        <v>57.208469124392991</v>
      </c>
      <c r="AC244" s="2"/>
      <c r="AD244" s="18"/>
      <c r="AE244" s="118"/>
      <c r="AG244" s="2"/>
      <c r="AH244" s="19"/>
      <c r="AI244" s="20"/>
      <c r="AJ244" s="21"/>
      <c r="AK244" s="21"/>
      <c r="AM244" s="19"/>
      <c r="AN244" s="18"/>
      <c r="AO244" s="2"/>
      <c r="AP244" s="18"/>
      <c r="AQ244" s="118"/>
      <c r="AS244" s="2"/>
      <c r="AT244" s="19"/>
      <c r="AU244" s="20"/>
      <c r="AV244" s="21"/>
      <c r="AW244" s="21"/>
      <c r="AY244" s="19"/>
      <c r="AZ244" s="18"/>
      <c r="BA244" s="2"/>
      <c r="BB244" s="18"/>
      <c r="BC244" s="118"/>
      <c r="BE244" s="2"/>
      <c r="BF244" s="19"/>
      <c r="BG244" s="20"/>
      <c r="BH244" s="21"/>
      <c r="BI244" s="21"/>
      <c r="BK244" s="19"/>
      <c r="BL244" s="18"/>
      <c r="BM244" s="2"/>
      <c r="BN244" s="18"/>
      <c r="BO244" s="118"/>
      <c r="BQ244" s="2"/>
      <c r="BR244" s="19"/>
      <c r="BS244" s="20"/>
      <c r="BT244" s="21"/>
      <c r="BU244" s="21"/>
      <c r="BW244" s="19"/>
      <c r="BX244" s="18"/>
      <c r="BY244" s="2"/>
      <c r="BZ244" s="18"/>
      <c r="CA244" s="118"/>
      <c r="CC244" s="2"/>
      <c r="CD244" s="19"/>
      <c r="CE244" s="20"/>
      <c r="CF244" s="21"/>
      <c r="CG244" s="21"/>
      <c r="CI244" s="19"/>
      <c r="CJ244" s="18"/>
      <c r="CK244" s="2"/>
      <c r="CL244" s="18"/>
      <c r="CM244" s="118"/>
      <c r="CO244" s="2"/>
      <c r="CP244" s="19"/>
      <c r="CQ244" s="20"/>
      <c r="CR244" s="21"/>
      <c r="CS244" s="21"/>
    </row>
    <row r="245" spans="1:97" x14ac:dyDescent="0.25">
      <c r="A245" s="1">
        <f t="shared" si="89"/>
        <v>219</v>
      </c>
      <c r="B245" s="19">
        <f t="shared" si="90"/>
        <v>46.452091196940636</v>
      </c>
      <c r="C245" s="18">
        <f t="shared" si="104"/>
        <v>3.301570850474449</v>
      </c>
      <c r="D245" s="2">
        <f t="shared" si="83"/>
        <v>0.91529694945219353</v>
      </c>
      <c r="E245" s="18">
        <f t="shared" si="91"/>
        <v>3.3168257996319856</v>
      </c>
      <c r="F245" s="21">
        <f t="shared" si="84"/>
        <v>0.83299276454747939</v>
      </c>
      <c r="G245" s="1">
        <f t="shared" si="85"/>
        <v>0</v>
      </c>
      <c r="H245" s="2">
        <f t="shared" si="81"/>
        <v>108.13732342948036</v>
      </c>
      <c r="I245" s="19">
        <f t="shared" si="107"/>
        <v>46.81269412531617</v>
      </c>
      <c r="J245" s="20">
        <f t="shared" si="86"/>
        <v>0.9317492647165545</v>
      </c>
      <c r="K245" s="21">
        <f t="shared" si="87"/>
        <v>26.818861044964986</v>
      </c>
      <c r="L245" s="21">
        <f t="shared" si="82"/>
        <v>0.64485662746503725</v>
      </c>
      <c r="M245" s="2">
        <f t="shared" si="92"/>
        <v>20.517002193333763</v>
      </c>
      <c r="N245" s="19">
        <f t="shared" si="105"/>
        <v>294.55845563020688</v>
      </c>
      <c r="O245" s="1">
        <f t="shared" si="93"/>
        <v>219</v>
      </c>
      <c r="P245" s="19">
        <f t="shared" si="94"/>
        <v>97.510416161664509</v>
      </c>
      <c r="Q245" s="18">
        <f t="shared" si="95"/>
        <v>4.8140696932490776</v>
      </c>
      <c r="R245" s="2">
        <f t="shared" si="96"/>
        <v>0.92897265355388403</v>
      </c>
      <c r="S245" s="18">
        <f t="shared" si="97"/>
        <v>4.8295525708083087</v>
      </c>
      <c r="T245" s="18">
        <f t="shared" si="98"/>
        <v>1.7445009789628776</v>
      </c>
      <c r="U245" s="1">
        <f t="shared" si="88"/>
        <v>0</v>
      </c>
      <c r="V245" s="2">
        <f t="shared" si="99"/>
        <v>226.9935623124079</v>
      </c>
      <c r="W245" s="19">
        <f t="shared" si="100"/>
        <v>98.265611390652765</v>
      </c>
      <c r="X245" s="20"/>
      <c r="Y245" s="2">
        <f t="shared" si="101"/>
        <v>78.283612481272527</v>
      </c>
      <c r="Z245" s="21">
        <f t="shared" si="102"/>
        <v>1.3671987023450576</v>
      </c>
      <c r="AA245" s="2">
        <f t="shared" si="103"/>
        <v>60.73429626483032</v>
      </c>
      <c r="AB245" s="19">
        <f t="shared" si="106"/>
        <v>57.362292006709346</v>
      </c>
      <c r="AC245" s="2"/>
      <c r="AD245" s="18"/>
      <c r="AE245" s="118"/>
      <c r="AG245" s="2"/>
      <c r="AH245" s="19"/>
      <c r="AI245" s="20"/>
      <c r="AJ245" s="21"/>
      <c r="AK245" s="21"/>
      <c r="AM245" s="19"/>
      <c r="AN245" s="18"/>
      <c r="AO245" s="2"/>
      <c r="AP245" s="18"/>
      <c r="AQ245" s="118"/>
      <c r="AS245" s="2"/>
      <c r="AT245" s="19"/>
      <c r="AU245" s="20"/>
      <c r="AV245" s="21"/>
      <c r="AW245" s="21"/>
      <c r="AY245" s="19"/>
      <c r="AZ245" s="18"/>
      <c r="BA245" s="2"/>
      <c r="BB245" s="18"/>
      <c r="BC245" s="118"/>
      <c r="BE245" s="2"/>
      <c r="BF245" s="19"/>
      <c r="BG245" s="20"/>
      <c r="BH245" s="21"/>
      <c r="BI245" s="21"/>
      <c r="BK245" s="19"/>
      <c r="BL245" s="18"/>
      <c r="BM245" s="2"/>
      <c r="BN245" s="18"/>
      <c r="BO245" s="118"/>
      <c r="BQ245" s="2"/>
      <c r="BR245" s="19"/>
      <c r="BS245" s="20"/>
      <c r="BT245" s="21"/>
      <c r="BU245" s="21"/>
      <c r="BW245" s="19"/>
      <c r="BX245" s="18"/>
      <c r="BY245" s="2"/>
      <c r="BZ245" s="18"/>
      <c r="CA245" s="118"/>
      <c r="CC245" s="2"/>
      <c r="CD245" s="19"/>
      <c r="CE245" s="20"/>
      <c r="CF245" s="21"/>
      <c r="CG245" s="21"/>
      <c r="CI245" s="19"/>
      <c r="CJ245" s="18"/>
      <c r="CK245" s="2"/>
      <c r="CL245" s="18"/>
      <c r="CM245" s="118"/>
      <c r="CO245" s="2"/>
      <c r="CP245" s="19"/>
      <c r="CQ245" s="20"/>
      <c r="CR245" s="21"/>
      <c r="CS245" s="21"/>
    </row>
    <row r="246" spans="1:97" x14ac:dyDescent="0.25">
      <c r="A246" s="1">
        <f t="shared" si="89"/>
        <v>220</v>
      </c>
      <c r="B246" s="19">
        <f t="shared" si="90"/>
        <v>46.81269412531617</v>
      </c>
      <c r="C246" s="18">
        <f t="shared" si="104"/>
        <v>3.3168257996319856</v>
      </c>
      <c r="D246" s="2">
        <f t="shared" si="83"/>
        <v>0.91543851882525917</v>
      </c>
      <c r="E246" s="18">
        <f t="shared" si="91"/>
        <v>3.3320831082790732</v>
      </c>
      <c r="F246" s="21">
        <f t="shared" si="84"/>
        <v>0.84054495547704045</v>
      </c>
      <c r="G246" s="1">
        <f t="shared" si="85"/>
        <v>0</v>
      </c>
      <c r="H246" s="2">
        <f t="shared" si="81"/>
        <v>108.9778683849574</v>
      </c>
      <c r="I246" s="19">
        <f t="shared" si="107"/>
        <v>47.176566400414458</v>
      </c>
      <c r="J246" s="20">
        <f t="shared" si="86"/>
        <v>0.93169869991729759</v>
      </c>
      <c r="K246" s="21">
        <f t="shared" si="87"/>
        <v>27.182817010686545</v>
      </c>
      <c r="L246" s="21">
        <f t="shared" si="82"/>
        <v>0.65080291843521365</v>
      </c>
      <c r="M246" s="2">
        <f t="shared" si="92"/>
        <v>20.798735058457233</v>
      </c>
      <c r="N246" s="19">
        <f t="shared" si="105"/>
        <v>294.78171549389026</v>
      </c>
      <c r="O246" s="1">
        <f t="shared" si="93"/>
        <v>220</v>
      </c>
      <c r="P246" s="19">
        <f t="shared" si="94"/>
        <v>98.265611390652765</v>
      </c>
      <c r="Q246" s="18">
        <f t="shared" si="95"/>
        <v>4.8295525708083087</v>
      </c>
      <c r="R246" s="2">
        <f t="shared" si="96"/>
        <v>0.92911600375500647</v>
      </c>
      <c r="S246" s="18">
        <f t="shared" si="97"/>
        <v>4.8450378375375589</v>
      </c>
      <c r="T246" s="18">
        <f t="shared" si="98"/>
        <v>1.7555260329718672</v>
      </c>
      <c r="U246" s="1">
        <f t="shared" si="88"/>
        <v>0</v>
      </c>
      <c r="V246" s="2">
        <f t="shared" si="99"/>
        <v>228.74908834537976</v>
      </c>
      <c r="W246" s="19">
        <f t="shared" si="100"/>
        <v>99.025579370294267</v>
      </c>
      <c r="X246" s="20"/>
      <c r="Y246" s="2">
        <f t="shared" si="101"/>
        <v>79.04375525354935</v>
      </c>
      <c r="Z246" s="21">
        <f t="shared" si="102"/>
        <v>1.3759802107155479</v>
      </c>
      <c r="AA246" s="2">
        <f t="shared" si="103"/>
        <v>61.329958693711511</v>
      </c>
      <c r="AB246" s="19">
        <f t="shared" si="106"/>
        <v>57.515621754140476</v>
      </c>
      <c r="AC246" s="2"/>
      <c r="AD246" s="18"/>
      <c r="AE246" s="118"/>
      <c r="AG246" s="2"/>
      <c r="AH246" s="19"/>
      <c r="AI246" s="20"/>
      <c r="AJ246" s="21"/>
      <c r="AK246" s="21"/>
      <c r="AM246" s="19"/>
      <c r="AN246" s="18"/>
      <c r="AO246" s="2"/>
      <c r="AP246" s="18"/>
      <c r="AQ246" s="118"/>
      <c r="AS246" s="2"/>
      <c r="AT246" s="19"/>
      <c r="AU246" s="20"/>
      <c r="AV246" s="21"/>
      <c r="AW246" s="21"/>
      <c r="AY246" s="19"/>
      <c r="AZ246" s="18"/>
      <c r="BA246" s="2"/>
      <c r="BB246" s="18"/>
      <c r="BC246" s="118"/>
      <c r="BE246" s="2"/>
      <c r="BF246" s="19"/>
      <c r="BG246" s="20"/>
      <c r="BH246" s="21"/>
      <c r="BI246" s="21"/>
      <c r="BK246" s="19"/>
      <c r="BL246" s="18"/>
      <c r="BM246" s="2"/>
      <c r="BN246" s="18"/>
      <c r="BO246" s="118"/>
      <c r="BQ246" s="2"/>
      <c r="BR246" s="19"/>
      <c r="BS246" s="20"/>
      <c r="BT246" s="21"/>
      <c r="BU246" s="21"/>
      <c r="BW246" s="19"/>
      <c r="BX246" s="18"/>
      <c r="BY246" s="2"/>
      <c r="BZ246" s="18"/>
      <c r="CA246" s="118"/>
      <c r="CC246" s="2"/>
      <c r="CD246" s="19"/>
      <c r="CE246" s="20"/>
      <c r="CF246" s="21"/>
      <c r="CG246" s="21"/>
      <c r="CI246" s="19"/>
      <c r="CJ246" s="18"/>
      <c r="CK246" s="2"/>
      <c r="CL246" s="18"/>
      <c r="CM246" s="118"/>
      <c r="CO246" s="2"/>
      <c r="CP246" s="19"/>
      <c r="CQ246" s="20"/>
      <c r="CR246" s="21"/>
      <c r="CS246" s="21"/>
    </row>
    <row r="247" spans="1:97" x14ac:dyDescent="0.25">
      <c r="A247" s="1">
        <f t="shared" si="89"/>
        <v>221</v>
      </c>
      <c r="B247" s="19">
        <f t="shared" si="90"/>
        <v>47.176566400414458</v>
      </c>
      <c r="C247" s="18">
        <f t="shared" si="104"/>
        <v>3.3320831082790732</v>
      </c>
      <c r="D247" s="2">
        <f t="shared" si="83"/>
        <v>0.91558029253519402</v>
      </c>
      <c r="E247" s="18">
        <f t="shared" si="91"/>
        <v>3.3473427798213264</v>
      </c>
      <c r="F247" s="21">
        <f t="shared" si="84"/>
        <v>0.84813189105704756</v>
      </c>
      <c r="G247" s="1">
        <f t="shared" si="85"/>
        <v>0</v>
      </c>
      <c r="H247" s="2">
        <f t="shared" si="81"/>
        <v>109.82600027601445</v>
      </c>
      <c r="I247" s="19">
        <f t="shared" si="107"/>
        <v>47.543723063209718</v>
      </c>
      <c r="J247" s="20">
        <f t="shared" si="86"/>
        <v>0.93164793841832394</v>
      </c>
      <c r="K247" s="21">
        <f t="shared" si="87"/>
        <v>27.550058119514247</v>
      </c>
      <c r="L247" s="21">
        <f t="shared" si="82"/>
        <v>0.65677742665615191</v>
      </c>
      <c r="M247" s="2">
        <f t="shared" si="92"/>
        <v>21.083054290775912</v>
      </c>
      <c r="N247" s="19">
        <f t="shared" si="105"/>
        <v>295.00395307075246</v>
      </c>
      <c r="O247" s="1">
        <f t="shared" si="93"/>
        <v>221</v>
      </c>
      <c r="P247" s="19">
        <f t="shared" si="94"/>
        <v>99.025579370294267</v>
      </c>
      <c r="Q247" s="18">
        <f t="shared" si="95"/>
        <v>4.8450378375375589</v>
      </c>
      <c r="R247" s="2">
        <f t="shared" si="96"/>
        <v>0.92925917412226211</v>
      </c>
      <c r="S247" s="18">
        <f t="shared" si="97"/>
        <v>4.8605254904395965</v>
      </c>
      <c r="T247" s="18">
        <f t="shared" si="98"/>
        <v>1.7665870230511764</v>
      </c>
      <c r="U247" s="1">
        <f t="shared" si="88"/>
        <v>0</v>
      </c>
      <c r="V247" s="2">
        <f t="shared" si="99"/>
        <v>230.51567536843095</v>
      </c>
      <c r="W247" s="19">
        <f t="shared" si="100"/>
        <v>99.790335657329408</v>
      </c>
      <c r="X247" s="20"/>
      <c r="Y247" s="2">
        <f t="shared" si="101"/>
        <v>79.808687434530512</v>
      </c>
      <c r="Z247" s="21">
        <f t="shared" si="102"/>
        <v>1.3847911903315173</v>
      </c>
      <c r="AA247" s="2">
        <f t="shared" si="103"/>
        <v>61.929435399482728</v>
      </c>
      <c r="AB247" s="19">
        <f t="shared" si="106"/>
        <v>57.668461443058931</v>
      </c>
      <c r="AC247" s="2"/>
      <c r="AD247" s="18"/>
      <c r="AE247" s="118"/>
      <c r="AG247" s="2"/>
      <c r="AH247" s="19"/>
      <c r="AI247" s="20"/>
      <c r="AJ247" s="21"/>
      <c r="AK247" s="21"/>
      <c r="AM247" s="19"/>
      <c r="AN247" s="18"/>
      <c r="AO247" s="2"/>
      <c r="AP247" s="18"/>
      <c r="AQ247" s="118"/>
      <c r="AS247" s="2"/>
      <c r="AT247" s="19"/>
      <c r="AU247" s="20"/>
      <c r="AV247" s="21"/>
      <c r="AW247" s="21"/>
      <c r="AY247" s="19"/>
      <c r="AZ247" s="18"/>
      <c r="BA247" s="2"/>
      <c r="BB247" s="18"/>
      <c r="BC247" s="118"/>
      <c r="BE247" s="2"/>
      <c r="BF247" s="19"/>
      <c r="BG247" s="20"/>
      <c r="BH247" s="21"/>
      <c r="BI247" s="21"/>
      <c r="BK247" s="19"/>
      <c r="BL247" s="18"/>
      <c r="BM247" s="2"/>
      <c r="BN247" s="18"/>
      <c r="BO247" s="118"/>
      <c r="BQ247" s="2"/>
      <c r="BR247" s="19"/>
      <c r="BS247" s="20"/>
      <c r="BT247" s="21"/>
      <c r="BU247" s="21"/>
      <c r="BW247" s="19"/>
      <c r="BX247" s="18"/>
      <c r="BY247" s="2"/>
      <c r="BZ247" s="18"/>
      <c r="CA247" s="118"/>
      <c r="CC247" s="2"/>
      <c r="CD247" s="19"/>
      <c r="CE247" s="20"/>
      <c r="CF247" s="21"/>
      <c r="CG247" s="21"/>
      <c r="CI247" s="19"/>
      <c r="CJ247" s="18"/>
      <c r="CK247" s="2"/>
      <c r="CL247" s="18"/>
      <c r="CM247" s="118"/>
      <c r="CO247" s="2"/>
      <c r="CP247" s="19"/>
      <c r="CQ247" s="20"/>
      <c r="CR247" s="21"/>
      <c r="CS247" s="21"/>
    </row>
    <row r="248" spans="1:97" x14ac:dyDescent="0.25">
      <c r="A248" s="1">
        <f t="shared" si="89"/>
        <v>222</v>
      </c>
      <c r="B248" s="19">
        <f t="shared" si="90"/>
        <v>47.543723063209718</v>
      </c>
      <c r="C248" s="18">
        <f t="shared" si="104"/>
        <v>3.3473427798213264</v>
      </c>
      <c r="D248" s="2">
        <f t="shared" si="83"/>
        <v>0.91572226387104305</v>
      </c>
      <c r="E248" s="18">
        <f t="shared" si="91"/>
        <v>3.3626048175525103</v>
      </c>
      <c r="F248" s="21">
        <f t="shared" si="84"/>
        <v>0.85575358428828474</v>
      </c>
      <c r="G248" s="1">
        <f t="shared" si="85"/>
        <v>0</v>
      </c>
      <c r="H248" s="2">
        <f t="shared" si="81"/>
        <v>110.68175386030273</v>
      </c>
      <c r="I248" s="19">
        <f t="shared" si="107"/>
        <v>47.914179160304215</v>
      </c>
      <c r="J248" s="20">
        <f t="shared" si="86"/>
        <v>0.93159698209201836</v>
      </c>
      <c r="K248" s="21">
        <f t="shared" si="87"/>
        <v>27.920599421511074</v>
      </c>
      <c r="L248" s="21">
        <f t="shared" si="82"/>
        <v>0.6627801661074284</v>
      </c>
      <c r="M248" s="2">
        <f t="shared" si="92"/>
        <v>21.369972111601641</v>
      </c>
      <c r="N248" s="19">
        <f t="shared" si="105"/>
        <v>295.22517752387733</v>
      </c>
      <c r="O248" s="1">
        <f t="shared" si="93"/>
        <v>222</v>
      </c>
      <c r="P248" s="19">
        <f t="shared" si="94"/>
        <v>99.790335657329408</v>
      </c>
      <c r="Q248" s="18">
        <f t="shared" si="95"/>
        <v>4.8605254904395965</v>
      </c>
      <c r="R248" s="2">
        <f t="shared" si="96"/>
        <v>0.92940216367629858</v>
      </c>
      <c r="S248" s="18">
        <f t="shared" si="97"/>
        <v>4.8760155265008684</v>
      </c>
      <c r="T248" s="18">
        <f t="shared" si="98"/>
        <v>1.7776839599739835</v>
      </c>
      <c r="U248" s="1">
        <f t="shared" si="88"/>
        <v>0</v>
      </c>
      <c r="V248" s="2">
        <f t="shared" si="99"/>
        <v>232.29335932840493</v>
      </c>
      <c r="W248" s="19">
        <f t="shared" si="100"/>
        <v>100.5598958131623</v>
      </c>
      <c r="X248" s="20"/>
      <c r="Y248" s="2">
        <f t="shared" si="101"/>
        <v>80.578424589199244</v>
      </c>
      <c r="Z248" s="21">
        <f t="shared" si="102"/>
        <v>1.393631652467739</v>
      </c>
      <c r="AA248" s="2">
        <f t="shared" si="103"/>
        <v>62.532739145139757</v>
      </c>
      <c r="AB248" s="19">
        <f t="shared" si="106"/>
        <v>57.820814121250606</v>
      </c>
      <c r="AC248" s="2"/>
      <c r="AD248" s="18"/>
      <c r="AE248" s="118"/>
      <c r="AG248" s="2"/>
      <c r="AH248" s="19"/>
      <c r="AI248" s="20"/>
      <c r="AJ248" s="21"/>
      <c r="AK248" s="21"/>
      <c r="AM248" s="19"/>
      <c r="AN248" s="18"/>
      <c r="AO248" s="2"/>
      <c r="AP248" s="18"/>
      <c r="AQ248" s="118"/>
      <c r="AS248" s="2"/>
      <c r="AT248" s="19"/>
      <c r="AU248" s="20"/>
      <c r="AV248" s="21"/>
      <c r="AW248" s="21"/>
      <c r="AY248" s="19"/>
      <c r="AZ248" s="18"/>
      <c r="BA248" s="2"/>
      <c r="BB248" s="18"/>
      <c r="BC248" s="118"/>
      <c r="BE248" s="2"/>
      <c r="BF248" s="19"/>
      <c r="BG248" s="20"/>
      <c r="BH248" s="21"/>
      <c r="BI248" s="21"/>
      <c r="BK248" s="19"/>
      <c r="BL248" s="18"/>
      <c r="BM248" s="2"/>
      <c r="BN248" s="18"/>
      <c r="BO248" s="118"/>
      <c r="BQ248" s="2"/>
      <c r="BR248" s="19"/>
      <c r="BS248" s="20"/>
      <c r="BT248" s="21"/>
      <c r="BU248" s="21"/>
      <c r="BW248" s="19"/>
      <c r="BX248" s="18"/>
      <c r="BY248" s="2"/>
      <c r="BZ248" s="18"/>
      <c r="CA248" s="118"/>
      <c r="CC248" s="2"/>
      <c r="CD248" s="19"/>
      <c r="CE248" s="20"/>
      <c r="CF248" s="21"/>
      <c r="CG248" s="21"/>
      <c r="CI248" s="19"/>
      <c r="CJ248" s="18"/>
      <c r="CK248" s="2"/>
      <c r="CL248" s="18"/>
      <c r="CM248" s="118"/>
      <c r="CO248" s="2"/>
      <c r="CP248" s="19"/>
      <c r="CQ248" s="20"/>
      <c r="CR248" s="21"/>
      <c r="CS248" s="21"/>
    </row>
    <row r="249" spans="1:97" x14ac:dyDescent="0.25">
      <c r="A249" s="1">
        <f t="shared" si="89"/>
        <v>223</v>
      </c>
      <c r="B249" s="19">
        <f t="shared" si="90"/>
        <v>47.914179160304215</v>
      </c>
      <c r="C249" s="18">
        <f t="shared" si="104"/>
        <v>3.3626048175525103</v>
      </c>
      <c r="D249" s="2">
        <f t="shared" si="83"/>
        <v>0.91586442619515296</v>
      </c>
      <c r="E249" s="18">
        <f t="shared" si="91"/>
        <v>3.3778692246557629</v>
      </c>
      <c r="F249" s="21">
        <f t="shared" si="84"/>
        <v>0.86341004816555944</v>
      </c>
      <c r="G249" s="1">
        <f t="shared" si="85"/>
        <v>0</v>
      </c>
      <c r="H249" s="2">
        <f t="shared" si="81"/>
        <v>111.5451639084683</v>
      </c>
      <c r="I249" s="19">
        <f t="shared" si="107"/>
        <v>48.287949743925665</v>
      </c>
      <c r="J249" s="20">
        <f t="shared" si="86"/>
        <v>0.93154583280845427</v>
      </c>
      <c r="K249" s="21">
        <f t="shared" si="87"/>
        <v>28.294455972366762</v>
      </c>
      <c r="L249" s="21">
        <f t="shared" si="82"/>
        <v>0.66881115075035158</v>
      </c>
      <c r="M249" s="2">
        <f t="shared" si="92"/>
        <v>21.659500748290103</v>
      </c>
      <c r="N249" s="19">
        <f t="shared" si="105"/>
        <v>295.44539789352115</v>
      </c>
      <c r="O249" s="1">
        <f t="shared" si="93"/>
        <v>223</v>
      </c>
      <c r="P249" s="19">
        <f t="shared" si="94"/>
        <v>100.5598958131623</v>
      </c>
      <c r="Q249" s="18">
        <f t="shared" si="95"/>
        <v>4.8760155265008684</v>
      </c>
      <c r="R249" s="2">
        <f t="shared" si="96"/>
        <v>0.92954497146536219</v>
      </c>
      <c r="S249" s="18">
        <f t="shared" si="97"/>
        <v>4.8915079426919581</v>
      </c>
      <c r="T249" s="18">
        <f t="shared" si="98"/>
        <v>1.7888168544857259</v>
      </c>
      <c r="U249" s="1">
        <f t="shared" si="88"/>
        <v>0</v>
      </c>
      <c r="V249" s="2">
        <f t="shared" si="99"/>
        <v>234.08217618289063</v>
      </c>
      <c r="W249" s="19">
        <f t="shared" si="100"/>
        <v>101.33427540384876</v>
      </c>
      <c r="X249" s="20"/>
      <c r="Y249" s="2">
        <f t="shared" si="101"/>
        <v>81.352982287191566</v>
      </c>
      <c r="Z249" s="21">
        <f t="shared" si="102"/>
        <v>1.4025016083700006</v>
      </c>
      <c r="AA249" s="2">
        <f t="shared" si="103"/>
        <v>63.139882698546685</v>
      </c>
      <c r="AB249" s="19">
        <f t="shared" si="106"/>
        <v>57.97268280826826</v>
      </c>
      <c r="AC249" s="2"/>
      <c r="AD249" s="18"/>
      <c r="AE249" s="118"/>
      <c r="AG249" s="2"/>
      <c r="AH249" s="19"/>
      <c r="AI249" s="20"/>
      <c r="AJ249" s="21"/>
      <c r="AK249" s="21"/>
      <c r="AM249" s="19"/>
      <c r="AN249" s="18"/>
      <c r="AO249" s="2"/>
      <c r="AP249" s="18"/>
      <c r="AQ249" s="118"/>
      <c r="AS249" s="2"/>
      <c r="AT249" s="19"/>
      <c r="AU249" s="20"/>
      <c r="AV249" s="21"/>
      <c r="AW249" s="21"/>
      <c r="AY249" s="19"/>
      <c r="AZ249" s="18"/>
      <c r="BA249" s="2"/>
      <c r="BB249" s="18"/>
      <c r="BC249" s="118"/>
      <c r="BE249" s="2"/>
      <c r="BF249" s="19"/>
      <c r="BG249" s="20"/>
      <c r="BH249" s="21"/>
      <c r="BI249" s="21"/>
      <c r="BK249" s="19"/>
      <c r="BL249" s="18"/>
      <c r="BM249" s="2"/>
      <c r="BN249" s="18"/>
      <c r="BO249" s="118"/>
      <c r="BQ249" s="2"/>
      <c r="BR249" s="19"/>
      <c r="BS249" s="20"/>
      <c r="BT249" s="21"/>
      <c r="BU249" s="21"/>
      <c r="BW249" s="19"/>
      <c r="BX249" s="18"/>
      <c r="BY249" s="2"/>
      <c r="BZ249" s="18"/>
      <c r="CA249" s="118"/>
      <c r="CC249" s="2"/>
      <c r="CD249" s="19"/>
      <c r="CE249" s="20"/>
      <c r="CF249" s="21"/>
      <c r="CG249" s="21"/>
      <c r="CI249" s="19"/>
      <c r="CJ249" s="18"/>
      <c r="CK249" s="2"/>
      <c r="CL249" s="18"/>
      <c r="CM249" s="118"/>
      <c r="CO249" s="2"/>
      <c r="CP249" s="19"/>
      <c r="CQ249" s="20"/>
      <c r="CR249" s="21"/>
      <c r="CS249" s="21"/>
    </row>
    <row r="250" spans="1:97" x14ac:dyDescent="0.25">
      <c r="A250" s="1">
        <f t="shared" si="89"/>
        <v>224</v>
      </c>
      <c r="B250" s="19">
        <f t="shared" si="90"/>
        <v>48.287949743925665</v>
      </c>
      <c r="C250" s="18">
        <f t="shared" si="104"/>
        <v>3.3778692246557629</v>
      </c>
      <c r="D250" s="2">
        <f t="shared" si="83"/>
        <v>0.91600677294338284</v>
      </c>
      <c r="E250" s="18">
        <f t="shared" si="91"/>
        <v>3.3931360042048193</v>
      </c>
      <c r="F250" s="21">
        <f t="shared" si="84"/>
        <v>0.87110129567692374</v>
      </c>
      <c r="G250" s="1">
        <f t="shared" si="85"/>
        <v>0</v>
      </c>
      <c r="H250" s="2">
        <f t="shared" si="81"/>
        <v>112.4162652041452</v>
      </c>
      <c r="I250" s="19">
        <f t="shared" si="107"/>
        <v>48.665049871924332</v>
      </c>
      <c r="J250" s="20">
        <f t="shared" si="86"/>
        <v>0.93149449243509086</v>
      </c>
      <c r="K250" s="21">
        <f t="shared" si="87"/>
        <v>28.67164283339487</v>
      </c>
      <c r="L250" s="21">
        <f t="shared" si="82"/>
        <v>0.674870394527468</v>
      </c>
      <c r="M250" s="2">
        <f t="shared" si="92"/>
        <v>21.951652434232731</v>
      </c>
      <c r="N250" s="19">
        <f t="shared" si="105"/>
        <v>295.6646230993054</v>
      </c>
      <c r="O250" s="1">
        <f t="shared" si="93"/>
        <v>224</v>
      </c>
      <c r="P250" s="19">
        <f t="shared" si="94"/>
        <v>101.33427540384876</v>
      </c>
      <c r="Q250" s="18">
        <f t="shared" si="95"/>
        <v>4.8915079426919581</v>
      </c>
      <c r="R250" s="2">
        <f t="shared" si="96"/>
        <v>0.92968759656483257</v>
      </c>
      <c r="S250" s="18">
        <f t="shared" si="97"/>
        <v>4.9070027359680388</v>
      </c>
      <c r="T250" s="18">
        <f t="shared" si="98"/>
        <v>1.7999857173041858</v>
      </c>
      <c r="U250" s="1">
        <f t="shared" si="88"/>
        <v>0</v>
      </c>
      <c r="V250" s="2">
        <f t="shared" si="99"/>
        <v>235.88216190019486</v>
      </c>
      <c r="W250" s="19">
        <f t="shared" si="100"/>
        <v>102.11349000008435</v>
      </c>
      <c r="X250" s="20"/>
      <c r="Y250" s="2">
        <f t="shared" si="101"/>
        <v>82.132376102784278</v>
      </c>
      <c r="Z250" s="21">
        <f t="shared" si="102"/>
        <v>1.4114010692552088</v>
      </c>
      <c r="AA250" s="2">
        <f t="shared" si="103"/>
        <v>63.750878832423396</v>
      </c>
      <c r="AB250" s="19">
        <f t="shared" si="106"/>
        <v>58.124070495779584</v>
      </c>
      <c r="AC250" s="2"/>
      <c r="AD250" s="18"/>
      <c r="AE250" s="118"/>
      <c r="AG250" s="2"/>
      <c r="AH250" s="19"/>
      <c r="AI250" s="20"/>
      <c r="AJ250" s="21"/>
      <c r="AK250" s="21"/>
      <c r="AM250" s="19"/>
      <c r="AN250" s="18"/>
      <c r="AO250" s="2"/>
      <c r="AP250" s="18"/>
      <c r="AQ250" s="118"/>
      <c r="AS250" s="2"/>
      <c r="AT250" s="19"/>
      <c r="AU250" s="20"/>
      <c r="AV250" s="21"/>
      <c r="AW250" s="21"/>
      <c r="AY250" s="19"/>
      <c r="AZ250" s="18"/>
      <c r="BA250" s="2"/>
      <c r="BB250" s="18"/>
      <c r="BC250" s="118"/>
      <c r="BE250" s="2"/>
      <c r="BF250" s="19"/>
      <c r="BG250" s="20"/>
      <c r="BH250" s="21"/>
      <c r="BI250" s="21"/>
      <c r="BK250" s="19"/>
      <c r="BL250" s="18"/>
      <c r="BM250" s="2"/>
      <c r="BN250" s="18"/>
      <c r="BO250" s="118"/>
      <c r="BQ250" s="2"/>
      <c r="BR250" s="19"/>
      <c r="BS250" s="20"/>
      <c r="BT250" s="21"/>
      <c r="BU250" s="21"/>
      <c r="BW250" s="19"/>
      <c r="BX250" s="18"/>
      <c r="BY250" s="2"/>
      <c r="BZ250" s="18"/>
      <c r="CA250" s="118"/>
      <c r="CC250" s="2"/>
      <c r="CD250" s="19"/>
      <c r="CE250" s="20"/>
      <c r="CF250" s="21"/>
      <c r="CG250" s="21"/>
      <c r="CI250" s="19"/>
      <c r="CJ250" s="18"/>
      <c r="CK250" s="2"/>
      <c r="CL250" s="18"/>
      <c r="CM250" s="118"/>
      <c r="CO250" s="2"/>
      <c r="CP250" s="19"/>
      <c r="CQ250" s="20"/>
      <c r="CR250" s="21"/>
      <c r="CS250" s="21"/>
    </row>
    <row r="251" spans="1:97" x14ac:dyDescent="0.25">
      <c r="A251" s="1">
        <f t="shared" si="89"/>
        <v>225</v>
      </c>
      <c r="B251" s="19">
        <f t="shared" si="90"/>
        <v>48.665049871924332</v>
      </c>
      <c r="C251" s="18">
        <f t="shared" si="104"/>
        <v>3.3931360042048193</v>
      </c>
      <c r="D251" s="2">
        <f t="shared" si="83"/>
        <v>0.91614929762527719</v>
      </c>
      <c r="E251" s="18">
        <f t="shared" si="91"/>
        <v>3.4084051591652407</v>
      </c>
      <c r="F251" s="21">
        <f t="shared" si="84"/>
        <v>0.87882733980291505</v>
      </c>
      <c r="G251" s="1">
        <f t="shared" si="85"/>
        <v>0</v>
      </c>
      <c r="H251" s="2">
        <f t="shared" si="81"/>
        <v>113.29509254394812</v>
      </c>
      <c r="I251" s="19">
        <f t="shared" si="107"/>
        <v>49.045494607769747</v>
      </c>
      <c r="J251" s="20">
        <f t="shared" si="86"/>
        <v>0.93144296283647554</v>
      </c>
      <c r="K251" s="21">
        <f t="shared" si="87"/>
        <v>29.052175071529533</v>
      </c>
      <c r="L251" s="21">
        <f t="shared" si="82"/>
        <v>0.6809579113620835</v>
      </c>
      <c r="M251" s="2">
        <f t="shared" si="92"/>
        <v>22.246439408848353</v>
      </c>
      <c r="N251" s="19">
        <f t="shared" si="105"/>
        <v>295.88286194236082</v>
      </c>
      <c r="O251" s="1">
        <f t="shared" si="93"/>
        <v>225</v>
      </c>
      <c r="P251" s="19">
        <f t="shared" si="94"/>
        <v>102.11349000008435</v>
      </c>
      <c r="Q251" s="18">
        <f t="shared" si="95"/>
        <v>4.9070027359680388</v>
      </c>
      <c r="R251" s="2">
        <f t="shared" si="96"/>
        <v>0.92983003807676523</v>
      </c>
      <c r="S251" s="18">
        <f t="shared" si="97"/>
        <v>4.9224999032693182</v>
      </c>
      <c r="T251" s="18">
        <f t="shared" si="98"/>
        <v>1.8111905591195865</v>
      </c>
      <c r="U251" s="1">
        <f t="shared" si="88"/>
        <v>0</v>
      </c>
      <c r="V251" s="2">
        <f t="shared" si="99"/>
        <v>237.69335245931444</v>
      </c>
      <c r="W251" s="19">
        <f t="shared" si="100"/>
        <v>102.8975551771924</v>
      </c>
      <c r="X251" s="20"/>
      <c r="Y251" s="2">
        <f t="shared" si="101"/>
        <v>82.916621614883056</v>
      </c>
      <c r="Z251" s="21">
        <f t="shared" si="102"/>
        <v>1.4203300463115007</v>
      </c>
      <c r="AA251" s="2">
        <f t="shared" si="103"/>
        <v>64.365740324333132</v>
      </c>
      <c r="AB251" s="19">
        <f t="shared" si="106"/>
        <v>58.274980147909886</v>
      </c>
      <c r="AC251" s="2"/>
      <c r="AD251" s="18"/>
      <c r="AE251" s="118"/>
      <c r="AG251" s="2"/>
      <c r="AH251" s="19"/>
      <c r="AI251" s="20"/>
      <c r="AJ251" s="21"/>
      <c r="AK251" s="21"/>
      <c r="AM251" s="19"/>
      <c r="AN251" s="18"/>
      <c r="AO251" s="2"/>
      <c r="AP251" s="18"/>
      <c r="AQ251" s="118"/>
      <c r="AS251" s="2"/>
      <c r="AT251" s="19"/>
      <c r="AU251" s="20"/>
      <c r="AV251" s="21"/>
      <c r="AW251" s="21"/>
      <c r="AY251" s="19"/>
      <c r="AZ251" s="18"/>
      <c r="BA251" s="2"/>
      <c r="BB251" s="18"/>
      <c r="BC251" s="118"/>
      <c r="BE251" s="2"/>
      <c r="BF251" s="19"/>
      <c r="BG251" s="20"/>
      <c r="BH251" s="21"/>
      <c r="BI251" s="21"/>
      <c r="BK251" s="19"/>
      <c r="BL251" s="18"/>
      <c r="BM251" s="2"/>
      <c r="BN251" s="18"/>
      <c r="BO251" s="118"/>
      <c r="BQ251" s="2"/>
      <c r="BR251" s="19"/>
      <c r="BS251" s="20"/>
      <c r="BT251" s="21"/>
      <c r="BU251" s="21"/>
      <c r="BW251" s="19"/>
      <c r="BX251" s="18"/>
      <c r="BY251" s="2"/>
      <c r="BZ251" s="18"/>
      <c r="CA251" s="118"/>
      <c r="CC251" s="2"/>
      <c r="CD251" s="19"/>
      <c r="CE251" s="20"/>
      <c r="CF251" s="21"/>
      <c r="CG251" s="21"/>
      <c r="CI251" s="19"/>
      <c r="CJ251" s="18"/>
      <c r="CK251" s="2"/>
      <c r="CL251" s="18"/>
      <c r="CM251" s="118"/>
      <c r="CO251" s="2"/>
      <c r="CP251" s="19"/>
      <c r="CQ251" s="20"/>
      <c r="CR251" s="21"/>
      <c r="CS251" s="21"/>
    </row>
    <row r="252" spans="1:97" x14ac:dyDescent="0.25">
      <c r="A252" s="1">
        <f t="shared" si="89"/>
        <v>226</v>
      </c>
      <c r="B252" s="19">
        <f t="shared" si="90"/>
        <v>49.045494607769747</v>
      </c>
      <c r="C252" s="18">
        <f t="shared" si="104"/>
        <v>3.4084051591652407</v>
      </c>
      <c r="D252" s="2">
        <f t="shared" si="83"/>
        <v>0.91629199382420157</v>
      </c>
      <c r="E252" s="18">
        <f t="shared" si="91"/>
        <v>3.4236766923956439</v>
      </c>
      <c r="F252" s="21">
        <f t="shared" si="84"/>
        <v>0.88658819351581741</v>
      </c>
      <c r="G252" s="1">
        <f t="shared" si="85"/>
        <v>0</v>
      </c>
      <c r="H252" s="2">
        <f t="shared" si="81"/>
        <v>114.18168073746394</v>
      </c>
      <c r="I252" s="19">
        <f t="shared" si="107"/>
        <v>49.429299020547155</v>
      </c>
      <c r="J252" s="20">
        <f t="shared" si="86"/>
        <v>0.93139124587395516</v>
      </c>
      <c r="K252" s="21">
        <f t="shared" si="87"/>
        <v>29.436067759321883</v>
      </c>
      <c r="L252" s="21">
        <f t="shared" si="82"/>
        <v>0.68707371515779669</v>
      </c>
      <c r="M252" s="2">
        <f t="shared" si="92"/>
        <v>22.543873917574672</v>
      </c>
      <c r="N252" s="19">
        <f t="shared" si="105"/>
        <v>296.10012310742394</v>
      </c>
      <c r="O252" s="1">
        <f t="shared" si="93"/>
        <v>226</v>
      </c>
      <c r="P252" s="19">
        <f t="shared" si="94"/>
        <v>102.8975551771924</v>
      </c>
      <c r="Q252" s="18">
        <f t="shared" si="95"/>
        <v>4.9224999032693182</v>
      </c>
      <c r="R252" s="2">
        <f t="shared" si="96"/>
        <v>0.92997229512943946</v>
      </c>
      <c r="S252" s="18">
        <f t="shared" si="97"/>
        <v>4.9379994415214759</v>
      </c>
      <c r="T252" s="18">
        <f t="shared" si="98"/>
        <v>1.8224313905946803</v>
      </c>
      <c r="U252" s="1">
        <f t="shared" si="88"/>
        <v>0</v>
      </c>
      <c r="V252" s="2">
        <f t="shared" si="99"/>
        <v>239.51578384990913</v>
      </c>
      <c r="W252" s="19">
        <f t="shared" si="100"/>
        <v>103.68648651511218</v>
      </c>
      <c r="X252" s="20"/>
      <c r="Y252" s="2">
        <f t="shared" si="101"/>
        <v>83.705734407010553</v>
      </c>
      <c r="Z252" s="21">
        <f t="shared" si="102"/>
        <v>1.4292885506983508</v>
      </c>
      <c r="AA252" s="2">
        <f t="shared" si="103"/>
        <v>64.984479956670086</v>
      </c>
      <c r="AB252" s="19">
        <f t="shared" si="106"/>
        <v>58.42541470157957</v>
      </c>
      <c r="AC252" s="2"/>
      <c r="AD252" s="18"/>
      <c r="AE252" s="118"/>
      <c r="AG252" s="2"/>
      <c r="AH252" s="19"/>
      <c r="AI252" s="20"/>
      <c r="AJ252" s="21"/>
      <c r="AK252" s="21"/>
      <c r="AM252" s="19"/>
      <c r="AN252" s="18"/>
      <c r="AO252" s="2"/>
      <c r="AP252" s="18"/>
      <c r="AQ252" s="118"/>
      <c r="AS252" s="2"/>
      <c r="AT252" s="19"/>
      <c r="AU252" s="20"/>
      <c r="AV252" s="21"/>
      <c r="AW252" s="21"/>
      <c r="AY252" s="19"/>
      <c r="AZ252" s="18"/>
      <c r="BA252" s="2"/>
      <c r="BB252" s="18"/>
      <c r="BC252" s="118"/>
      <c r="BE252" s="2"/>
      <c r="BF252" s="19"/>
      <c r="BG252" s="20"/>
      <c r="BH252" s="21"/>
      <c r="BI252" s="21"/>
      <c r="BK252" s="19"/>
      <c r="BL252" s="18"/>
      <c r="BM252" s="2"/>
      <c r="BN252" s="18"/>
      <c r="BO252" s="118"/>
      <c r="BQ252" s="2"/>
      <c r="BR252" s="19"/>
      <c r="BS252" s="20"/>
      <c r="BT252" s="21"/>
      <c r="BU252" s="21"/>
      <c r="BW252" s="19"/>
      <c r="BX252" s="18"/>
      <c r="BY252" s="2"/>
      <c r="BZ252" s="18"/>
      <c r="CA252" s="118"/>
      <c r="CC252" s="2"/>
      <c r="CD252" s="19"/>
      <c r="CE252" s="20"/>
      <c r="CF252" s="21"/>
      <c r="CG252" s="21"/>
      <c r="CI252" s="19"/>
      <c r="CJ252" s="18"/>
      <c r="CK252" s="2"/>
      <c r="CL252" s="18"/>
      <c r="CM252" s="118"/>
      <c r="CO252" s="2"/>
      <c r="CP252" s="19"/>
      <c r="CQ252" s="20"/>
      <c r="CR252" s="21"/>
      <c r="CS252" s="21"/>
    </row>
    <row r="253" spans="1:97" x14ac:dyDescent="0.25">
      <c r="A253" s="1">
        <f t="shared" si="89"/>
        <v>227</v>
      </c>
      <c r="B253" s="19">
        <f t="shared" si="90"/>
        <v>49.429299020547155</v>
      </c>
      <c r="C253" s="18">
        <f t="shared" si="104"/>
        <v>3.4236766923956439</v>
      </c>
      <c r="D253" s="2">
        <f t="shared" si="83"/>
        <v>0.91643485519744261</v>
      </c>
      <c r="E253" s="18">
        <f t="shared" si="91"/>
        <v>3.4389506066489344</v>
      </c>
      <c r="F253" s="21">
        <f t="shared" si="84"/>
        <v>0.8943838697789418</v>
      </c>
      <c r="G253" s="1">
        <f t="shared" si="85"/>
        <v>0</v>
      </c>
      <c r="H253" s="2">
        <f t="shared" si="81"/>
        <v>115.07606460724288</v>
      </c>
      <c r="I253" s="19">
        <f t="shared" si="107"/>
        <v>49.816478184953631</v>
      </c>
      <c r="J253" s="20">
        <f t="shared" si="86"/>
        <v>0.93133934340539426</v>
      </c>
      <c r="K253" s="21">
        <f t="shared" si="87"/>
        <v>29.823335974936164</v>
      </c>
      <c r="L253" s="21">
        <f t="shared" si="82"/>
        <v>0.69321781979804731</v>
      </c>
      <c r="M253" s="2">
        <f t="shared" si="92"/>
        <v>22.84396821185954</v>
      </c>
      <c r="N253" s="19">
        <f t="shared" si="105"/>
        <v>296.31641516488725</v>
      </c>
      <c r="O253" s="1">
        <f t="shared" si="93"/>
        <v>227</v>
      </c>
      <c r="P253" s="19">
        <f t="shared" si="94"/>
        <v>103.68648651511218</v>
      </c>
      <c r="Q253" s="18">
        <f t="shared" si="95"/>
        <v>4.9379994415214759</v>
      </c>
      <c r="R253" s="2">
        <f t="shared" si="96"/>
        <v>0.93011436687691207</v>
      </c>
      <c r="S253" s="18">
        <f t="shared" si="97"/>
        <v>4.9535013476360907</v>
      </c>
      <c r="T253" s="18">
        <f t="shared" si="98"/>
        <v>1.8337082223648413</v>
      </c>
      <c r="U253" s="1">
        <f t="shared" si="88"/>
        <v>0</v>
      </c>
      <c r="V253" s="2">
        <f t="shared" si="99"/>
        <v>241.34949207227396</v>
      </c>
      <c r="W253" s="19">
        <f t="shared" si="100"/>
        <v>104.48029959838699</v>
      </c>
      <c r="X253" s="20"/>
      <c r="Y253" s="2">
        <f t="shared" si="101"/>
        <v>84.499730067294536</v>
      </c>
      <c r="Z253" s="21">
        <f t="shared" si="102"/>
        <v>1.4382765935466795</v>
      </c>
      <c r="AA253" s="2">
        <f t="shared" si="103"/>
        <v>65.607110516646998</v>
      </c>
      <c r="AB253" s="19">
        <f t="shared" si="106"/>
        <v>58.575377066836381</v>
      </c>
      <c r="AC253" s="2"/>
      <c r="AD253" s="18"/>
      <c r="AE253" s="118"/>
      <c r="AG253" s="2"/>
      <c r="AH253" s="19"/>
      <c r="AI253" s="20"/>
      <c r="AJ253" s="21"/>
      <c r="AK253" s="21"/>
      <c r="AM253" s="19"/>
      <c r="AN253" s="18"/>
      <c r="AO253" s="2"/>
      <c r="AP253" s="18"/>
      <c r="AQ253" s="118"/>
      <c r="AS253" s="2"/>
      <c r="AT253" s="19"/>
      <c r="AU253" s="20"/>
      <c r="AV253" s="21"/>
      <c r="AW253" s="21"/>
      <c r="AY253" s="19"/>
      <c r="AZ253" s="18"/>
      <c r="BA253" s="2"/>
      <c r="BB253" s="18"/>
      <c r="BC253" s="118"/>
      <c r="BE253" s="2"/>
      <c r="BF253" s="19"/>
      <c r="BG253" s="20"/>
      <c r="BH253" s="21"/>
      <c r="BI253" s="21"/>
      <c r="BK253" s="19"/>
      <c r="BL253" s="18"/>
      <c r="BM253" s="2"/>
      <c r="BN253" s="18"/>
      <c r="BO253" s="118"/>
      <c r="BQ253" s="2"/>
      <c r="BR253" s="19"/>
      <c r="BS253" s="20"/>
      <c r="BT253" s="21"/>
      <c r="BU253" s="21"/>
      <c r="BW253" s="19"/>
      <c r="BX253" s="18"/>
      <c r="BY253" s="2"/>
      <c r="BZ253" s="18"/>
      <c r="CA253" s="118"/>
      <c r="CC253" s="2"/>
      <c r="CD253" s="19"/>
      <c r="CE253" s="20"/>
      <c r="CF253" s="21"/>
      <c r="CG253" s="21"/>
      <c r="CI253" s="19"/>
      <c r="CJ253" s="18"/>
      <c r="CK253" s="2"/>
      <c r="CL253" s="18"/>
      <c r="CM253" s="118"/>
      <c r="CO253" s="2"/>
      <c r="CP253" s="19"/>
      <c r="CQ253" s="20"/>
      <c r="CR253" s="21"/>
      <c r="CS253" s="21"/>
    </row>
    <row r="254" spans="1:97" x14ac:dyDescent="0.25">
      <c r="A254" s="1">
        <f t="shared" si="89"/>
        <v>228</v>
      </c>
      <c r="B254" s="19">
        <f t="shared" si="90"/>
        <v>49.816478184953631</v>
      </c>
      <c r="C254" s="18">
        <f t="shared" si="104"/>
        <v>3.4389506066489344</v>
      </c>
      <c r="D254" s="2">
        <f t="shared" si="83"/>
        <v>0.91657787547627556</v>
      </c>
      <c r="E254" s="18">
        <f t="shared" si="91"/>
        <v>3.454226904573539</v>
      </c>
      <c r="F254" s="21">
        <f t="shared" si="84"/>
        <v>0.90221438154592493</v>
      </c>
      <c r="G254" s="1">
        <f t="shared" si="85"/>
        <v>0</v>
      </c>
      <c r="H254" s="2">
        <f t="shared" si="81"/>
        <v>115.97827898878882</v>
      </c>
      <c r="I254" s="19">
        <f t="shared" si="107"/>
        <v>50.207047181293859</v>
      </c>
      <c r="J254" s="20">
        <f t="shared" si="86"/>
        <v>0.93128725728489981</v>
      </c>
      <c r="K254" s="21">
        <f t="shared" si="87"/>
        <v>30.21399480214555</v>
      </c>
      <c r="L254" s="21">
        <f t="shared" si="82"/>
        <v>0.699390239145676</v>
      </c>
      <c r="M254" s="2">
        <f t="shared" si="92"/>
        <v>23.14673454915204</v>
      </c>
      <c r="N254" s="19">
        <f t="shared" si="105"/>
        <v>296.53174657280442</v>
      </c>
      <c r="O254" s="1">
        <f t="shared" si="93"/>
        <v>228</v>
      </c>
      <c r="P254" s="19">
        <f t="shared" si="94"/>
        <v>104.48029959838699</v>
      </c>
      <c r="Q254" s="18">
        <f t="shared" si="95"/>
        <v>4.9535013476360907</v>
      </c>
      <c r="R254" s="2">
        <f t="shared" si="96"/>
        <v>0.93025625249857868</v>
      </c>
      <c r="S254" s="18">
        <f t="shared" si="97"/>
        <v>4.9690056185110674</v>
      </c>
      <c r="T254" s="18">
        <f t="shared" si="98"/>
        <v>1.8450210650381611</v>
      </c>
      <c r="U254" s="1">
        <f t="shared" si="88"/>
        <v>0</v>
      </c>
      <c r="V254" s="2">
        <f t="shared" si="99"/>
        <v>243.19451313731213</v>
      </c>
      <c r="W254" s="19">
        <f t="shared" si="100"/>
        <v>105.27901001615244</v>
      </c>
      <c r="X254" s="20"/>
      <c r="Y254" s="2">
        <f t="shared" si="101"/>
        <v>85.29862418845606</v>
      </c>
      <c r="Z254" s="21">
        <f t="shared" si="102"/>
        <v>1.4472941859589641</v>
      </c>
      <c r="AA254" s="2">
        <f t="shared" si="103"/>
        <v>66.233644796282917</v>
      </c>
      <c r="AB254" s="19">
        <f t="shared" si="106"/>
        <v>58.724870127182633</v>
      </c>
      <c r="AC254" s="2"/>
      <c r="AD254" s="18"/>
      <c r="AE254" s="118"/>
      <c r="AG254" s="2"/>
      <c r="AH254" s="19"/>
      <c r="AI254" s="20"/>
      <c r="AJ254" s="21"/>
      <c r="AK254" s="21"/>
      <c r="AM254" s="19"/>
      <c r="AN254" s="18"/>
      <c r="AO254" s="2"/>
      <c r="AP254" s="18"/>
      <c r="AQ254" s="118"/>
      <c r="AS254" s="2"/>
      <c r="AT254" s="19"/>
      <c r="AU254" s="20"/>
      <c r="AV254" s="21"/>
      <c r="AW254" s="21"/>
      <c r="AY254" s="19"/>
      <c r="AZ254" s="18"/>
      <c r="BA254" s="2"/>
      <c r="BB254" s="18"/>
      <c r="BC254" s="118"/>
      <c r="BE254" s="2"/>
      <c r="BF254" s="19"/>
      <c r="BG254" s="20"/>
      <c r="BH254" s="21"/>
      <c r="BI254" s="21"/>
      <c r="BK254" s="19"/>
      <c r="BL254" s="18"/>
      <c r="BM254" s="2"/>
      <c r="BN254" s="18"/>
      <c r="BO254" s="118"/>
      <c r="BQ254" s="2"/>
      <c r="BR254" s="19"/>
      <c r="BS254" s="20"/>
      <c r="BT254" s="21"/>
      <c r="BU254" s="21"/>
      <c r="BW254" s="19"/>
      <c r="BX254" s="18"/>
      <c r="BY254" s="2"/>
      <c r="BZ254" s="18"/>
      <c r="CA254" s="118"/>
      <c r="CC254" s="2"/>
      <c r="CD254" s="19"/>
      <c r="CE254" s="20"/>
      <c r="CF254" s="21"/>
      <c r="CG254" s="21"/>
      <c r="CI254" s="19"/>
      <c r="CJ254" s="18"/>
      <c r="CK254" s="2"/>
      <c r="CL254" s="18"/>
      <c r="CM254" s="118"/>
      <c r="CO254" s="2"/>
      <c r="CP254" s="19"/>
      <c r="CQ254" s="20"/>
      <c r="CR254" s="21"/>
      <c r="CS254" s="21"/>
    </row>
    <row r="255" spans="1:97" x14ac:dyDescent="0.25">
      <c r="A255" s="1">
        <f t="shared" si="89"/>
        <v>229</v>
      </c>
      <c r="B255" s="19">
        <f t="shared" si="90"/>
        <v>50.207047181293859</v>
      </c>
      <c r="C255" s="18">
        <f t="shared" si="104"/>
        <v>3.454226904573539</v>
      </c>
      <c r="D255" s="2">
        <f t="shared" si="83"/>
        <v>0.91672104846599578</v>
      </c>
      <c r="E255" s="18">
        <f t="shared" si="91"/>
        <v>3.4695055887146391</v>
      </c>
      <c r="F255" s="21">
        <f t="shared" si="84"/>
        <v>0.91007974176004947</v>
      </c>
      <c r="G255" s="1">
        <f t="shared" si="85"/>
        <v>0</v>
      </c>
      <c r="H255" s="2">
        <f t="shared" si="81"/>
        <v>116.88835873054886</v>
      </c>
      <c r="I255" s="19">
        <f t="shared" si="107"/>
        <v>50.601021095475694</v>
      </c>
      <c r="J255" s="20">
        <f t="shared" si="86"/>
        <v>0.93123498936255455</v>
      </c>
      <c r="K255" s="21">
        <f t="shared" si="87"/>
        <v>30.608059330327652</v>
      </c>
      <c r="L255" s="21">
        <f t="shared" si="82"/>
        <v>0.70559098704249901</v>
      </c>
      <c r="M255" s="2">
        <f t="shared" si="92"/>
        <v>23.452185192893381</v>
      </c>
      <c r="N255" s="19">
        <f t="shared" si="105"/>
        <v>296.74612567885185</v>
      </c>
      <c r="O255" s="1">
        <f t="shared" si="93"/>
        <v>229</v>
      </c>
      <c r="P255" s="19">
        <f t="shared" si="94"/>
        <v>105.27901001615244</v>
      </c>
      <c r="Q255" s="18">
        <f t="shared" si="95"/>
        <v>4.9690056185110674</v>
      </c>
      <c r="R255" s="2">
        <f t="shared" si="96"/>
        <v>0.93039795119873936</v>
      </c>
      <c r="S255" s="18">
        <f t="shared" si="97"/>
        <v>4.9845122510310462</v>
      </c>
      <c r="T255" s="18">
        <f t="shared" si="98"/>
        <v>1.8563699291955389</v>
      </c>
      <c r="U255" s="1">
        <f t="shared" si="88"/>
        <v>0</v>
      </c>
      <c r="V255" s="2">
        <f t="shared" si="99"/>
        <v>245.05088306650771</v>
      </c>
      <c r="W255" s="19">
        <f t="shared" si="100"/>
        <v>106.08263336212454</v>
      </c>
      <c r="X255" s="20"/>
      <c r="Y255" s="2">
        <f t="shared" si="101"/>
        <v>86.102432367797732</v>
      </c>
      <c r="Z255" s="21">
        <f t="shared" si="102"/>
        <v>1.4563413390093456</v>
      </c>
      <c r="AA255" s="2">
        <f t="shared" si="103"/>
        <v>66.864095592390854</v>
      </c>
      <c r="AB255" s="19">
        <f t="shared" si="106"/>
        <v>58.873896739897411</v>
      </c>
      <c r="AC255" s="2"/>
      <c r="AD255" s="18"/>
      <c r="AE255" s="118"/>
      <c r="AG255" s="2"/>
      <c r="AH255" s="19"/>
      <c r="AI255" s="20"/>
      <c r="AJ255" s="21"/>
      <c r="AK255" s="21"/>
      <c r="AM255" s="19"/>
      <c r="AN255" s="18"/>
      <c r="AO255" s="2"/>
      <c r="AP255" s="18"/>
      <c r="AQ255" s="118"/>
      <c r="AS255" s="2"/>
      <c r="AT255" s="19"/>
      <c r="AU255" s="20"/>
      <c r="AV255" s="21"/>
      <c r="AW255" s="21"/>
      <c r="AY255" s="19"/>
      <c r="AZ255" s="18"/>
      <c r="BA255" s="2"/>
      <c r="BB255" s="18"/>
      <c r="BC255" s="118"/>
      <c r="BE255" s="2"/>
      <c r="BF255" s="19"/>
      <c r="BG255" s="20"/>
      <c r="BH255" s="21"/>
      <c r="BI255" s="21"/>
      <c r="BK255" s="19"/>
      <c r="BL255" s="18"/>
      <c r="BM255" s="2"/>
      <c r="BN255" s="18"/>
      <c r="BO255" s="118"/>
      <c r="BQ255" s="2"/>
      <c r="BR255" s="19"/>
      <c r="BS255" s="20"/>
      <c r="BT255" s="21"/>
      <c r="BU255" s="21"/>
      <c r="BW255" s="19"/>
      <c r="BX255" s="18"/>
      <c r="BY255" s="2"/>
      <c r="BZ255" s="18"/>
      <c r="CA255" s="118"/>
      <c r="CC255" s="2"/>
      <c r="CD255" s="19"/>
      <c r="CE255" s="20"/>
      <c r="CF255" s="21"/>
      <c r="CG255" s="21"/>
      <c r="CI255" s="19"/>
      <c r="CJ255" s="18"/>
      <c r="CK255" s="2"/>
      <c r="CL255" s="18"/>
      <c r="CM255" s="118"/>
      <c r="CO255" s="2"/>
      <c r="CP255" s="19"/>
      <c r="CQ255" s="20"/>
      <c r="CR255" s="21"/>
      <c r="CS255" s="21"/>
    </row>
    <row r="256" spans="1:97" x14ac:dyDescent="0.25">
      <c r="A256" s="1">
        <f t="shared" si="89"/>
        <v>230</v>
      </c>
      <c r="B256" s="19">
        <f t="shared" si="90"/>
        <v>50.601021095475694</v>
      </c>
      <c r="C256" s="18">
        <f t="shared" si="104"/>
        <v>3.4695055887146391</v>
      </c>
      <c r="D256" s="2">
        <f t="shared" si="83"/>
        <v>0.91686436804592053</v>
      </c>
      <c r="E256" s="18">
        <f t="shared" si="91"/>
        <v>3.4847866615154044</v>
      </c>
      <c r="F256" s="21">
        <f t="shared" si="84"/>
        <v>0.9179799633535779</v>
      </c>
      <c r="G256" s="1">
        <f t="shared" si="85"/>
        <v>0</v>
      </c>
      <c r="H256" s="2">
        <f t="shared" si="81"/>
        <v>117.80633869390243</v>
      </c>
      <c r="I256" s="19">
        <f t="shared" si="107"/>
        <v>50.998415019005378</v>
      </c>
      <c r="J256" s="20">
        <f t="shared" si="86"/>
        <v>0.9311825414841558</v>
      </c>
      <c r="K256" s="21">
        <f t="shared" si="87"/>
        <v>31.005544654459751</v>
      </c>
      <c r="L256" s="21">
        <f t="shared" si="82"/>
        <v>0.71182007730889318</v>
      </c>
      <c r="M256" s="2">
        <f t="shared" si="92"/>
        <v>23.760332412507619</v>
      </c>
      <c r="N256" s="19">
        <f t="shared" si="105"/>
        <v>296.95956072224709</v>
      </c>
      <c r="O256" s="1">
        <f t="shared" si="93"/>
        <v>230</v>
      </c>
      <c r="P256" s="19">
        <f t="shared" si="94"/>
        <v>106.08263336212454</v>
      </c>
      <c r="Q256" s="18">
        <f t="shared" si="95"/>
        <v>4.9845122510310462</v>
      </c>
      <c r="R256" s="2">
        <f t="shared" si="96"/>
        <v>0.9305394622061709</v>
      </c>
      <c r="S256" s="18">
        <f t="shared" si="97"/>
        <v>5.0000212420678158</v>
      </c>
      <c r="T256" s="18">
        <f t="shared" si="98"/>
        <v>1.867754825390781</v>
      </c>
      <c r="U256" s="1">
        <f t="shared" si="88"/>
        <v>0</v>
      </c>
      <c r="V256" s="2">
        <f t="shared" si="99"/>
        <v>246.91863789189847</v>
      </c>
      <c r="W256" s="19">
        <f t="shared" si="100"/>
        <v>106.89118523458808</v>
      </c>
      <c r="X256" s="20"/>
      <c r="Y256" s="2">
        <f t="shared" si="101"/>
        <v>86.911170207191944</v>
      </c>
      <c r="Z256" s="21">
        <f t="shared" si="102"/>
        <v>1.4654180637437431</v>
      </c>
      <c r="AA256" s="2">
        <f t="shared" si="103"/>
        <v>67.498475706565628</v>
      </c>
      <c r="AB256" s="19">
        <f t="shared" si="106"/>
        <v>59.02245973635393</v>
      </c>
      <c r="AC256" s="2"/>
      <c r="AD256" s="18"/>
      <c r="AE256" s="118"/>
      <c r="AG256" s="2"/>
      <c r="AH256" s="19"/>
      <c r="AI256" s="20"/>
      <c r="AJ256" s="21"/>
      <c r="AK256" s="21"/>
      <c r="AM256" s="19"/>
      <c r="AN256" s="18"/>
      <c r="AO256" s="2"/>
      <c r="AP256" s="18"/>
      <c r="AQ256" s="118"/>
      <c r="AS256" s="2"/>
      <c r="AT256" s="19"/>
      <c r="AU256" s="20"/>
      <c r="AV256" s="21"/>
      <c r="AW256" s="21"/>
      <c r="AY256" s="19"/>
      <c r="AZ256" s="18"/>
      <c r="BA256" s="2"/>
      <c r="BB256" s="18"/>
      <c r="BC256" s="118"/>
      <c r="BE256" s="2"/>
      <c r="BF256" s="19"/>
      <c r="BG256" s="20"/>
      <c r="BH256" s="21"/>
      <c r="BI256" s="21"/>
      <c r="BK256" s="19"/>
      <c r="BL256" s="18"/>
      <c r="BM256" s="2"/>
      <c r="BN256" s="18"/>
      <c r="BO256" s="118"/>
      <c r="BQ256" s="2"/>
      <c r="BR256" s="19"/>
      <c r="BS256" s="20"/>
      <c r="BT256" s="21"/>
      <c r="BU256" s="21"/>
      <c r="BW256" s="19"/>
      <c r="BX256" s="18"/>
      <c r="BY256" s="2"/>
      <c r="BZ256" s="18"/>
      <c r="CA256" s="118"/>
      <c r="CC256" s="2"/>
      <c r="CD256" s="19"/>
      <c r="CE256" s="20"/>
      <c r="CF256" s="21"/>
      <c r="CG256" s="21"/>
      <c r="CI256" s="19"/>
      <c r="CJ256" s="18"/>
      <c r="CK256" s="2"/>
      <c r="CL256" s="18"/>
      <c r="CM256" s="118"/>
      <c r="CO256" s="2"/>
      <c r="CP256" s="19"/>
      <c r="CQ256" s="20"/>
      <c r="CR256" s="21"/>
      <c r="CS256" s="21"/>
    </row>
    <row r="257" spans="1:97" x14ac:dyDescent="0.25">
      <c r="A257" s="1">
        <f t="shared" si="89"/>
        <v>231</v>
      </c>
      <c r="B257" s="19">
        <f t="shared" si="90"/>
        <v>50.998415019005378</v>
      </c>
      <c r="C257" s="18">
        <f t="shared" si="104"/>
        <v>3.4847866615154044</v>
      </c>
      <c r="D257" s="2">
        <f t="shared" si="83"/>
        <v>0.91700782816935811</v>
      </c>
      <c r="E257" s="18">
        <f t="shared" si="91"/>
        <v>3.5000701253182269</v>
      </c>
      <c r="F257" s="21">
        <f t="shared" si="84"/>
        <v>0.92591505924711237</v>
      </c>
      <c r="G257" s="1">
        <f t="shared" si="85"/>
        <v>0</v>
      </c>
      <c r="H257" s="2">
        <f t="shared" si="81"/>
        <v>118.73225375314955</v>
      </c>
      <c r="I257" s="19">
        <f t="shared" si="107"/>
        <v>51.399244048982489</v>
      </c>
      <c r="J257" s="20">
        <f t="shared" si="86"/>
        <v>0.93112991549096158</v>
      </c>
      <c r="K257" s="21">
        <f t="shared" si="87"/>
        <v>31.406465875113749</v>
      </c>
      <c r="L257" s="21">
        <f t="shared" si="82"/>
        <v>0.71807752374339784</v>
      </c>
      <c r="M257" s="2">
        <f t="shared" si="92"/>
        <v>24.071188483392206</v>
      </c>
      <c r="N257" s="19">
        <f t="shared" si="105"/>
        <v>297.17205983562621</v>
      </c>
      <c r="O257" s="1">
        <f t="shared" si="93"/>
        <v>231</v>
      </c>
      <c r="P257" s="19">
        <f t="shared" si="94"/>
        <v>106.89118523458808</v>
      </c>
      <c r="Q257" s="18">
        <f t="shared" si="95"/>
        <v>5.0000212420678158</v>
      </c>
      <c r="R257" s="2">
        <f t="shared" si="96"/>
        <v>0.93068078477370586</v>
      </c>
      <c r="S257" s="18">
        <f t="shared" si="97"/>
        <v>5.0155325884807107</v>
      </c>
      <c r="T257" s="18">
        <f t="shared" si="98"/>
        <v>1.8791757641506912</v>
      </c>
      <c r="U257" s="1">
        <f t="shared" si="88"/>
        <v>0</v>
      </c>
      <c r="V257" s="2">
        <f t="shared" si="99"/>
        <v>248.79781365604916</v>
      </c>
      <c r="W257" s="19">
        <f t="shared" si="100"/>
        <v>107.70468123638491</v>
      </c>
      <c r="X257" s="20"/>
      <c r="Y257" s="2">
        <f t="shared" si="101"/>
        <v>87.72485331306919</v>
      </c>
      <c r="Z257" s="21">
        <f t="shared" si="102"/>
        <v>1.4745243711799583</v>
      </c>
      <c r="AA257" s="2">
        <f t="shared" si="103"/>
        <v>68.136797945171665</v>
      </c>
      <c r="AB257" s="19">
        <f t="shared" si="106"/>
        <v>59.170561922332077</v>
      </c>
      <c r="AC257" s="2"/>
      <c r="AD257" s="18"/>
      <c r="AE257" s="118"/>
      <c r="AG257" s="2"/>
      <c r="AH257" s="19"/>
      <c r="AI257" s="20"/>
      <c r="AJ257" s="21"/>
      <c r="AK257" s="21"/>
      <c r="AM257" s="19"/>
      <c r="AN257" s="18"/>
      <c r="AO257" s="2"/>
      <c r="AP257" s="18"/>
      <c r="AQ257" s="118"/>
      <c r="AS257" s="2"/>
      <c r="AT257" s="19"/>
      <c r="AU257" s="20"/>
      <c r="AV257" s="21"/>
      <c r="AW257" s="21"/>
      <c r="AY257" s="19"/>
      <c r="AZ257" s="18"/>
      <c r="BA257" s="2"/>
      <c r="BB257" s="18"/>
      <c r="BC257" s="118"/>
      <c r="BE257" s="2"/>
      <c r="BF257" s="19"/>
      <c r="BG257" s="20"/>
      <c r="BH257" s="21"/>
      <c r="BI257" s="21"/>
      <c r="BK257" s="19"/>
      <c r="BL257" s="18"/>
      <c r="BM257" s="2"/>
      <c r="BN257" s="18"/>
      <c r="BO257" s="118"/>
      <c r="BQ257" s="2"/>
      <c r="BR257" s="19"/>
      <c r="BS257" s="20"/>
      <c r="BT257" s="21"/>
      <c r="BU257" s="21"/>
      <c r="BW257" s="19"/>
      <c r="BX257" s="18"/>
      <c r="BY257" s="2"/>
      <c r="BZ257" s="18"/>
      <c r="CA257" s="118"/>
      <c r="CC257" s="2"/>
      <c r="CD257" s="19"/>
      <c r="CE257" s="20"/>
      <c r="CF257" s="21"/>
      <c r="CG257" s="21"/>
      <c r="CI257" s="19"/>
      <c r="CJ257" s="18"/>
      <c r="CK257" s="2"/>
      <c r="CL257" s="18"/>
      <c r="CM257" s="118"/>
      <c r="CO257" s="2"/>
      <c r="CP257" s="19"/>
      <c r="CQ257" s="20"/>
      <c r="CR257" s="21"/>
      <c r="CS257" s="21"/>
    </row>
    <row r="258" spans="1:97" x14ac:dyDescent="0.25">
      <c r="A258" s="1">
        <f t="shared" si="89"/>
        <v>232</v>
      </c>
      <c r="B258" s="19">
        <f t="shared" si="90"/>
        <v>51.399244048982489</v>
      </c>
      <c r="C258" s="18">
        <f t="shared" si="104"/>
        <v>3.5000701253182269</v>
      </c>
      <c r="D258" s="2">
        <f t="shared" si="83"/>
        <v>0.91715142286354678</v>
      </c>
      <c r="E258" s="18">
        <f t="shared" si="91"/>
        <v>3.5153559823659526</v>
      </c>
      <c r="F258" s="21">
        <f t="shared" si="84"/>
        <v>0.93388504234896419</v>
      </c>
      <c r="G258" s="1">
        <f t="shared" si="85"/>
        <v>0</v>
      </c>
      <c r="H258" s="2">
        <f t="shared" si="81"/>
        <v>119.66613879549851</v>
      </c>
      <c r="I258" s="19">
        <f t="shared" si="107"/>
        <v>51.803523288094596</v>
      </c>
      <c r="J258" s="20">
        <f t="shared" si="86"/>
        <v>0.93107711321944586</v>
      </c>
      <c r="K258" s="21">
        <f t="shared" si="87"/>
        <v>31.810838098450851</v>
      </c>
      <c r="L258" s="21">
        <f t="shared" si="82"/>
        <v>0.72436334012232362</v>
      </c>
      <c r="M258" s="2">
        <f t="shared" si="92"/>
        <v>24.384765686908363</v>
      </c>
      <c r="N258" s="19">
        <f t="shared" si="105"/>
        <v>297.38363104688017</v>
      </c>
      <c r="O258" s="1">
        <f t="shared" si="93"/>
        <v>232</v>
      </c>
      <c r="P258" s="19">
        <f t="shared" si="94"/>
        <v>107.70468123638491</v>
      </c>
      <c r="Q258" s="18">
        <f t="shared" si="95"/>
        <v>5.0155325884807107</v>
      </c>
      <c r="R258" s="2">
        <f t="shared" si="96"/>
        <v>0.93082191817781612</v>
      </c>
      <c r="S258" s="18">
        <f t="shared" si="97"/>
        <v>5.0310462871170074</v>
      </c>
      <c r="T258" s="18">
        <f t="shared" si="98"/>
        <v>1.8906327559751719</v>
      </c>
      <c r="U258" s="1">
        <f t="shared" si="88"/>
        <v>0</v>
      </c>
      <c r="V258" s="2">
        <f t="shared" si="99"/>
        <v>250.68844641202432</v>
      </c>
      <c r="W258" s="19">
        <f t="shared" si="100"/>
        <v>108.5231369749023</v>
      </c>
      <c r="X258" s="20"/>
      <c r="Y258" s="2">
        <f t="shared" si="101"/>
        <v>88.543497296406443</v>
      </c>
      <c r="Z258" s="21">
        <f t="shared" si="102"/>
        <v>1.4836602723077918</v>
      </c>
      <c r="AA258" s="2">
        <f t="shared" si="103"/>
        <v>68.779075119330884</v>
      </c>
      <c r="AB258" s="19">
        <f t="shared" si="106"/>
        <v>59.318206078326227</v>
      </c>
      <c r="AC258" s="2"/>
      <c r="AD258" s="18"/>
      <c r="AE258" s="118"/>
      <c r="AG258" s="2"/>
      <c r="AH258" s="19"/>
      <c r="AI258" s="20"/>
      <c r="AJ258" s="21"/>
      <c r="AK258" s="21"/>
      <c r="AM258" s="19"/>
      <c r="AN258" s="18"/>
      <c r="AO258" s="2"/>
      <c r="AP258" s="18"/>
      <c r="AQ258" s="118"/>
      <c r="AS258" s="2"/>
      <c r="AT258" s="19"/>
      <c r="AU258" s="20"/>
      <c r="AV258" s="21"/>
      <c r="AW258" s="21"/>
      <c r="AY258" s="19"/>
      <c r="AZ258" s="18"/>
      <c r="BA258" s="2"/>
      <c r="BB258" s="18"/>
      <c r="BC258" s="118"/>
      <c r="BE258" s="2"/>
      <c r="BF258" s="19"/>
      <c r="BG258" s="20"/>
      <c r="BH258" s="21"/>
      <c r="BI258" s="21"/>
      <c r="BK258" s="19"/>
      <c r="BL258" s="18"/>
      <c r="BM258" s="2"/>
      <c r="BN258" s="18"/>
      <c r="BO258" s="118"/>
      <c r="BQ258" s="2"/>
      <c r="BR258" s="19"/>
      <c r="BS258" s="20"/>
      <c r="BT258" s="21"/>
      <c r="BU258" s="21"/>
      <c r="BW258" s="19"/>
      <c r="BX258" s="18"/>
      <c r="BY258" s="2"/>
      <c r="BZ258" s="18"/>
      <c r="CA258" s="118"/>
      <c r="CC258" s="2"/>
      <c r="CD258" s="19"/>
      <c r="CE258" s="20"/>
      <c r="CF258" s="21"/>
      <c r="CG258" s="21"/>
      <c r="CI258" s="19"/>
      <c r="CJ258" s="18"/>
      <c r="CK258" s="2"/>
      <c r="CL258" s="18"/>
      <c r="CM258" s="118"/>
      <c r="CO258" s="2"/>
      <c r="CP258" s="19"/>
      <c r="CQ258" s="20"/>
      <c r="CR258" s="21"/>
      <c r="CS258" s="21"/>
    </row>
    <row r="259" spans="1:97" x14ac:dyDescent="0.25">
      <c r="A259" s="1">
        <f t="shared" si="89"/>
        <v>233</v>
      </c>
      <c r="B259" s="19">
        <f t="shared" si="90"/>
        <v>51.803523288094596</v>
      </c>
      <c r="C259" s="18">
        <f t="shared" si="104"/>
        <v>3.5153559823659526</v>
      </c>
      <c r="D259" s="2">
        <f t="shared" si="83"/>
        <v>0.91729514622956609</v>
      </c>
      <c r="E259" s="18">
        <f t="shared" si="91"/>
        <v>3.5306442348031122</v>
      </c>
      <c r="F259" s="21">
        <f t="shared" si="84"/>
        <v>0.94188992555454731</v>
      </c>
      <c r="G259" s="1">
        <f t="shared" si="85"/>
        <v>0</v>
      </c>
      <c r="H259" s="2">
        <f t="shared" si="81"/>
        <v>120.60802872105306</v>
      </c>
      <c r="I259" s="19">
        <f t="shared" si="107"/>
        <v>52.211267844611712</v>
      </c>
      <c r="J259" s="20">
        <f t="shared" si="86"/>
        <v>0.93102413650105642</v>
      </c>
      <c r="K259" s="21">
        <f t="shared" si="87"/>
        <v>32.218676436215972</v>
      </c>
      <c r="L259" s="21">
        <f t="shared" si="82"/>
        <v>0.73067754019937858</v>
      </c>
      <c r="M259" s="2">
        <f t="shared" si="92"/>
        <v>24.701076310371299</v>
      </c>
      <c r="N259" s="19">
        <f t="shared" si="105"/>
        <v>297.59428228095209</v>
      </c>
      <c r="O259" s="1">
        <f t="shared" si="93"/>
        <v>233</v>
      </c>
      <c r="P259" s="19">
        <f t="shared" si="94"/>
        <v>108.5231369749023</v>
      </c>
      <c r="Q259" s="18">
        <f t="shared" si="95"/>
        <v>5.0310462871170074</v>
      </c>
      <c r="R259" s="2">
        <f t="shared" si="96"/>
        <v>0.93096286171820375</v>
      </c>
      <c r="S259" s="18">
        <f t="shared" si="97"/>
        <v>5.046562334812311</v>
      </c>
      <c r="T259" s="18">
        <f t="shared" si="98"/>
        <v>1.9021258113373183</v>
      </c>
      <c r="U259" s="1">
        <f t="shared" si="88"/>
        <v>0</v>
      </c>
      <c r="V259" s="2">
        <f t="shared" si="99"/>
        <v>252.59057222336165</v>
      </c>
      <c r="W259" s="19">
        <f t="shared" si="100"/>
        <v>109.34656806206132</v>
      </c>
      <c r="X259" s="20"/>
      <c r="Y259" s="2">
        <f t="shared" si="101"/>
        <v>89.367117772715503</v>
      </c>
      <c r="Z259" s="21">
        <f t="shared" si="102"/>
        <v>1.4928257780891496</v>
      </c>
      <c r="AA259" s="2">
        <f t="shared" si="103"/>
        <v>69.425320044910606</v>
      </c>
      <c r="AB259" s="19">
        <f t="shared" si="106"/>
        <v>59.465394959848474</v>
      </c>
      <c r="AC259" s="2"/>
      <c r="AD259" s="18"/>
      <c r="AE259" s="118"/>
      <c r="AG259" s="2"/>
      <c r="AH259" s="19"/>
      <c r="AI259" s="20"/>
      <c r="AJ259" s="21"/>
      <c r="AK259" s="21"/>
      <c r="AM259" s="19"/>
      <c r="AN259" s="18"/>
      <c r="AO259" s="2"/>
      <c r="AP259" s="18"/>
      <c r="AQ259" s="118"/>
      <c r="AS259" s="2"/>
      <c r="AT259" s="19"/>
      <c r="AU259" s="20"/>
      <c r="AV259" s="21"/>
      <c r="AW259" s="21"/>
      <c r="AY259" s="19"/>
      <c r="AZ259" s="18"/>
      <c r="BA259" s="2"/>
      <c r="BB259" s="18"/>
      <c r="BC259" s="118"/>
      <c r="BE259" s="2"/>
      <c r="BF259" s="19"/>
      <c r="BG259" s="20"/>
      <c r="BH259" s="21"/>
      <c r="BI259" s="21"/>
      <c r="BK259" s="19"/>
      <c r="BL259" s="18"/>
      <c r="BM259" s="2"/>
      <c r="BN259" s="18"/>
      <c r="BO259" s="118"/>
      <c r="BQ259" s="2"/>
      <c r="BR259" s="19"/>
      <c r="BS259" s="20"/>
      <c r="BT259" s="21"/>
      <c r="BU259" s="21"/>
      <c r="BW259" s="19"/>
      <c r="BX259" s="18"/>
      <c r="BY259" s="2"/>
      <c r="BZ259" s="18"/>
      <c r="CA259" s="118"/>
      <c r="CC259" s="2"/>
      <c r="CD259" s="19"/>
      <c r="CE259" s="20"/>
      <c r="CF259" s="21"/>
      <c r="CG259" s="21"/>
      <c r="CI259" s="19"/>
      <c r="CJ259" s="18"/>
      <c r="CK259" s="2"/>
      <c r="CL259" s="18"/>
      <c r="CM259" s="118"/>
      <c r="CO259" s="2"/>
      <c r="CP259" s="19"/>
      <c r="CQ259" s="20"/>
      <c r="CR259" s="21"/>
      <c r="CS259" s="21"/>
    </row>
    <row r="260" spans="1:97" x14ac:dyDescent="0.25">
      <c r="A260" s="1">
        <f t="shared" si="89"/>
        <v>234</v>
      </c>
      <c r="B260" s="19">
        <f t="shared" si="90"/>
        <v>52.211267844611712</v>
      </c>
      <c r="C260" s="18">
        <f t="shared" si="104"/>
        <v>3.5306442348031122</v>
      </c>
      <c r="D260" s="2">
        <f t="shared" si="83"/>
        <v>0.91743899244221738</v>
      </c>
      <c r="E260" s="18">
        <f t="shared" si="91"/>
        <v>3.5459348846771492</v>
      </c>
      <c r="F260" s="21">
        <f t="shared" si="84"/>
        <v>0.94992972174578538</v>
      </c>
      <c r="G260" s="1">
        <f t="shared" si="85"/>
        <v>0</v>
      </c>
      <c r="H260" s="2">
        <f t="shared" si="81"/>
        <v>121.55795844279885</v>
      </c>
      <c r="I260" s="19">
        <f t="shared" si="107"/>
        <v>52.622492832380452</v>
      </c>
      <c r="J260" s="20">
        <f t="shared" si="86"/>
        <v>0.93097098716198379</v>
      </c>
      <c r="K260" s="21">
        <f t="shared" si="87"/>
        <v>32.629996005731897</v>
      </c>
      <c r="L260" s="21">
        <f t="shared" si="82"/>
        <v>0.73702013770530295</v>
      </c>
      <c r="M260" s="2">
        <f t="shared" si="92"/>
        <v>25.02013264704026</v>
      </c>
      <c r="N260" s="19">
        <f t="shared" si="105"/>
        <v>297.80402136159574</v>
      </c>
      <c r="O260" s="1">
        <f t="shared" si="93"/>
        <v>234</v>
      </c>
      <c r="P260" s="19">
        <f t="shared" si="94"/>
        <v>109.34656806206132</v>
      </c>
      <c r="Q260" s="18">
        <f t="shared" si="95"/>
        <v>5.046562334812311</v>
      </c>
      <c r="R260" s="2">
        <f t="shared" si="96"/>
        <v>0.93110361471739589</v>
      </c>
      <c r="S260" s="18">
        <f t="shared" si="97"/>
        <v>5.0620807283909341</v>
      </c>
      <c r="T260" s="18">
        <f t="shared" si="98"/>
        <v>1.9136549406835155</v>
      </c>
      <c r="U260" s="1">
        <f t="shared" si="88"/>
        <v>0</v>
      </c>
      <c r="V260" s="2">
        <f t="shared" si="99"/>
        <v>254.50422716404518</v>
      </c>
      <c r="W260" s="19">
        <f t="shared" si="100"/>
        <v>110.17499011430527</v>
      </c>
      <c r="X260" s="20"/>
      <c r="Y260" s="2">
        <f t="shared" si="101"/>
        <v>90.195730362031469</v>
      </c>
      <c r="Z260" s="21">
        <f t="shared" si="102"/>
        <v>1.5020208994581563</v>
      </c>
      <c r="AA260" s="2">
        <f t="shared" si="103"/>
        <v>70.075545542511534</v>
      </c>
      <c r="AB260" s="19">
        <f t="shared" si="106"/>
        <v>59.612131297727267</v>
      </c>
      <c r="AC260" s="2"/>
      <c r="AD260" s="18"/>
      <c r="AE260" s="118"/>
      <c r="AG260" s="2"/>
      <c r="AH260" s="19"/>
      <c r="AI260" s="20"/>
      <c r="AJ260" s="21"/>
      <c r="AK260" s="21"/>
      <c r="AM260" s="19"/>
      <c r="AN260" s="18"/>
      <c r="AO260" s="2"/>
      <c r="AP260" s="18"/>
      <c r="AQ260" s="118"/>
      <c r="AS260" s="2"/>
      <c r="AT260" s="19"/>
      <c r="AU260" s="20"/>
      <c r="AV260" s="21"/>
      <c r="AW260" s="21"/>
      <c r="AY260" s="19"/>
      <c r="AZ260" s="18"/>
      <c r="BA260" s="2"/>
      <c r="BB260" s="18"/>
      <c r="BC260" s="118"/>
      <c r="BE260" s="2"/>
      <c r="BF260" s="19"/>
      <c r="BG260" s="20"/>
      <c r="BH260" s="21"/>
      <c r="BI260" s="21"/>
      <c r="BK260" s="19"/>
      <c r="BL260" s="18"/>
      <c r="BM260" s="2"/>
      <c r="BN260" s="18"/>
      <c r="BO260" s="118"/>
      <c r="BQ260" s="2"/>
      <c r="BR260" s="19"/>
      <c r="BS260" s="20"/>
      <c r="BT260" s="21"/>
      <c r="BU260" s="21"/>
      <c r="BW260" s="19"/>
      <c r="BX260" s="18"/>
      <c r="BY260" s="2"/>
      <c r="BZ260" s="18"/>
      <c r="CA260" s="118"/>
      <c r="CC260" s="2"/>
      <c r="CD260" s="19"/>
      <c r="CE260" s="20"/>
      <c r="CF260" s="21"/>
      <c r="CG260" s="21"/>
      <c r="CI260" s="19"/>
      <c r="CJ260" s="18"/>
      <c r="CK260" s="2"/>
      <c r="CL260" s="18"/>
      <c r="CM260" s="118"/>
      <c r="CO260" s="2"/>
      <c r="CP260" s="19"/>
      <c r="CQ260" s="20"/>
      <c r="CR260" s="21"/>
      <c r="CS260" s="21"/>
    </row>
    <row r="261" spans="1:97" x14ac:dyDescent="0.25">
      <c r="A261" s="1">
        <f t="shared" si="89"/>
        <v>235</v>
      </c>
      <c r="B261" s="19">
        <f t="shared" si="90"/>
        <v>52.622492832380452</v>
      </c>
      <c r="C261" s="18">
        <f t="shared" si="104"/>
        <v>3.5459348846771492</v>
      </c>
      <c r="D261" s="2">
        <f t="shared" si="83"/>
        <v>0.91758295574988047</v>
      </c>
      <c r="E261" s="18">
        <f t="shared" si="91"/>
        <v>3.5612279339396471</v>
      </c>
      <c r="F261" s="21">
        <f t="shared" si="84"/>
        <v>0.95800444379053773</v>
      </c>
      <c r="G261" s="1">
        <f t="shared" si="85"/>
        <v>0</v>
      </c>
      <c r="H261" s="2">
        <f t="shared" si="81"/>
        <v>122.51596288658939</v>
      </c>
      <c r="I261" s="19">
        <f t="shared" si="107"/>
        <v>53.037213370817916</v>
      </c>
      <c r="J261" s="20">
        <f t="shared" si="86"/>
        <v>0.93091766702293421</v>
      </c>
      <c r="K261" s="21">
        <f t="shared" si="87"/>
        <v>33.0448119298932</v>
      </c>
      <c r="L261" s="21">
        <f t="shared" si="82"/>
        <v>0.74339114634751646</v>
      </c>
      <c r="M261" s="2">
        <f t="shared" si="92"/>
        <v>25.341946996108447</v>
      </c>
      <c r="N261" s="19">
        <f t="shared" si="105"/>
        <v>298.01285601309689</v>
      </c>
      <c r="O261" s="1">
        <f t="shared" si="93"/>
        <v>235</v>
      </c>
      <c r="P261" s="19">
        <f t="shared" si="94"/>
        <v>110.17499011430527</v>
      </c>
      <c r="Q261" s="18">
        <f t="shared" si="95"/>
        <v>5.0620807283909341</v>
      </c>
      <c r="R261" s="2">
        <f t="shared" si="96"/>
        <v>0.93124417652034774</v>
      </c>
      <c r="S261" s="18">
        <f t="shared" si="97"/>
        <v>5.077601464666273</v>
      </c>
      <c r="T261" s="18">
        <f t="shared" si="98"/>
        <v>1.9252201544335374</v>
      </c>
      <c r="U261" s="1">
        <f t="shared" si="88"/>
        <v>0</v>
      </c>
      <c r="V261" s="2">
        <f t="shared" si="99"/>
        <v>256.42944731847871</v>
      </c>
      <c r="W261" s="19">
        <f t="shared" si="100"/>
        <v>111.00841875258818</v>
      </c>
      <c r="X261" s="20"/>
      <c r="Y261" s="2">
        <f t="shared" si="101"/>
        <v>91.029350688901189</v>
      </c>
      <c r="Z261" s="21">
        <f t="shared" si="102"/>
        <v>1.5112456473212648</v>
      </c>
      <c r="AA261" s="2">
        <f t="shared" si="103"/>
        <v>70.729764437455799</v>
      </c>
      <c r="AB261" s="19">
        <f t="shared" si="106"/>
        <v>59.758417798401624</v>
      </c>
      <c r="AC261" s="2"/>
      <c r="AD261" s="18"/>
      <c r="AE261" s="118"/>
      <c r="AG261" s="2"/>
      <c r="AH261" s="19"/>
      <c r="AI261" s="20"/>
      <c r="AJ261" s="21"/>
      <c r="AK261" s="21"/>
      <c r="AM261" s="19"/>
      <c r="AN261" s="18"/>
      <c r="AO261" s="2"/>
      <c r="AP261" s="18"/>
      <c r="AQ261" s="118"/>
      <c r="AS261" s="2"/>
      <c r="AT261" s="19"/>
      <c r="AU261" s="20"/>
      <c r="AV261" s="21"/>
      <c r="AW261" s="21"/>
      <c r="AY261" s="19"/>
      <c r="AZ261" s="18"/>
      <c r="BA261" s="2"/>
      <c r="BB261" s="18"/>
      <c r="BC261" s="118"/>
      <c r="BE261" s="2"/>
      <c r="BF261" s="19"/>
      <c r="BG261" s="20"/>
      <c r="BH261" s="21"/>
      <c r="BI261" s="21"/>
      <c r="BK261" s="19"/>
      <c r="BL261" s="18"/>
      <c r="BM261" s="2"/>
      <c r="BN261" s="18"/>
      <c r="BO261" s="118"/>
      <c r="BQ261" s="2"/>
      <c r="BR261" s="19"/>
      <c r="BS261" s="20"/>
      <c r="BT261" s="21"/>
      <c r="BU261" s="21"/>
      <c r="BW261" s="19"/>
      <c r="BX261" s="18"/>
      <c r="BY261" s="2"/>
      <c r="BZ261" s="18"/>
      <c r="CA261" s="118"/>
      <c r="CC261" s="2"/>
      <c r="CD261" s="19"/>
      <c r="CE261" s="20"/>
      <c r="CF261" s="21"/>
      <c r="CG261" s="21"/>
      <c r="CI261" s="19"/>
      <c r="CJ261" s="18"/>
      <c r="CK261" s="2"/>
      <c r="CL261" s="18"/>
      <c r="CM261" s="118"/>
      <c r="CO261" s="2"/>
      <c r="CP261" s="19"/>
      <c r="CQ261" s="20"/>
      <c r="CR261" s="21"/>
      <c r="CS261" s="21"/>
    </row>
    <row r="262" spans="1:97" x14ac:dyDescent="0.25">
      <c r="A262" s="1">
        <f t="shared" si="89"/>
        <v>236</v>
      </c>
      <c r="B262" s="19">
        <f t="shared" si="90"/>
        <v>53.037213370817916</v>
      </c>
      <c r="C262" s="18">
        <f t="shared" si="104"/>
        <v>3.5612279339396471</v>
      </c>
      <c r="D262" s="2">
        <f t="shared" si="83"/>
        <v>0.91772703047434145</v>
      </c>
      <c r="E262" s="18">
        <f t="shared" si="91"/>
        <v>3.5765233844475528</v>
      </c>
      <c r="F262" s="21">
        <f t="shared" si="84"/>
        <v>0.96611410454204183</v>
      </c>
      <c r="G262" s="1">
        <f t="shared" si="85"/>
        <v>0</v>
      </c>
      <c r="H262" s="2">
        <f t="shared" si="81"/>
        <v>123.48207699113144</v>
      </c>
      <c r="I262" s="19">
        <f t="shared" si="107"/>
        <v>53.455444584905379</v>
      </c>
      <c r="J262" s="20">
        <f t="shared" si="86"/>
        <v>0.93086417789891063</v>
      </c>
      <c r="K262" s="21">
        <f t="shared" si="87"/>
        <v>33.463139337159902</v>
      </c>
      <c r="L262" s="21">
        <f t="shared" si="82"/>
        <v>0.74979057980977937</v>
      </c>
      <c r="M262" s="2">
        <f t="shared" si="92"/>
        <v>25.666531662692769</v>
      </c>
      <c r="N262" s="19">
        <f t="shared" si="105"/>
        <v>298.22079386195799</v>
      </c>
      <c r="O262" s="1">
        <f t="shared" si="93"/>
        <v>236</v>
      </c>
      <c r="P262" s="19">
        <f t="shared" si="94"/>
        <v>111.00841875258818</v>
      </c>
      <c r="Q262" s="18">
        <f t="shared" si="95"/>
        <v>5.077601464666273</v>
      </c>
      <c r="R262" s="2">
        <f t="shared" si="96"/>
        <v>0.93138454649404911</v>
      </c>
      <c r="S262" s="18">
        <f t="shared" si="97"/>
        <v>5.093124540441174</v>
      </c>
      <c r="T262" s="18">
        <f t="shared" si="98"/>
        <v>1.9368214629806468</v>
      </c>
      <c r="U262" s="1">
        <f t="shared" si="88"/>
        <v>0</v>
      </c>
      <c r="V262" s="2">
        <f t="shared" si="99"/>
        <v>258.36626878145938</v>
      </c>
      <c r="W262" s="19">
        <f t="shared" si="100"/>
        <v>111.84686960236337</v>
      </c>
      <c r="X262" s="20"/>
      <c r="Y262" s="2">
        <f t="shared" si="101"/>
        <v>91.867994382371805</v>
      </c>
      <c r="Z262" s="21">
        <f t="shared" si="102"/>
        <v>1.5205000325573692</v>
      </c>
      <c r="AA262" s="2">
        <f t="shared" si="103"/>
        <v>71.387989559775008</v>
      </c>
      <c r="AB262" s="19">
        <f t="shared" si="106"/>
        <v>59.904257144210945</v>
      </c>
      <c r="AC262" s="2"/>
      <c r="AD262" s="18"/>
      <c r="AE262" s="118"/>
      <c r="AG262" s="2"/>
      <c r="AH262" s="19"/>
      <c r="AI262" s="20"/>
      <c r="AJ262" s="21"/>
      <c r="AK262" s="21"/>
      <c r="AM262" s="19"/>
      <c r="AN262" s="18"/>
      <c r="AO262" s="2"/>
      <c r="AP262" s="18"/>
      <c r="AQ262" s="118"/>
      <c r="AS262" s="2"/>
      <c r="AT262" s="19"/>
      <c r="AU262" s="20"/>
      <c r="AV262" s="21"/>
      <c r="AW262" s="21"/>
      <c r="AY262" s="19"/>
      <c r="AZ262" s="18"/>
      <c r="BA262" s="2"/>
      <c r="BB262" s="18"/>
      <c r="BC262" s="118"/>
      <c r="BE262" s="2"/>
      <c r="BF262" s="19"/>
      <c r="BG262" s="20"/>
      <c r="BH262" s="21"/>
      <c r="BI262" s="21"/>
      <c r="BK262" s="19"/>
      <c r="BL262" s="18"/>
      <c r="BM262" s="2"/>
      <c r="BN262" s="18"/>
      <c r="BO262" s="118"/>
      <c r="BQ262" s="2"/>
      <c r="BR262" s="19"/>
      <c r="BS262" s="20"/>
      <c r="BT262" s="21"/>
      <c r="BU262" s="21"/>
      <c r="BW262" s="19"/>
      <c r="BX262" s="18"/>
      <c r="BY262" s="2"/>
      <c r="BZ262" s="18"/>
      <c r="CA262" s="118"/>
      <c r="CC262" s="2"/>
      <c r="CD262" s="19"/>
      <c r="CE262" s="20"/>
      <c r="CF262" s="21"/>
      <c r="CG262" s="21"/>
      <c r="CI262" s="19"/>
      <c r="CJ262" s="18"/>
      <c r="CK262" s="2"/>
      <c r="CL262" s="18"/>
      <c r="CM262" s="118"/>
      <c r="CO262" s="2"/>
      <c r="CP262" s="19"/>
      <c r="CQ262" s="20"/>
      <c r="CR262" s="21"/>
      <c r="CS262" s="21"/>
    </row>
    <row r="263" spans="1:97" x14ac:dyDescent="0.25">
      <c r="A263" s="1">
        <f t="shared" si="89"/>
        <v>237</v>
      </c>
      <c r="B263" s="19">
        <f t="shared" si="90"/>
        <v>53.455444584905379</v>
      </c>
      <c r="C263" s="18">
        <f t="shared" si="104"/>
        <v>3.5765233844475528</v>
      </c>
      <c r="D263" s="2">
        <f t="shared" si="83"/>
        <v>0.91787121101059643</v>
      </c>
      <c r="E263" s="18">
        <f t="shared" si="91"/>
        <v>3.5918212379643961</v>
      </c>
      <c r="F263" s="21">
        <f t="shared" si="84"/>
        <v>0.97425871683837095</v>
      </c>
      <c r="G263" s="1">
        <f t="shared" si="85"/>
        <v>0</v>
      </c>
      <c r="H263" s="2">
        <f t="shared" si="81"/>
        <v>124.45633570796981</v>
      </c>
      <c r="I263" s="19">
        <f t="shared" si="107"/>
        <v>53.877201605181739</v>
      </c>
      <c r="J263" s="20">
        <f t="shared" si="86"/>
        <v>0.93081052159899869</v>
      </c>
      <c r="K263" s="21">
        <f t="shared" si="87"/>
        <v>33.884993361550919</v>
      </c>
      <c r="L263" s="21">
        <f t="shared" si="82"/>
        <v>0.75621845175186042</v>
      </c>
      <c r="M263" s="2">
        <f t="shared" si="92"/>
        <v>25.993898957823443</v>
      </c>
      <c r="N263" s="19">
        <f t="shared" si="105"/>
        <v>298.42784243854703</v>
      </c>
      <c r="O263" s="1">
        <f t="shared" si="93"/>
        <v>237</v>
      </c>
      <c r="P263" s="19">
        <f t="shared" si="94"/>
        <v>111.84686960236337</v>
      </c>
      <c r="Q263" s="18">
        <f t="shared" si="95"/>
        <v>5.093124540441174</v>
      </c>
      <c r="R263" s="2">
        <f t="shared" si="96"/>
        <v>0.9315247240271376</v>
      </c>
      <c r="S263" s="18">
        <f t="shared" si="97"/>
        <v>5.1086499525082933</v>
      </c>
      <c r="T263" s="18">
        <f t="shared" si="98"/>
        <v>1.9484588766916897</v>
      </c>
      <c r="U263" s="1">
        <f t="shared" si="88"/>
        <v>0</v>
      </c>
      <c r="V263" s="2">
        <f t="shared" si="99"/>
        <v>260.31472765815107</v>
      </c>
      <c r="W263" s="19">
        <f t="shared" si="100"/>
        <v>112.69035829357189</v>
      </c>
      <c r="X263" s="20"/>
      <c r="Y263" s="2">
        <f t="shared" si="101"/>
        <v>92.71167707597931</v>
      </c>
      <c r="Z263" s="21">
        <f t="shared" si="102"/>
        <v>1.5297840660179134</v>
      </c>
      <c r="AA263" s="2">
        <f t="shared" si="103"/>
        <v>72.050233744198351</v>
      </c>
      <c r="AB263" s="19">
        <f t="shared" si="106"/>
        <v>60.049651993680548</v>
      </c>
      <c r="AC263" s="2"/>
      <c r="AD263" s="18"/>
      <c r="AE263" s="118"/>
      <c r="AG263" s="2"/>
      <c r="AH263" s="19"/>
      <c r="AI263" s="20"/>
      <c r="AJ263" s="21"/>
      <c r="AK263" s="21"/>
      <c r="AM263" s="19"/>
      <c r="AN263" s="18"/>
      <c r="AO263" s="2"/>
      <c r="AP263" s="18"/>
      <c r="AQ263" s="118"/>
      <c r="AS263" s="2"/>
      <c r="AT263" s="19"/>
      <c r="AU263" s="20"/>
      <c r="AV263" s="21"/>
      <c r="AW263" s="21"/>
      <c r="AY263" s="19"/>
      <c r="AZ263" s="18"/>
      <c r="BA263" s="2"/>
      <c r="BB263" s="18"/>
      <c r="BC263" s="118"/>
      <c r="BE263" s="2"/>
      <c r="BF263" s="19"/>
      <c r="BG263" s="20"/>
      <c r="BH263" s="21"/>
      <c r="BI263" s="21"/>
      <c r="BK263" s="19"/>
      <c r="BL263" s="18"/>
      <c r="BM263" s="2"/>
      <c r="BN263" s="18"/>
      <c r="BO263" s="118"/>
      <c r="BQ263" s="2"/>
      <c r="BR263" s="19"/>
      <c r="BS263" s="20"/>
      <c r="BT263" s="21"/>
      <c r="BU263" s="21"/>
      <c r="BW263" s="19"/>
      <c r="BX263" s="18"/>
      <c r="BY263" s="2"/>
      <c r="BZ263" s="18"/>
      <c r="CA263" s="118"/>
      <c r="CC263" s="2"/>
      <c r="CD263" s="19"/>
      <c r="CE263" s="20"/>
      <c r="CF263" s="21"/>
      <c r="CG263" s="21"/>
      <c r="CI263" s="19"/>
      <c r="CJ263" s="18"/>
      <c r="CK263" s="2"/>
      <c r="CL263" s="18"/>
      <c r="CM263" s="118"/>
      <c r="CO263" s="2"/>
      <c r="CP263" s="19"/>
      <c r="CQ263" s="20"/>
      <c r="CR263" s="21"/>
      <c r="CS263" s="21"/>
    </row>
    <row r="264" spans="1:97" x14ac:dyDescent="0.25">
      <c r="A264" s="1">
        <f t="shared" si="89"/>
        <v>238</v>
      </c>
      <c r="B264" s="19">
        <f t="shared" si="90"/>
        <v>53.877201605181739</v>
      </c>
      <c r="C264" s="18">
        <f t="shared" si="104"/>
        <v>3.5918212379643961</v>
      </c>
      <c r="D264" s="2">
        <f t="shared" si="83"/>
        <v>0.91801549182663167</v>
      </c>
      <c r="E264" s="18">
        <f t="shared" si="91"/>
        <v>3.6071214961615068</v>
      </c>
      <c r="F264" s="21">
        <f t="shared" si="84"/>
        <v>0.98243829350191014</v>
      </c>
      <c r="G264" s="1">
        <f t="shared" si="85"/>
        <v>0</v>
      </c>
      <c r="H264" s="2">
        <f t="shared" si="81"/>
        <v>125.43877400147173</v>
      </c>
      <c r="I264" s="19">
        <f t="shared" si="107"/>
        <v>54.302499567736675</v>
      </c>
      <c r="J264" s="20">
        <f t="shared" si="86"/>
        <v>0.93075669992616106</v>
      </c>
      <c r="K264" s="21">
        <f t="shared" si="87"/>
        <v>34.310389142637248</v>
      </c>
      <c r="L264" s="21">
        <f t="shared" si="82"/>
        <v>0.76267477580922194</v>
      </c>
      <c r="M264" s="2">
        <f t="shared" si="92"/>
        <v>26.324061198433498</v>
      </c>
      <c r="N264" s="19">
        <f t="shared" si="105"/>
        <v>298.63400917871229</v>
      </c>
      <c r="O264" s="1">
        <f t="shared" si="93"/>
        <v>238</v>
      </c>
      <c r="P264" s="19">
        <f t="shared" si="94"/>
        <v>112.69035829357189</v>
      </c>
      <c r="Q264" s="18">
        <f t="shared" si="95"/>
        <v>5.1086499525082933</v>
      </c>
      <c r="R264" s="2">
        <f t="shared" si="96"/>
        <v>0.93166470852951755</v>
      </c>
      <c r="S264" s="18">
        <f t="shared" si="97"/>
        <v>5.1241776976504516</v>
      </c>
      <c r="T264" s="18">
        <f t="shared" si="98"/>
        <v>1.9601324059071989</v>
      </c>
      <c r="U264" s="1">
        <f t="shared" si="88"/>
        <v>0</v>
      </c>
      <c r="V264" s="2">
        <f t="shared" si="99"/>
        <v>262.27486006405826</v>
      </c>
      <c r="W264" s="19">
        <f t="shared" si="100"/>
        <v>113.53890046063128</v>
      </c>
      <c r="X264" s="20"/>
      <c r="Y264" s="2">
        <f t="shared" si="101"/>
        <v>93.560414407737127</v>
      </c>
      <c r="Z264" s="21">
        <f t="shared" si="102"/>
        <v>1.5390977585270058</v>
      </c>
      <c r="AA264" s="2">
        <f t="shared" si="103"/>
        <v>72.71650983014078</v>
      </c>
      <c r="AB264" s="19">
        <f t="shared" si="106"/>
        <v>60.194604981802939</v>
      </c>
      <c r="AC264" s="2"/>
      <c r="AD264" s="18"/>
      <c r="AE264" s="118"/>
      <c r="AG264" s="2"/>
      <c r="AH264" s="19"/>
      <c r="AI264" s="20"/>
      <c r="AJ264" s="21"/>
      <c r="AK264" s="21"/>
      <c r="AM264" s="19"/>
      <c r="AN264" s="18"/>
      <c r="AO264" s="2"/>
      <c r="AP264" s="18"/>
      <c r="AQ264" s="118"/>
      <c r="AS264" s="2"/>
      <c r="AT264" s="19"/>
      <c r="AU264" s="20"/>
      <c r="AV264" s="21"/>
      <c r="AW264" s="21"/>
      <c r="AY264" s="19"/>
      <c r="AZ264" s="18"/>
      <c r="BA264" s="2"/>
      <c r="BB264" s="18"/>
      <c r="BC264" s="118"/>
      <c r="BE264" s="2"/>
      <c r="BF264" s="19"/>
      <c r="BG264" s="20"/>
      <c r="BH264" s="21"/>
      <c r="BI264" s="21"/>
      <c r="BK264" s="19"/>
      <c r="BL264" s="18"/>
      <c r="BM264" s="2"/>
      <c r="BN264" s="18"/>
      <c r="BO264" s="118"/>
      <c r="BQ264" s="2"/>
      <c r="BR264" s="19"/>
      <c r="BS264" s="20"/>
      <c r="BT264" s="21"/>
      <c r="BU264" s="21"/>
      <c r="BW264" s="19"/>
      <c r="BX264" s="18"/>
      <c r="BY264" s="2"/>
      <c r="BZ264" s="18"/>
      <c r="CA264" s="118"/>
      <c r="CC264" s="2"/>
      <c r="CD264" s="19"/>
      <c r="CE264" s="20"/>
      <c r="CF264" s="21"/>
      <c r="CG264" s="21"/>
      <c r="CI264" s="19"/>
      <c r="CJ264" s="18"/>
      <c r="CK264" s="2"/>
      <c r="CL264" s="18"/>
      <c r="CM264" s="118"/>
      <c r="CO264" s="2"/>
      <c r="CP264" s="19"/>
      <c r="CQ264" s="20"/>
      <c r="CR264" s="21"/>
      <c r="CS264" s="21"/>
    </row>
    <row r="265" spans="1:97" x14ac:dyDescent="0.25">
      <c r="A265" s="1">
        <f t="shared" si="89"/>
        <v>239</v>
      </c>
      <c r="B265" s="19">
        <f t="shared" si="90"/>
        <v>54.302499567736675</v>
      </c>
      <c r="C265" s="18">
        <f t="shared" si="104"/>
        <v>3.6071214961615068</v>
      </c>
      <c r="D265" s="2">
        <f t="shared" si="83"/>
        <v>0.91815986746317901</v>
      </c>
      <c r="E265" s="18">
        <f t="shared" si="91"/>
        <v>3.6224241606192265</v>
      </c>
      <c r="F265" s="21">
        <f t="shared" si="84"/>
        <v>0.99065284733884518</v>
      </c>
      <c r="G265" s="1">
        <f t="shared" si="85"/>
        <v>0</v>
      </c>
      <c r="H265" s="2">
        <f t="shared" si="81"/>
        <v>126.42942684881058</v>
      </c>
      <c r="I265" s="19">
        <f t="shared" si="107"/>
        <v>54.731353614203712</v>
      </c>
      <c r="J265" s="20">
        <f t="shared" si="86"/>
        <v>0.93070271467703691</v>
      </c>
      <c r="K265" s="21">
        <f t="shared" si="87"/>
        <v>34.739341825534972</v>
      </c>
      <c r="L265" s="21">
        <f t="shared" si="82"/>
        <v>0.76915956559270982</v>
      </c>
      <c r="M265" s="2">
        <f t="shared" si="92"/>
        <v>26.657030707348092</v>
      </c>
      <c r="N265" s="19">
        <f t="shared" si="105"/>
        <v>298.83930142536252</v>
      </c>
      <c r="O265" s="1">
        <f t="shared" si="93"/>
        <v>239</v>
      </c>
      <c r="P265" s="19">
        <f t="shared" si="94"/>
        <v>113.53890046063128</v>
      </c>
      <c r="Q265" s="18">
        <f t="shared" si="95"/>
        <v>5.1241776976504516</v>
      </c>
      <c r="R265" s="2">
        <f t="shared" si="96"/>
        <v>0.9318044994319844</v>
      </c>
      <c r="S265" s="18">
        <f t="shared" si="97"/>
        <v>5.1397077726409846</v>
      </c>
      <c r="T265" s="18">
        <f t="shared" si="98"/>
        <v>1.9718420609414919</v>
      </c>
      <c r="U265" s="1">
        <f t="shared" si="88"/>
        <v>0</v>
      </c>
      <c r="V265" s="2">
        <f t="shared" si="99"/>
        <v>264.24670212499973</v>
      </c>
      <c r="W265" s="19">
        <f t="shared" si="100"/>
        <v>114.39251174242412</v>
      </c>
      <c r="X265" s="20"/>
      <c r="Y265" s="2">
        <f t="shared" si="101"/>
        <v>94.414222020124797</v>
      </c>
      <c r="Z265" s="21">
        <f t="shared" si="102"/>
        <v>1.5484411208815272</v>
      </c>
      <c r="AA265" s="2">
        <f t="shared" si="103"/>
        <v>73.386830661691221</v>
      </c>
      <c r="AB265" s="19">
        <f t="shared" si="106"/>
        <v>60.339118720314964</v>
      </c>
      <c r="AC265" s="2"/>
      <c r="AD265" s="18"/>
      <c r="AE265" s="118"/>
      <c r="AG265" s="2"/>
      <c r="AH265" s="19"/>
      <c r="AI265" s="20"/>
      <c r="AJ265" s="21"/>
      <c r="AK265" s="21"/>
      <c r="AM265" s="19"/>
      <c r="AN265" s="18"/>
      <c r="AO265" s="2"/>
      <c r="AP265" s="18"/>
      <c r="AQ265" s="118"/>
      <c r="AS265" s="2"/>
      <c r="AT265" s="19"/>
      <c r="AU265" s="20"/>
      <c r="AV265" s="21"/>
      <c r="AW265" s="21"/>
      <c r="AY265" s="19"/>
      <c r="AZ265" s="18"/>
      <c r="BA265" s="2"/>
      <c r="BB265" s="18"/>
      <c r="BC265" s="118"/>
      <c r="BE265" s="2"/>
      <c r="BF265" s="19"/>
      <c r="BG265" s="20"/>
      <c r="BH265" s="21"/>
      <c r="BI265" s="21"/>
      <c r="BK265" s="19"/>
      <c r="BL265" s="18"/>
      <c r="BM265" s="2"/>
      <c r="BN265" s="18"/>
      <c r="BO265" s="118"/>
      <c r="BQ265" s="2"/>
      <c r="BR265" s="19"/>
      <c r="BS265" s="20"/>
      <c r="BT265" s="21"/>
      <c r="BU265" s="21"/>
      <c r="BW265" s="19"/>
      <c r="BX265" s="18"/>
      <c r="BY265" s="2"/>
      <c r="BZ265" s="18"/>
      <c r="CA265" s="118"/>
      <c r="CC265" s="2"/>
      <c r="CD265" s="19"/>
      <c r="CE265" s="20"/>
      <c r="CF265" s="21"/>
      <c r="CG265" s="21"/>
      <c r="CI265" s="19"/>
      <c r="CJ265" s="18"/>
      <c r="CK265" s="2"/>
      <c r="CL265" s="18"/>
      <c r="CM265" s="118"/>
      <c r="CO265" s="2"/>
      <c r="CP265" s="19"/>
      <c r="CQ265" s="20"/>
      <c r="CR265" s="21"/>
      <c r="CS265" s="21"/>
    </row>
    <row r="266" spans="1:97" x14ac:dyDescent="0.25">
      <c r="A266" s="1">
        <f t="shared" si="89"/>
        <v>240</v>
      </c>
      <c r="B266" s="19">
        <f t="shared" si="90"/>
        <v>54.731353614203712</v>
      </c>
      <c r="C266" s="18">
        <f t="shared" si="104"/>
        <v>3.6224241606192265</v>
      </c>
      <c r="D266" s="2">
        <f t="shared" si="83"/>
        <v>0.9183043325334499</v>
      </c>
      <c r="E266" s="18">
        <f t="shared" si="91"/>
        <v>3.6377292328281174</v>
      </c>
      <c r="F266" s="21">
        <f t="shared" si="84"/>
        <v>0.99890239113867008</v>
      </c>
      <c r="G266" s="1">
        <f t="shared" si="85"/>
        <v>0</v>
      </c>
      <c r="H266" s="2">
        <f t="shared" si="81"/>
        <v>127.42832923994925</v>
      </c>
      <c r="I266" s="19">
        <f t="shared" si="107"/>
        <v>55.163778891752919</v>
      </c>
      <c r="J266" s="20">
        <f t="shared" si="86"/>
        <v>0.93064856764174742</v>
      </c>
      <c r="K266" s="21">
        <f t="shared" si="87"/>
        <v>35.171866560898017</v>
      </c>
      <c r="L266" s="21">
        <f t="shared" si="82"/>
        <v>0.77567283468825843</v>
      </c>
      <c r="M266" s="2">
        <f t="shared" si="92"/>
        <v>26.992819813273744</v>
      </c>
      <c r="N266" s="19">
        <f t="shared" si="105"/>
        <v>299.04372643001489</v>
      </c>
      <c r="O266" s="1">
        <f t="shared" si="93"/>
        <v>240</v>
      </c>
      <c r="P266" s="19">
        <f t="shared" si="94"/>
        <v>114.39251174242412</v>
      </c>
      <c r="Q266" s="18">
        <f t="shared" si="95"/>
        <v>5.1397077726409846</v>
      </c>
      <c r="R266" s="2">
        <f t="shared" si="96"/>
        <v>0.93194409618585405</v>
      </c>
      <c r="S266" s="18">
        <f t="shared" si="97"/>
        <v>5.1552401742440823</v>
      </c>
      <c r="T266" s="18">
        <f t="shared" si="98"/>
        <v>1.9835878520827728</v>
      </c>
      <c r="U266" s="1">
        <f t="shared" si="88"/>
        <v>0</v>
      </c>
      <c r="V266" s="2">
        <f t="shared" si="99"/>
        <v>266.23028997708252</v>
      </c>
      <c r="W266" s="19">
        <f t="shared" si="100"/>
        <v>115.2512077822868</v>
      </c>
      <c r="X266" s="20"/>
      <c r="Y266" s="2">
        <f t="shared" si="101"/>
        <v>95.273115560076633</v>
      </c>
      <c r="Z266" s="21">
        <f t="shared" si="102"/>
        <v>1.5578141638512468</v>
      </c>
      <c r="AA266" s="2">
        <f t="shared" si="103"/>
        <v>74.061209087600858</v>
      </c>
      <c r="AB266" s="19">
        <f t="shared" si="106"/>
        <v>60.483195797970858</v>
      </c>
      <c r="AC266" s="2"/>
      <c r="AD266" s="18"/>
      <c r="AE266" s="118"/>
      <c r="AG266" s="2"/>
      <c r="AH266" s="19"/>
      <c r="AI266" s="20"/>
      <c r="AJ266" s="21"/>
      <c r="AK266" s="21"/>
      <c r="AM266" s="19"/>
      <c r="AN266" s="18"/>
      <c r="AO266" s="2"/>
      <c r="AP266" s="18"/>
      <c r="AQ266" s="118"/>
      <c r="AS266" s="2"/>
      <c r="AT266" s="19"/>
      <c r="AU266" s="20"/>
      <c r="AV266" s="21"/>
      <c r="AW266" s="21"/>
      <c r="AY266" s="19"/>
      <c r="AZ266" s="18"/>
      <c r="BA266" s="2"/>
      <c r="BB266" s="18"/>
      <c r="BC266" s="118"/>
      <c r="BE266" s="2"/>
      <c r="BF266" s="19"/>
      <c r="BG266" s="20"/>
      <c r="BH266" s="21"/>
      <c r="BI266" s="21"/>
      <c r="BK266" s="19"/>
      <c r="BL266" s="18"/>
      <c r="BM266" s="2"/>
      <c r="BN266" s="18"/>
      <c r="BO266" s="118"/>
      <c r="BQ266" s="2"/>
      <c r="BR266" s="19"/>
      <c r="BS266" s="20"/>
      <c r="BT266" s="21"/>
      <c r="BU266" s="21"/>
      <c r="BW266" s="19"/>
      <c r="BX266" s="18"/>
      <c r="BY266" s="2"/>
      <c r="BZ266" s="18"/>
      <c r="CA266" s="118"/>
      <c r="CC266" s="2"/>
      <c r="CD266" s="19"/>
      <c r="CE266" s="20"/>
      <c r="CF266" s="21"/>
      <c r="CG266" s="21"/>
      <c r="CI266" s="19"/>
      <c r="CJ266" s="18"/>
      <c r="CK266" s="2"/>
      <c r="CL266" s="18"/>
      <c r="CM266" s="118"/>
      <c r="CO266" s="2"/>
      <c r="CP266" s="19"/>
      <c r="CQ266" s="20"/>
      <c r="CR266" s="21"/>
      <c r="CS266" s="21"/>
    </row>
    <row r="267" spans="1:97" x14ac:dyDescent="0.25">
      <c r="A267" s="1">
        <f t="shared" si="89"/>
        <v>241</v>
      </c>
      <c r="B267" s="19">
        <f t="shared" si="90"/>
        <v>55.163778891752919</v>
      </c>
      <c r="C267" s="18">
        <f t="shared" si="104"/>
        <v>3.6377292328281174</v>
      </c>
      <c r="D267" s="2">
        <f t="shared" si="83"/>
        <v>0.91844888172284778</v>
      </c>
      <c r="E267" s="18">
        <f t="shared" si="91"/>
        <v>3.653036714190165</v>
      </c>
      <c r="F267" s="21">
        <f t="shared" si="84"/>
        <v>1.0071869376737075</v>
      </c>
      <c r="G267" s="1">
        <f t="shared" si="85"/>
        <v>0</v>
      </c>
      <c r="H267" s="2">
        <f t="shared" si="81"/>
        <v>128.43551617762296</v>
      </c>
      <c r="I267" s="19">
        <f t="shared" si="107"/>
        <v>55.59979055308353</v>
      </c>
      <c r="J267" s="20">
        <f t="shared" si="86"/>
        <v>0.93059426060370942</v>
      </c>
      <c r="K267" s="21">
        <f t="shared" si="87"/>
        <v>35.607978504910733</v>
      </c>
      <c r="L267" s="21">
        <f t="shared" si="82"/>
        <v>0.7822145966566052</v>
      </c>
      <c r="M267" s="2">
        <f t="shared" si="92"/>
        <v>27.331440850787427</v>
      </c>
      <c r="N267" s="19">
        <f t="shared" si="105"/>
        <v>299.24729135431016</v>
      </c>
      <c r="O267" s="1">
        <f t="shared" si="93"/>
        <v>241</v>
      </c>
      <c r="P267" s="19">
        <f t="shared" si="94"/>
        <v>115.2512077822868</v>
      </c>
      <c r="Q267" s="18">
        <f t="shared" si="95"/>
        <v>5.1552401742440823</v>
      </c>
      <c r="R267" s="2">
        <f t="shared" si="96"/>
        <v>0.9320834982625984</v>
      </c>
      <c r="S267" s="18">
        <f t="shared" si="97"/>
        <v>5.1707748992151252</v>
      </c>
      <c r="T267" s="18">
        <f t="shared" si="98"/>
        <v>1.9953697895932292</v>
      </c>
      <c r="U267" s="1">
        <f t="shared" si="88"/>
        <v>0</v>
      </c>
      <c r="V267" s="2">
        <f t="shared" si="99"/>
        <v>268.22565976667573</v>
      </c>
      <c r="W267" s="19">
        <f t="shared" si="100"/>
        <v>116.11500422799816</v>
      </c>
      <c r="X267" s="20"/>
      <c r="Y267" s="2">
        <f t="shared" si="101"/>
        <v>96.137110678970501</v>
      </c>
      <c r="Z267" s="21">
        <f t="shared" si="102"/>
        <v>1.5672168981789287</v>
      </c>
      <c r="AA267" s="2">
        <f t="shared" si="103"/>
        <v>74.739657961271391</v>
      </c>
      <c r="AB267" s="19">
        <f t="shared" si="106"/>
        <v>60.626838780811319</v>
      </c>
      <c r="AC267" s="2"/>
      <c r="AD267" s="18"/>
      <c r="AE267" s="118"/>
      <c r="AG267" s="2"/>
      <c r="AH267" s="19"/>
      <c r="AI267" s="20"/>
      <c r="AJ267" s="21"/>
      <c r="AK267" s="21"/>
      <c r="AM267" s="19"/>
      <c r="AN267" s="18"/>
      <c r="AO267" s="2"/>
      <c r="AP267" s="18"/>
      <c r="AQ267" s="118"/>
      <c r="AS267" s="2"/>
      <c r="AT267" s="19"/>
      <c r="AU267" s="20"/>
      <c r="AV267" s="21"/>
      <c r="AW267" s="21"/>
      <c r="AY267" s="19"/>
      <c r="AZ267" s="18"/>
      <c r="BA267" s="2"/>
      <c r="BB267" s="18"/>
      <c r="BC267" s="118"/>
      <c r="BE267" s="2"/>
      <c r="BF267" s="19"/>
      <c r="BG267" s="20"/>
      <c r="BH267" s="21"/>
      <c r="BI267" s="21"/>
      <c r="BK267" s="19"/>
      <c r="BL267" s="18"/>
      <c r="BM267" s="2"/>
      <c r="BN267" s="18"/>
      <c r="BO267" s="118"/>
      <c r="BQ267" s="2"/>
      <c r="BR267" s="19"/>
      <c r="BS267" s="20"/>
      <c r="BT267" s="21"/>
      <c r="BU267" s="21"/>
      <c r="BW267" s="19"/>
      <c r="BX267" s="18"/>
      <c r="BY267" s="2"/>
      <c r="BZ267" s="18"/>
      <c r="CA267" s="118"/>
      <c r="CC267" s="2"/>
      <c r="CD267" s="19"/>
      <c r="CE267" s="20"/>
      <c r="CF267" s="21"/>
      <c r="CG267" s="21"/>
      <c r="CI267" s="19"/>
      <c r="CJ267" s="18"/>
      <c r="CK267" s="2"/>
      <c r="CL267" s="18"/>
      <c r="CM267" s="118"/>
      <c r="CO267" s="2"/>
      <c r="CP267" s="19"/>
      <c r="CQ267" s="20"/>
      <c r="CR267" s="21"/>
      <c r="CS267" s="21"/>
    </row>
    <row r="268" spans="1:97" x14ac:dyDescent="0.25">
      <c r="A268" s="1">
        <f t="shared" si="89"/>
        <v>242</v>
      </c>
      <c r="B268" s="19">
        <f t="shared" si="90"/>
        <v>55.59979055308353</v>
      </c>
      <c r="C268" s="18">
        <f t="shared" si="104"/>
        <v>3.653036714190165</v>
      </c>
      <c r="D268" s="2">
        <f t="shared" si="83"/>
        <v>0.91859350978866006</v>
      </c>
      <c r="E268" s="18">
        <f t="shared" si="91"/>
        <v>3.6683466060199761</v>
      </c>
      <c r="F268" s="21">
        <f t="shared" si="84"/>
        <v>1.0155064996986443</v>
      </c>
      <c r="G268" s="1">
        <f t="shared" si="85"/>
        <v>0</v>
      </c>
      <c r="H268" s="2">
        <f t="shared" si="81"/>
        <v>129.45102267732159</v>
      </c>
      <c r="I268" s="19">
        <f t="shared" si="107"/>
        <v>56.03940375641627</v>
      </c>
      <c r="J268" s="20">
        <f t="shared" si="86"/>
        <v>0.93053979533945164</v>
      </c>
      <c r="K268" s="21">
        <f t="shared" si="87"/>
        <v>36.047692819280243</v>
      </c>
      <c r="L268" s="21">
        <f t="shared" si="82"/>
        <v>0.78878486503301393</v>
      </c>
      <c r="M268" s="2">
        <f t="shared" si="92"/>
        <v>27.672906160325528</v>
      </c>
      <c r="N268" s="19">
        <f t="shared" si="105"/>
        <v>299.450003271497</v>
      </c>
      <c r="O268" s="1">
        <f t="shared" si="93"/>
        <v>242</v>
      </c>
      <c r="P268" s="19">
        <f t="shared" si="94"/>
        <v>116.11500422799816</v>
      </c>
      <c r="Q268" s="18">
        <f t="shared" si="95"/>
        <v>5.1707748992151252</v>
      </c>
      <c r="R268" s="2">
        <f t="shared" si="96"/>
        <v>0.93222270515348571</v>
      </c>
      <c r="S268" s="18">
        <f t="shared" si="97"/>
        <v>5.1863119443010168</v>
      </c>
      <c r="T268" s="18">
        <f t="shared" si="98"/>
        <v>2.0071878837091384</v>
      </c>
      <c r="U268" s="1">
        <f t="shared" si="88"/>
        <v>0</v>
      </c>
      <c r="V268" s="2">
        <f t="shared" si="99"/>
        <v>270.23284765038488</v>
      </c>
      <c r="W268" s="19">
        <f t="shared" si="100"/>
        <v>116.98391673176835</v>
      </c>
      <c r="X268" s="20"/>
      <c r="Y268" s="2">
        <f t="shared" si="101"/>
        <v>97.00622303261656</v>
      </c>
      <c r="Z268" s="21">
        <f t="shared" si="102"/>
        <v>1.5766493345804486</v>
      </c>
      <c r="AA268" s="2">
        <f t="shared" si="103"/>
        <v>75.422190140743453</v>
      </c>
      <c r="AB268" s="19">
        <f t="shared" si="106"/>
        <v>60.770050212428615</v>
      </c>
      <c r="AC268" s="2"/>
      <c r="AD268" s="18"/>
      <c r="AE268" s="118"/>
      <c r="AG268" s="2"/>
      <c r="AH268" s="19"/>
      <c r="AI268" s="20"/>
      <c r="AJ268" s="21"/>
      <c r="AK268" s="21"/>
      <c r="AM268" s="19"/>
      <c r="AN268" s="18"/>
      <c r="AO268" s="2"/>
      <c r="AP268" s="18"/>
      <c r="AQ268" s="118"/>
      <c r="AS268" s="2"/>
      <c r="AT268" s="19"/>
      <c r="AU268" s="20"/>
      <c r="AV268" s="21"/>
      <c r="AW268" s="21"/>
      <c r="AY268" s="19"/>
      <c r="AZ268" s="18"/>
      <c r="BA268" s="2"/>
      <c r="BB268" s="18"/>
      <c r="BC268" s="118"/>
      <c r="BE268" s="2"/>
      <c r="BF268" s="19"/>
      <c r="BG268" s="20"/>
      <c r="BH268" s="21"/>
      <c r="BI268" s="21"/>
      <c r="BK268" s="19"/>
      <c r="BL268" s="18"/>
      <c r="BM268" s="2"/>
      <c r="BN268" s="18"/>
      <c r="BO268" s="118"/>
      <c r="BQ268" s="2"/>
      <c r="BR268" s="19"/>
      <c r="BS268" s="20"/>
      <c r="BT268" s="21"/>
      <c r="BU268" s="21"/>
      <c r="BW268" s="19"/>
      <c r="BX268" s="18"/>
      <c r="BY268" s="2"/>
      <c r="BZ268" s="18"/>
      <c r="CA268" s="118"/>
      <c r="CC268" s="2"/>
      <c r="CD268" s="19"/>
      <c r="CE268" s="20"/>
      <c r="CF268" s="21"/>
      <c r="CG268" s="21"/>
      <c r="CI268" s="19"/>
      <c r="CJ268" s="18"/>
      <c r="CK268" s="2"/>
      <c r="CL268" s="18"/>
      <c r="CM268" s="118"/>
      <c r="CO268" s="2"/>
      <c r="CP268" s="19"/>
      <c r="CQ268" s="20"/>
      <c r="CR268" s="21"/>
      <c r="CS268" s="21"/>
    </row>
    <row r="269" spans="1:97" x14ac:dyDescent="0.25">
      <c r="A269" s="1">
        <f t="shared" si="89"/>
        <v>243</v>
      </c>
      <c r="B269" s="19">
        <f t="shared" si="90"/>
        <v>56.03940375641627</v>
      </c>
      <c r="C269" s="18">
        <f t="shared" si="104"/>
        <v>3.6683466060199761</v>
      </c>
      <c r="D269" s="2">
        <f t="shared" si="83"/>
        <v>0.91873821155972946</v>
      </c>
      <c r="E269" s="18">
        <f t="shared" si="91"/>
        <v>3.6836589095459717</v>
      </c>
      <c r="F269" s="21">
        <f t="shared" si="84"/>
        <v>1.0238610899500842</v>
      </c>
      <c r="G269" s="1">
        <f t="shared" si="85"/>
        <v>0</v>
      </c>
      <c r="H269" s="2">
        <f t="shared" si="81"/>
        <v>130.47488376727168</v>
      </c>
      <c r="I269" s="19">
        <f t="shared" si="107"/>
        <v>56.482633665485572</v>
      </c>
      <c r="J269" s="20">
        <f t="shared" si="86"/>
        <v>0.93048517361844085</v>
      </c>
      <c r="K269" s="21">
        <f t="shared" si="87"/>
        <v>36.491024671228629</v>
      </c>
      <c r="L269" s="21">
        <f t="shared" si="82"/>
        <v>0.79538365332701055</v>
      </c>
      <c r="M269" s="2">
        <f t="shared" si="92"/>
        <v>28.017228088172718</v>
      </c>
      <c r="N269" s="19">
        <f t="shared" si="105"/>
        <v>299.65186916788537</v>
      </c>
      <c r="O269" s="1">
        <f t="shared" si="93"/>
        <v>243</v>
      </c>
      <c r="P269" s="19">
        <f t="shared" si="94"/>
        <v>116.98391673176835</v>
      </c>
      <c r="Q269" s="18">
        <f t="shared" si="95"/>
        <v>5.1863119443010168</v>
      </c>
      <c r="R269" s="2">
        <f t="shared" si="96"/>
        <v>0.93236171636922671</v>
      </c>
      <c r="S269" s="18">
        <f t="shared" si="97"/>
        <v>5.2018513062405036</v>
      </c>
      <c r="T269" s="18">
        <f t="shared" si="98"/>
        <v>2.019042144640963</v>
      </c>
      <c r="U269" s="1">
        <f t="shared" si="88"/>
        <v>0</v>
      </c>
      <c r="V269" s="2">
        <f t="shared" si="99"/>
        <v>272.25188979502582</v>
      </c>
      <c r="W269" s="19">
        <f t="shared" si="100"/>
        <v>117.85796095022762</v>
      </c>
      <c r="X269" s="20"/>
      <c r="Y269" s="2">
        <f t="shared" si="101"/>
        <v>97.880468281246095</v>
      </c>
      <c r="Z269" s="21">
        <f t="shared" si="102"/>
        <v>1.5861114837449011</v>
      </c>
      <c r="AA269" s="2">
        <f t="shared" si="103"/>
        <v>76.108818488684975</v>
      </c>
      <c r="AB269" s="19">
        <f t="shared" si="106"/>
        <v>60.91283261422786</v>
      </c>
      <c r="AC269" s="2"/>
      <c r="AD269" s="18"/>
      <c r="AE269" s="118"/>
      <c r="AG269" s="2"/>
      <c r="AH269" s="19"/>
      <c r="AI269" s="20"/>
      <c r="AJ269" s="21"/>
      <c r="AK269" s="21"/>
      <c r="AM269" s="19"/>
      <c r="AN269" s="18"/>
      <c r="AO269" s="2"/>
      <c r="AP269" s="18"/>
      <c r="AQ269" s="118"/>
      <c r="AS269" s="2"/>
      <c r="AT269" s="19"/>
      <c r="AU269" s="20"/>
      <c r="AV269" s="21"/>
      <c r="AW269" s="21"/>
      <c r="AY269" s="19"/>
      <c r="AZ269" s="18"/>
      <c r="BA269" s="2"/>
      <c r="BB269" s="18"/>
      <c r="BC269" s="118"/>
      <c r="BE269" s="2"/>
      <c r="BF269" s="19"/>
      <c r="BG269" s="20"/>
      <c r="BH269" s="21"/>
      <c r="BI269" s="21"/>
      <c r="BK269" s="19"/>
      <c r="BL269" s="18"/>
      <c r="BM269" s="2"/>
      <c r="BN269" s="18"/>
      <c r="BO269" s="118"/>
      <c r="BQ269" s="2"/>
      <c r="BR269" s="19"/>
      <c r="BS269" s="20"/>
      <c r="BT269" s="21"/>
      <c r="BU269" s="21"/>
      <c r="BW269" s="19"/>
      <c r="BX269" s="18"/>
      <c r="BY269" s="2"/>
      <c r="BZ269" s="18"/>
      <c r="CA269" s="118"/>
      <c r="CC269" s="2"/>
      <c r="CD269" s="19"/>
      <c r="CE269" s="20"/>
      <c r="CF269" s="21"/>
      <c r="CG269" s="21"/>
      <c r="CI269" s="19"/>
      <c r="CJ269" s="18"/>
      <c r="CK269" s="2"/>
      <c r="CL269" s="18"/>
      <c r="CM269" s="118"/>
      <c r="CO269" s="2"/>
      <c r="CP269" s="19"/>
      <c r="CQ269" s="20"/>
      <c r="CR269" s="21"/>
      <c r="CS269" s="21"/>
    </row>
    <row r="270" spans="1:97" x14ac:dyDescent="0.25">
      <c r="A270" s="1">
        <f t="shared" si="89"/>
        <v>244</v>
      </c>
      <c r="B270" s="19">
        <f t="shared" si="90"/>
        <v>56.482633665485572</v>
      </c>
      <c r="C270" s="18">
        <f t="shared" si="104"/>
        <v>3.6836589095459717</v>
      </c>
      <c r="D270" s="2">
        <f t="shared" si="83"/>
        <v>0.91888298193610707</v>
      </c>
      <c r="E270" s="18">
        <f t="shared" si="91"/>
        <v>3.6989736259115737</v>
      </c>
      <c r="F270" s="21">
        <f t="shared" si="84"/>
        <v>1.0322507211461105</v>
      </c>
      <c r="G270" s="1">
        <f t="shared" si="85"/>
        <v>0</v>
      </c>
      <c r="H270" s="2">
        <f t="shared" si="81"/>
        <v>131.50713448841779</v>
      </c>
      <c r="I270" s="19">
        <f t="shared" si="107"/>
        <v>56.929495449531508</v>
      </c>
      <c r="J270" s="20">
        <f t="shared" si="86"/>
        <v>0.93043039720291187</v>
      </c>
      <c r="K270" s="21">
        <f t="shared" si="87"/>
        <v>36.937989233484892</v>
      </c>
      <c r="L270" s="21">
        <f t="shared" si="82"/>
        <v>0.80201097502212715</v>
      </c>
      <c r="M270" s="2">
        <f t="shared" si="92"/>
        <v>28.364418986450694</v>
      </c>
      <c r="N270" s="19">
        <f t="shared" si="105"/>
        <v>299.85289594427024</v>
      </c>
      <c r="O270" s="1">
        <f t="shared" si="93"/>
        <v>244</v>
      </c>
      <c r="P270" s="19">
        <f t="shared" si="94"/>
        <v>117.85796095022762</v>
      </c>
      <c r="Q270" s="18">
        <f t="shared" si="95"/>
        <v>5.2018513062405036</v>
      </c>
      <c r="R270" s="2">
        <f t="shared" si="96"/>
        <v>0.93250053143962575</v>
      </c>
      <c r="S270" s="18">
        <f t="shared" si="97"/>
        <v>5.2173929817644975</v>
      </c>
      <c r="T270" s="18">
        <f t="shared" si="98"/>
        <v>2.0309325825734557</v>
      </c>
      <c r="U270" s="1">
        <f t="shared" si="88"/>
        <v>0</v>
      </c>
      <c r="V270" s="2">
        <f t="shared" si="99"/>
        <v>274.28282237759925</v>
      </c>
      <c r="W270" s="19">
        <f t="shared" si="100"/>
        <v>118.73715254441525</v>
      </c>
      <c r="X270" s="20"/>
      <c r="Y270" s="2">
        <f t="shared" si="101"/>
        <v>98.759862089500402</v>
      </c>
      <c r="Z270" s="21">
        <f t="shared" si="102"/>
        <v>1.5956033563347123</v>
      </c>
      <c r="AA270" s="2">
        <f t="shared" si="103"/>
        <v>76.799555872379656</v>
      </c>
      <c r="AB270" s="19">
        <f t="shared" si="106"/>
        <v>61.055188485684432</v>
      </c>
      <c r="AC270" s="2"/>
      <c r="AD270" s="18"/>
      <c r="AE270" s="118"/>
      <c r="AG270" s="2"/>
      <c r="AH270" s="19"/>
      <c r="AI270" s="20"/>
      <c r="AJ270" s="21"/>
      <c r="AK270" s="21"/>
      <c r="AM270" s="19"/>
      <c r="AN270" s="18"/>
      <c r="AO270" s="2"/>
      <c r="AP270" s="18"/>
      <c r="AQ270" s="118"/>
      <c r="AS270" s="2"/>
      <c r="AT270" s="19"/>
      <c r="AU270" s="20"/>
      <c r="AV270" s="21"/>
      <c r="AW270" s="21"/>
      <c r="AY270" s="19"/>
      <c r="AZ270" s="18"/>
      <c r="BA270" s="2"/>
      <c r="BB270" s="18"/>
      <c r="BC270" s="118"/>
      <c r="BE270" s="2"/>
      <c r="BF270" s="19"/>
      <c r="BG270" s="20"/>
      <c r="BH270" s="21"/>
      <c r="BI270" s="21"/>
      <c r="BK270" s="19"/>
      <c r="BL270" s="18"/>
      <c r="BM270" s="2"/>
      <c r="BN270" s="18"/>
      <c r="BO270" s="118"/>
      <c r="BQ270" s="2"/>
      <c r="BR270" s="19"/>
      <c r="BS270" s="20"/>
      <c r="BT270" s="21"/>
      <c r="BU270" s="21"/>
      <c r="BW270" s="19"/>
      <c r="BX270" s="18"/>
      <c r="BY270" s="2"/>
      <c r="BZ270" s="18"/>
      <c r="CA270" s="118"/>
      <c r="CC270" s="2"/>
      <c r="CD270" s="19"/>
      <c r="CE270" s="20"/>
      <c r="CF270" s="21"/>
      <c r="CG270" s="21"/>
      <c r="CI270" s="19"/>
      <c r="CJ270" s="18"/>
      <c r="CK270" s="2"/>
      <c r="CL270" s="18"/>
      <c r="CM270" s="118"/>
      <c r="CO270" s="2"/>
      <c r="CP270" s="19"/>
      <c r="CQ270" s="20"/>
      <c r="CR270" s="21"/>
      <c r="CS270" s="21"/>
    </row>
    <row r="271" spans="1:97" x14ac:dyDescent="0.25">
      <c r="A271" s="1">
        <f t="shared" si="89"/>
        <v>245</v>
      </c>
      <c r="B271" s="19">
        <f t="shared" si="90"/>
        <v>56.929495449531508</v>
      </c>
      <c r="C271" s="18">
        <f t="shared" si="104"/>
        <v>3.6989736259115737</v>
      </c>
      <c r="D271" s="2">
        <f t="shared" si="83"/>
        <v>0.9190278158886882</v>
      </c>
      <c r="E271" s="18">
        <f t="shared" si="91"/>
        <v>3.7142907561763852</v>
      </c>
      <c r="F271" s="21">
        <f t="shared" si="84"/>
        <v>1.0406754059858665</v>
      </c>
      <c r="G271" s="1">
        <f t="shared" si="85"/>
        <v>0</v>
      </c>
      <c r="H271" s="2">
        <f t="shared" si="81"/>
        <v>132.54780989440366</v>
      </c>
      <c r="I271" s="19">
        <f t="shared" si="107"/>
        <v>57.380004283291626</v>
      </c>
      <c r="J271" s="20">
        <f t="shared" si="86"/>
        <v>0.93037546784770231</v>
      </c>
      <c r="K271" s="21">
        <f t="shared" si="87"/>
        <v>37.388601684276772</v>
      </c>
      <c r="L271" s="21">
        <f t="shared" si="82"/>
        <v>0.80866684357565655</v>
      </c>
      <c r="M271" s="2">
        <f t="shared" si="92"/>
        <v>28.714491213106822</v>
      </c>
      <c r="N271" s="19">
        <f t="shared" si="105"/>
        <v>300.05309041732625</v>
      </c>
      <c r="O271" s="1">
        <f t="shared" si="93"/>
        <v>245</v>
      </c>
      <c r="P271" s="19">
        <f t="shared" si="94"/>
        <v>118.73715254441525</v>
      </c>
      <c r="Q271" s="18">
        <f t="shared" si="95"/>
        <v>5.2173929817644975</v>
      </c>
      <c r="R271" s="2">
        <f t="shared" si="96"/>
        <v>0.93263914991323704</v>
      </c>
      <c r="S271" s="18">
        <f t="shared" si="97"/>
        <v>5.2329369675963848</v>
      </c>
      <c r="T271" s="18">
        <f t="shared" si="98"/>
        <v>2.0428592076657597</v>
      </c>
      <c r="U271" s="1">
        <f t="shared" si="88"/>
        <v>0</v>
      </c>
      <c r="V271" s="2">
        <f t="shared" si="99"/>
        <v>276.32568158526499</v>
      </c>
      <c r="W271" s="19">
        <f t="shared" si="100"/>
        <v>119.62150717976839</v>
      </c>
      <c r="X271" s="20"/>
      <c r="Y271" s="2">
        <f t="shared" si="101"/>
        <v>99.644420126419675</v>
      </c>
      <c r="Z271" s="21">
        <f t="shared" si="102"/>
        <v>1.6051249629857536</v>
      </c>
      <c r="AA271" s="2">
        <f t="shared" si="103"/>
        <v>77.494415163715473</v>
      </c>
      <c r="AB271" s="19">
        <f t="shared" si="106"/>
        <v>61.197120304597746</v>
      </c>
      <c r="AC271" s="2"/>
      <c r="AD271" s="18"/>
      <c r="AE271" s="118"/>
      <c r="AG271" s="2"/>
      <c r="AH271" s="19"/>
      <c r="AI271" s="20"/>
      <c r="AJ271" s="21"/>
      <c r="AK271" s="21"/>
      <c r="AM271" s="19"/>
      <c r="AN271" s="18"/>
      <c r="AO271" s="2"/>
      <c r="AP271" s="18"/>
      <c r="AQ271" s="118"/>
      <c r="AS271" s="2"/>
      <c r="AT271" s="19"/>
      <c r="AU271" s="20"/>
      <c r="AV271" s="21"/>
      <c r="AW271" s="21"/>
      <c r="AY271" s="19"/>
      <c r="AZ271" s="18"/>
      <c r="BA271" s="2"/>
      <c r="BB271" s="18"/>
      <c r="BC271" s="118"/>
      <c r="BE271" s="2"/>
      <c r="BF271" s="19"/>
      <c r="BG271" s="20"/>
      <c r="BH271" s="21"/>
      <c r="BI271" s="21"/>
      <c r="BK271" s="19"/>
      <c r="BL271" s="18"/>
      <c r="BM271" s="2"/>
      <c r="BN271" s="18"/>
      <c r="BO271" s="118"/>
      <c r="BQ271" s="2"/>
      <c r="BR271" s="19"/>
      <c r="BS271" s="20"/>
      <c r="BT271" s="21"/>
      <c r="BU271" s="21"/>
      <c r="BW271" s="19"/>
      <c r="BX271" s="18"/>
      <c r="BY271" s="2"/>
      <c r="BZ271" s="18"/>
      <c r="CA271" s="118"/>
      <c r="CC271" s="2"/>
      <c r="CD271" s="19"/>
      <c r="CE271" s="20"/>
      <c r="CF271" s="21"/>
      <c r="CG271" s="21"/>
      <c r="CI271" s="19"/>
      <c r="CJ271" s="18"/>
      <c r="CK271" s="2"/>
      <c r="CL271" s="18"/>
      <c r="CM271" s="118"/>
      <c r="CO271" s="2"/>
      <c r="CP271" s="19"/>
      <c r="CQ271" s="20"/>
      <c r="CR271" s="21"/>
      <c r="CS271" s="21"/>
    </row>
    <row r="272" spans="1:97" x14ac:dyDescent="0.25">
      <c r="A272" s="1">
        <f t="shared" si="89"/>
        <v>246</v>
      </c>
      <c r="B272" s="19">
        <f t="shared" si="90"/>
        <v>57.380004283291626</v>
      </c>
      <c r="C272" s="18">
        <f t="shared" si="104"/>
        <v>3.7142907561763852</v>
      </c>
      <c r="D272" s="2">
        <f t="shared" si="83"/>
        <v>0.91917270845882948</v>
      </c>
      <c r="E272" s="18">
        <f t="shared" si="91"/>
        <v>3.7296103013173658</v>
      </c>
      <c r="F272" s="21">
        <f t="shared" si="84"/>
        <v>1.049135157149149</v>
      </c>
      <c r="G272" s="1">
        <f t="shared" si="85"/>
        <v>0</v>
      </c>
      <c r="H272" s="2">
        <f t="shared" si="81"/>
        <v>133.59694505155281</v>
      </c>
      <c r="I272" s="19">
        <f t="shared" si="107"/>
        <v>57.834175346992559</v>
      </c>
      <c r="J272" s="20">
        <f t="shared" si="86"/>
        <v>0.93032038730009625</v>
      </c>
      <c r="K272" s="21">
        <f t="shared" si="87"/>
        <v>37.842877207322353</v>
      </c>
      <c r="L272" s="21">
        <f t="shared" si="82"/>
        <v>0.81535127241841732</v>
      </c>
      <c r="M272" s="2">
        <f t="shared" si="92"/>
        <v>29.067457131902675</v>
      </c>
      <c r="N272" s="19">
        <f t="shared" si="105"/>
        <v>300.25245932097386</v>
      </c>
      <c r="O272" s="1">
        <f t="shared" si="93"/>
        <v>246</v>
      </c>
      <c r="P272" s="19">
        <f t="shared" si="94"/>
        <v>119.62150717976839</v>
      </c>
      <c r="Q272" s="18">
        <f t="shared" si="95"/>
        <v>5.2329369675963848</v>
      </c>
      <c r="R272" s="2">
        <f t="shared" si="96"/>
        <v>0.93277757135702688</v>
      </c>
      <c r="S272" s="18">
        <f t="shared" si="97"/>
        <v>5.2484832604523355</v>
      </c>
      <c r="T272" s="18">
        <f t="shared" si="98"/>
        <v>2.0548220300515094</v>
      </c>
      <c r="U272" s="1">
        <f t="shared" si="88"/>
        <v>0</v>
      </c>
      <c r="V272" s="2">
        <f t="shared" si="99"/>
        <v>278.38050361531651</v>
      </c>
      <c r="W272" s="19">
        <f t="shared" si="100"/>
        <v>120.51104052611105</v>
      </c>
      <c r="X272" s="20"/>
      <c r="Y272" s="2">
        <f t="shared" si="101"/>
        <v>100.53415806543198</v>
      </c>
      <c r="Z272" s="21">
        <f t="shared" si="102"/>
        <v>1.6146763143074494</v>
      </c>
      <c r="AA272" s="2">
        <f t="shared" si="103"/>
        <v>78.193409239173249</v>
      </c>
      <c r="AB272" s="19">
        <f t="shared" si="106"/>
        <v>61.338630527341273</v>
      </c>
      <c r="AC272" s="2"/>
      <c r="AD272" s="18"/>
      <c r="AE272" s="118"/>
      <c r="AG272" s="2"/>
      <c r="AH272" s="19"/>
      <c r="AI272" s="20"/>
      <c r="AJ272" s="21"/>
      <c r="AK272" s="21"/>
      <c r="AM272" s="19"/>
      <c r="AN272" s="18"/>
      <c r="AO272" s="2"/>
      <c r="AP272" s="18"/>
      <c r="AQ272" s="118"/>
      <c r="AS272" s="2"/>
      <c r="AT272" s="19"/>
      <c r="AU272" s="20"/>
      <c r="AV272" s="21"/>
      <c r="AW272" s="21"/>
      <c r="AY272" s="19"/>
      <c r="AZ272" s="18"/>
      <c r="BA272" s="2"/>
      <c r="BB272" s="18"/>
      <c r="BC272" s="118"/>
      <c r="BE272" s="2"/>
      <c r="BF272" s="19"/>
      <c r="BG272" s="20"/>
      <c r="BH272" s="21"/>
      <c r="BI272" s="21"/>
      <c r="BK272" s="19"/>
      <c r="BL272" s="18"/>
      <c r="BM272" s="2"/>
      <c r="BN272" s="18"/>
      <c r="BO272" s="118"/>
      <c r="BQ272" s="2"/>
      <c r="BR272" s="19"/>
      <c r="BS272" s="20"/>
      <c r="BT272" s="21"/>
      <c r="BU272" s="21"/>
      <c r="BW272" s="19"/>
      <c r="BX272" s="18"/>
      <c r="BY272" s="2"/>
      <c r="BZ272" s="18"/>
      <c r="CA272" s="118"/>
      <c r="CC272" s="2"/>
      <c r="CD272" s="19"/>
      <c r="CE272" s="20"/>
      <c r="CF272" s="21"/>
      <c r="CG272" s="21"/>
      <c r="CI272" s="19"/>
      <c r="CJ272" s="18"/>
      <c r="CK272" s="2"/>
      <c r="CL272" s="18"/>
      <c r="CM272" s="118"/>
      <c r="CO272" s="2"/>
      <c r="CP272" s="19"/>
      <c r="CQ272" s="20"/>
      <c r="CR272" s="21"/>
      <c r="CS272" s="21"/>
    </row>
    <row r="273" spans="1:97" x14ac:dyDescent="0.25">
      <c r="A273" s="1">
        <f t="shared" si="89"/>
        <v>247</v>
      </c>
      <c r="B273" s="19">
        <f t="shared" si="90"/>
        <v>57.834175346992559</v>
      </c>
      <c r="C273" s="18">
        <f t="shared" si="104"/>
        <v>3.7296103013173658</v>
      </c>
      <c r="D273" s="2">
        <f t="shared" si="83"/>
        <v>0.91931765475795002</v>
      </c>
      <c r="E273" s="18">
        <f t="shared" si="91"/>
        <v>3.7449322622299985</v>
      </c>
      <c r="F273" s="21">
        <f t="shared" si="84"/>
        <v>1.0576299872960124</v>
      </c>
      <c r="G273" s="1">
        <f t="shared" si="85"/>
        <v>0</v>
      </c>
      <c r="H273" s="2">
        <f t="shared" si="81"/>
        <v>134.65457503884883</v>
      </c>
      <c r="I273" s="19">
        <f t="shared" si="107"/>
        <v>58.292023826341484</v>
      </c>
      <c r="J273" s="20">
        <f t="shared" si="86"/>
        <v>0.93026515729967063</v>
      </c>
      <c r="K273" s="21">
        <f t="shared" si="87"/>
        <v>38.300830991821528</v>
      </c>
      <c r="L273" s="21">
        <f t="shared" si="82"/>
        <v>0.82206427495452561</v>
      </c>
      <c r="M273" s="2">
        <f t="shared" si="92"/>
        <v>29.42332911240247</v>
      </c>
      <c r="N273" s="19">
        <f t="shared" si="105"/>
        <v>300.45100930771798</v>
      </c>
      <c r="O273" s="1">
        <f t="shared" si="93"/>
        <v>247</v>
      </c>
      <c r="P273" s="19">
        <f t="shared" si="94"/>
        <v>120.51104052611105</v>
      </c>
      <c r="Q273" s="18">
        <f t="shared" si="95"/>
        <v>5.2484832604523355</v>
      </c>
      <c r="R273" s="2">
        <f t="shared" si="96"/>
        <v>0.93291579535603941</v>
      </c>
      <c r="S273" s="18">
        <f t="shared" si="97"/>
        <v>5.2640318570416031</v>
      </c>
      <c r="T273" s="18">
        <f t="shared" si="98"/>
        <v>2.0668210598389365</v>
      </c>
      <c r="U273" s="1">
        <f t="shared" si="88"/>
        <v>0</v>
      </c>
      <c r="V273" s="2">
        <f t="shared" si="99"/>
        <v>280.44732467515547</v>
      </c>
      <c r="W273" s="19">
        <f t="shared" si="100"/>
        <v>121.40576825764306</v>
      </c>
      <c r="X273" s="20"/>
      <c r="Y273" s="2">
        <f t="shared" si="101"/>
        <v>101.42909158434225</v>
      </c>
      <c r="Z273" s="21">
        <f t="shared" si="102"/>
        <v>1.6242574208828917</v>
      </c>
      <c r="AA273" s="2">
        <f t="shared" si="103"/>
        <v>78.896550979815188</v>
      </c>
      <c r="AB273" s="19">
        <f t="shared" si="106"/>
        <v>61.479721589109005</v>
      </c>
      <c r="AC273" s="2"/>
      <c r="AD273" s="18"/>
      <c r="AE273" s="118"/>
      <c r="AG273" s="2"/>
      <c r="AH273" s="19"/>
      <c r="AI273" s="20"/>
      <c r="AJ273" s="21"/>
      <c r="AK273" s="21"/>
      <c r="AM273" s="19"/>
      <c r="AN273" s="18"/>
      <c r="AO273" s="2"/>
      <c r="AP273" s="18"/>
      <c r="AQ273" s="118"/>
      <c r="AS273" s="2"/>
      <c r="AT273" s="19"/>
      <c r="AU273" s="20"/>
      <c r="AV273" s="21"/>
      <c r="AW273" s="21"/>
      <c r="AY273" s="19"/>
      <c r="AZ273" s="18"/>
      <c r="BA273" s="2"/>
      <c r="BB273" s="18"/>
      <c r="BC273" s="118"/>
      <c r="BE273" s="2"/>
      <c r="BF273" s="19"/>
      <c r="BG273" s="20"/>
      <c r="BH273" s="21"/>
      <c r="BI273" s="21"/>
      <c r="BK273" s="19"/>
      <c r="BL273" s="18"/>
      <c r="BM273" s="2"/>
      <c r="BN273" s="18"/>
      <c r="BO273" s="118"/>
      <c r="BQ273" s="2"/>
      <c r="BR273" s="19"/>
      <c r="BS273" s="20"/>
      <c r="BT273" s="21"/>
      <c r="BU273" s="21"/>
      <c r="BW273" s="19"/>
      <c r="BX273" s="18"/>
      <c r="BY273" s="2"/>
      <c r="BZ273" s="18"/>
      <c r="CA273" s="118"/>
      <c r="CC273" s="2"/>
      <c r="CD273" s="19"/>
      <c r="CE273" s="20"/>
      <c r="CF273" s="21"/>
      <c r="CG273" s="21"/>
      <c r="CI273" s="19"/>
      <c r="CJ273" s="18"/>
      <c r="CK273" s="2"/>
      <c r="CL273" s="18"/>
      <c r="CM273" s="118"/>
      <c r="CO273" s="2"/>
      <c r="CP273" s="19"/>
      <c r="CQ273" s="20"/>
      <c r="CR273" s="21"/>
      <c r="CS273" s="21"/>
    </row>
    <row r="274" spans="1:97" x14ac:dyDescent="0.25">
      <c r="A274" s="1">
        <f t="shared" si="89"/>
        <v>248</v>
      </c>
      <c r="B274" s="19">
        <f t="shared" si="90"/>
        <v>58.292023826341484</v>
      </c>
      <c r="C274" s="18">
        <f t="shared" si="104"/>
        <v>3.7449322622299985</v>
      </c>
      <c r="D274" s="2">
        <f t="shared" si="83"/>
        <v>0.91946264996711791</v>
      </c>
      <c r="E274" s="18">
        <f t="shared" si="91"/>
        <v>3.7602566397294503</v>
      </c>
      <c r="F274" s="21">
        <f t="shared" si="84"/>
        <v>1.0661599090663907</v>
      </c>
      <c r="G274" s="1">
        <f t="shared" si="85"/>
        <v>0</v>
      </c>
      <c r="H274" s="2">
        <f t="shared" si="81"/>
        <v>135.72073494791522</v>
      </c>
      <c r="I274" s="19">
        <f t="shared" si="107"/>
        <v>58.753564912517412</v>
      </c>
      <c r="J274" s="20">
        <f t="shared" si="86"/>
        <v>0.93020977957814821</v>
      </c>
      <c r="K274" s="21">
        <f t="shared" si="87"/>
        <v>38.762478232447272</v>
      </c>
      <c r="L274" s="21">
        <f t="shared" si="82"/>
        <v>0.82880586456117855</v>
      </c>
      <c r="M274" s="2">
        <f t="shared" si="92"/>
        <v>29.78211952996142</v>
      </c>
      <c r="N274" s="19">
        <f t="shared" si="105"/>
        <v>300.64874694995945</v>
      </c>
      <c r="O274" s="1">
        <f t="shared" si="93"/>
        <v>248</v>
      </c>
      <c r="P274" s="19">
        <f t="shared" si="94"/>
        <v>121.40576825764306</v>
      </c>
      <c r="Q274" s="18">
        <f t="shared" si="95"/>
        <v>5.2640318570416031</v>
      </c>
      <c r="R274" s="2">
        <f t="shared" si="96"/>
        <v>0.93305382151306926</v>
      </c>
      <c r="S274" s="18">
        <f t="shared" si="97"/>
        <v>5.279582754066821</v>
      </c>
      <c r="T274" s="18">
        <f t="shared" si="98"/>
        <v>2.0788563071109678</v>
      </c>
      <c r="U274" s="1">
        <f t="shared" si="88"/>
        <v>0</v>
      </c>
      <c r="V274" s="2">
        <f t="shared" si="99"/>
        <v>282.52618098226645</v>
      </c>
      <c r="W274" s="19">
        <f t="shared" si="100"/>
        <v>122.3057060529292</v>
      </c>
      <c r="X274" s="20"/>
      <c r="Y274" s="2">
        <f t="shared" si="101"/>
        <v>102.32923636532129</v>
      </c>
      <c r="Z274" s="21">
        <f t="shared" si="102"/>
        <v>1.6338682932689497</v>
      </c>
      <c r="AA274" s="2">
        <f t="shared" si="103"/>
        <v>79.603853271273607</v>
      </c>
      <c r="AB274" s="19">
        <f t="shared" si="106"/>
        <v>61.620395904158379</v>
      </c>
      <c r="AC274" s="2"/>
      <c r="AD274" s="18"/>
      <c r="AE274" s="118"/>
      <c r="AG274" s="2"/>
      <c r="AH274" s="19"/>
      <c r="AI274" s="20"/>
      <c r="AJ274" s="21"/>
      <c r="AK274" s="21"/>
      <c r="AM274" s="19"/>
      <c r="AN274" s="18"/>
      <c r="AO274" s="2"/>
      <c r="AP274" s="18"/>
      <c r="AQ274" s="118"/>
      <c r="AS274" s="2"/>
      <c r="AT274" s="19"/>
      <c r="AU274" s="20"/>
      <c r="AV274" s="21"/>
      <c r="AW274" s="21"/>
      <c r="AY274" s="19"/>
      <c r="AZ274" s="18"/>
      <c r="BA274" s="2"/>
      <c r="BB274" s="18"/>
      <c r="BC274" s="118"/>
      <c r="BE274" s="2"/>
      <c r="BF274" s="19"/>
      <c r="BG274" s="20"/>
      <c r="BH274" s="21"/>
      <c r="BI274" s="21"/>
      <c r="BK274" s="19"/>
      <c r="BL274" s="18"/>
      <c r="BM274" s="2"/>
      <c r="BN274" s="18"/>
      <c r="BO274" s="118"/>
      <c r="BQ274" s="2"/>
      <c r="BR274" s="19"/>
      <c r="BS274" s="20"/>
      <c r="BT274" s="21"/>
      <c r="BU274" s="21"/>
      <c r="BW274" s="19"/>
      <c r="BX274" s="18"/>
      <c r="BY274" s="2"/>
      <c r="BZ274" s="18"/>
      <c r="CA274" s="118"/>
      <c r="CC274" s="2"/>
      <c r="CD274" s="19"/>
      <c r="CE274" s="20"/>
      <c r="CF274" s="21"/>
      <c r="CG274" s="21"/>
      <c r="CI274" s="19"/>
      <c r="CJ274" s="18"/>
      <c r="CK274" s="2"/>
      <c r="CL274" s="18"/>
      <c r="CM274" s="118"/>
      <c r="CO274" s="2"/>
      <c r="CP274" s="19"/>
      <c r="CQ274" s="20"/>
      <c r="CR274" s="21"/>
      <c r="CS274" s="21"/>
    </row>
    <row r="275" spans="1:97" x14ac:dyDescent="0.25">
      <c r="A275" s="1">
        <f t="shared" si="89"/>
        <v>249</v>
      </c>
      <c r="B275" s="19">
        <f t="shared" si="90"/>
        <v>58.753564912517412</v>
      </c>
      <c r="C275" s="18">
        <f t="shared" si="104"/>
        <v>3.7602566397294503</v>
      </c>
      <c r="D275" s="2">
        <f t="shared" si="83"/>
        <v>0.91960768933661996</v>
      </c>
      <c r="E275" s="18">
        <f t="shared" si="91"/>
        <v>3.7755834345517272</v>
      </c>
      <c r="F275" s="21">
        <f t="shared" si="84"/>
        <v>1.0747249350797279</v>
      </c>
      <c r="G275" s="1">
        <f t="shared" si="85"/>
        <v>0</v>
      </c>
      <c r="H275" s="2">
        <f t="shared" si="81"/>
        <v>136.79545988299495</v>
      </c>
      <c r="I275" s="19">
        <f t="shared" si="107"/>
        <v>59.218813802162316</v>
      </c>
      <c r="J275" s="20">
        <f t="shared" si="86"/>
        <v>0.93015425585925737</v>
      </c>
      <c r="K275" s="21">
        <f t="shared" si="87"/>
        <v>39.227834129336792</v>
      </c>
      <c r="L275" s="21">
        <f t="shared" si="82"/>
        <v>0.83557605458844586</v>
      </c>
      <c r="M275" s="2">
        <f t="shared" si="92"/>
        <v>30.143840765713993</v>
      </c>
      <c r="N275" s="19">
        <f t="shared" si="105"/>
        <v>300.8456787412801</v>
      </c>
      <c r="O275" s="1">
        <f t="shared" si="93"/>
        <v>249</v>
      </c>
      <c r="P275" s="19">
        <f t="shared" si="94"/>
        <v>122.3057060529292</v>
      </c>
      <c r="Q275" s="18">
        <f t="shared" si="95"/>
        <v>5.279582754066821</v>
      </c>
      <c r="R275" s="2">
        <f t="shared" si="96"/>
        <v>0.93319164944833766</v>
      </c>
      <c r="S275" s="18">
        <f t="shared" si="97"/>
        <v>5.295135948224293</v>
      </c>
      <c r="T275" s="18">
        <f t="shared" si="98"/>
        <v>2.0909277819253278</v>
      </c>
      <c r="U275" s="1">
        <f t="shared" si="88"/>
        <v>0</v>
      </c>
      <c r="V275" s="2">
        <f t="shared" si="99"/>
        <v>284.61710876419176</v>
      </c>
      <c r="W275" s="19">
        <f t="shared" si="100"/>
        <v>123.21086959488821</v>
      </c>
      <c r="X275" s="20"/>
      <c r="Y275" s="2">
        <f t="shared" si="101"/>
        <v>103.23460809489497</v>
      </c>
      <c r="Z275" s="21">
        <f t="shared" si="102"/>
        <v>1.6435089419963802</v>
      </c>
      <c r="AA275" s="2">
        <f t="shared" si="103"/>
        <v>80.315329003739578</v>
      </c>
      <c r="AB275" s="19">
        <f t="shared" si="106"/>
        <v>61.760655866049682</v>
      </c>
      <c r="AC275" s="2"/>
      <c r="AD275" s="18"/>
      <c r="AE275" s="118"/>
      <c r="AG275" s="2"/>
      <c r="AH275" s="19"/>
      <c r="AI275" s="20"/>
      <c r="AJ275" s="21"/>
      <c r="AK275" s="21"/>
      <c r="AM275" s="19"/>
      <c r="AN275" s="18"/>
      <c r="AO275" s="2"/>
      <c r="AP275" s="18"/>
      <c r="AQ275" s="118"/>
      <c r="AS275" s="2"/>
      <c r="AT275" s="19"/>
      <c r="AU275" s="20"/>
      <c r="AV275" s="21"/>
      <c r="AW275" s="21"/>
      <c r="AY275" s="19"/>
      <c r="AZ275" s="18"/>
      <c r="BA275" s="2"/>
      <c r="BB275" s="18"/>
      <c r="BC275" s="118"/>
      <c r="BE275" s="2"/>
      <c r="BF275" s="19"/>
      <c r="BG275" s="20"/>
      <c r="BH275" s="21"/>
      <c r="BI275" s="21"/>
      <c r="BK275" s="19"/>
      <c r="BL275" s="18"/>
      <c r="BM275" s="2"/>
      <c r="BN275" s="18"/>
      <c r="BO275" s="118"/>
      <c r="BQ275" s="2"/>
      <c r="BR275" s="19"/>
      <c r="BS275" s="20"/>
      <c r="BT275" s="21"/>
      <c r="BU275" s="21"/>
      <c r="BW275" s="19"/>
      <c r="BX275" s="18"/>
      <c r="BY275" s="2"/>
      <c r="BZ275" s="18"/>
      <c r="CA275" s="118"/>
      <c r="CC275" s="2"/>
      <c r="CD275" s="19"/>
      <c r="CE275" s="20"/>
      <c r="CF275" s="21"/>
      <c r="CG275" s="21"/>
      <c r="CI275" s="19"/>
      <c r="CJ275" s="18"/>
      <c r="CK275" s="2"/>
      <c r="CL275" s="18"/>
      <c r="CM275" s="118"/>
      <c r="CO275" s="2"/>
      <c r="CP275" s="19"/>
      <c r="CQ275" s="20"/>
      <c r="CR275" s="21"/>
      <c r="CS275" s="21"/>
    </row>
    <row r="276" spans="1:97" x14ac:dyDescent="0.25">
      <c r="A276" s="1">
        <f t="shared" si="89"/>
        <v>250</v>
      </c>
      <c r="B276" s="19">
        <f t="shared" si="90"/>
        <v>59.218813802162316</v>
      </c>
      <c r="C276" s="18">
        <f t="shared" si="104"/>
        <v>3.7755834345517272</v>
      </c>
      <c r="D276" s="2">
        <f t="shared" si="83"/>
        <v>0.9197527681855191</v>
      </c>
      <c r="E276" s="18">
        <f t="shared" si="91"/>
        <v>3.7909126473548191</v>
      </c>
      <c r="F276" s="21">
        <f t="shared" si="84"/>
        <v>1.0833250779346246</v>
      </c>
      <c r="G276" s="1">
        <f t="shared" si="85"/>
        <v>0</v>
      </c>
      <c r="H276" s="2">
        <f t="shared" si="81"/>
        <v>137.87878496092958</v>
      </c>
      <c r="I276" s="19">
        <f t="shared" si="107"/>
        <v>59.687785697372114</v>
      </c>
      <c r="J276" s="20">
        <f t="shared" si="86"/>
        <v>0.93009858785859367</v>
      </c>
      <c r="K276" s="21">
        <f t="shared" si="87"/>
        <v>39.696913888082484</v>
      </c>
      <c r="L276" s="21">
        <f t="shared" si="82"/>
        <v>0.84237485835907067</v>
      </c>
      <c r="M276" s="2">
        <f t="shared" si="92"/>
        <v>30.508505206562074</v>
      </c>
      <c r="N276" s="19">
        <f t="shared" si="105"/>
        <v>301.04181109770235</v>
      </c>
      <c r="O276" s="1">
        <f t="shared" si="93"/>
        <v>250</v>
      </c>
      <c r="P276" s="19">
        <f t="shared" si="94"/>
        <v>123.21086959488821</v>
      </c>
      <c r="Q276" s="18">
        <f t="shared" si="95"/>
        <v>5.295135948224293</v>
      </c>
      <c r="R276" s="2">
        <f t="shared" si="96"/>
        <v>0.9333292787991746</v>
      </c>
      <c r="S276" s="18">
        <f t="shared" si="97"/>
        <v>5.3106914362042792</v>
      </c>
      <c r="T276" s="18">
        <f t="shared" si="98"/>
        <v>2.1030354943146432</v>
      </c>
      <c r="U276" s="1">
        <f t="shared" si="88"/>
        <v>0</v>
      </c>
      <c r="V276" s="2">
        <f t="shared" si="99"/>
        <v>286.72014425850642</v>
      </c>
      <c r="W276" s="19">
        <f t="shared" si="100"/>
        <v>124.12127457078199</v>
      </c>
      <c r="X276" s="20"/>
      <c r="Y276" s="2">
        <f t="shared" si="101"/>
        <v>104.14522246393321</v>
      </c>
      <c r="Z276" s="21">
        <f t="shared" si="102"/>
        <v>1.6531793775699404</v>
      </c>
      <c r="AA276" s="2">
        <f t="shared" si="103"/>
        <v>81.030991071951675</v>
      </c>
      <c r="AB276" s="19">
        <f t="shared" si="106"/>
        <v>61.900503847882085</v>
      </c>
      <c r="AC276" s="2"/>
      <c r="AD276" s="18"/>
      <c r="AE276" s="118"/>
      <c r="AG276" s="2"/>
      <c r="AH276" s="19"/>
      <c r="AI276" s="20"/>
      <c r="AJ276" s="21"/>
      <c r="AK276" s="21"/>
      <c r="AM276" s="19"/>
      <c r="AN276" s="18"/>
      <c r="AO276" s="2"/>
      <c r="AP276" s="18"/>
      <c r="AQ276" s="118"/>
      <c r="AS276" s="2"/>
      <c r="AT276" s="19"/>
      <c r="AU276" s="20"/>
      <c r="AV276" s="21"/>
      <c r="AW276" s="21"/>
      <c r="AY276" s="19"/>
      <c r="AZ276" s="18"/>
      <c r="BA276" s="2"/>
      <c r="BB276" s="18"/>
      <c r="BC276" s="118"/>
      <c r="BE276" s="2"/>
      <c r="BF276" s="19"/>
      <c r="BG276" s="20"/>
      <c r="BH276" s="21"/>
      <c r="BI276" s="21"/>
      <c r="BK276" s="19"/>
      <c r="BL276" s="18"/>
      <c r="BM276" s="2"/>
      <c r="BN276" s="18"/>
      <c r="BO276" s="118"/>
      <c r="BQ276" s="2"/>
      <c r="BR276" s="19"/>
      <c r="BS276" s="20"/>
      <c r="BT276" s="21"/>
      <c r="BU276" s="21"/>
      <c r="BW276" s="19"/>
      <c r="BX276" s="18"/>
      <c r="BY276" s="2"/>
      <c r="BZ276" s="18"/>
      <c r="CA276" s="118"/>
      <c r="CC276" s="2"/>
      <c r="CD276" s="19"/>
      <c r="CE276" s="20"/>
      <c r="CF276" s="21"/>
      <c r="CG276" s="21"/>
      <c r="CI276" s="19"/>
      <c r="CJ276" s="18"/>
      <c r="CK276" s="2"/>
      <c r="CL276" s="18"/>
      <c r="CM276" s="118"/>
      <c r="CO276" s="2"/>
      <c r="CP276" s="19"/>
      <c r="CQ276" s="20"/>
      <c r="CR276" s="21"/>
      <c r="CS276" s="21"/>
    </row>
    <row r="277" spans="1:97" x14ac:dyDescent="0.25">
      <c r="A277" s="1">
        <f t="shared" si="89"/>
        <v>251</v>
      </c>
      <c r="B277" s="19">
        <f t="shared" si="90"/>
        <v>59.687785697372114</v>
      </c>
      <c r="C277" s="18">
        <f t="shared" si="104"/>
        <v>3.7909126473548191</v>
      </c>
      <c r="D277" s="2">
        <f t="shared" si="83"/>
        <v>0.91989788190119659</v>
      </c>
      <c r="E277" s="18">
        <f t="shared" si="91"/>
        <v>3.8062442787198392</v>
      </c>
      <c r="F277" s="21">
        <f t="shared" si="84"/>
        <v>1.0919603502084938</v>
      </c>
      <c r="G277" s="1">
        <f t="shared" si="85"/>
        <v>0</v>
      </c>
      <c r="H277" s="2">
        <f t="shared" si="81"/>
        <v>138.97074531113807</v>
      </c>
      <c r="I277" s="19">
        <f t="shared" si="107"/>
        <v>60.160495805687475</v>
      </c>
      <c r="J277" s="20">
        <f t="shared" si="86"/>
        <v>0.93004277728349183</v>
      </c>
      <c r="K277" s="21">
        <f t="shared" si="87"/>
        <v>40.169732719722759</v>
      </c>
      <c r="L277" s="21">
        <f t="shared" si="82"/>
        <v>0.84920228916827722</v>
      </c>
      <c r="M277" s="2">
        <f t="shared" si="92"/>
        <v>30.87612524516306</v>
      </c>
      <c r="N277" s="19">
        <f t="shared" si="105"/>
        <v>301.23715035892326</v>
      </c>
      <c r="O277" s="1">
        <f t="shared" si="93"/>
        <v>251</v>
      </c>
      <c r="P277" s="19">
        <f t="shared" si="94"/>
        <v>124.12127457078199</v>
      </c>
      <c r="Q277" s="18">
        <f t="shared" si="95"/>
        <v>5.3106914362042792</v>
      </c>
      <c r="R277" s="2">
        <f t="shared" si="96"/>
        <v>0.93346670921970498</v>
      </c>
      <c r="S277" s="18">
        <f t="shared" si="97"/>
        <v>5.3262492146912743</v>
      </c>
      <c r="T277" s="18">
        <f t="shared" si="98"/>
        <v>2.1151794542865461</v>
      </c>
      <c r="U277" s="1">
        <f t="shared" si="88"/>
        <v>0</v>
      </c>
      <c r="V277" s="2">
        <f t="shared" si="99"/>
        <v>288.83532371279296</v>
      </c>
      <c r="W277" s="19">
        <f t="shared" si="100"/>
        <v>125.03693667220475</v>
      </c>
      <c r="X277" s="20"/>
      <c r="Y277" s="2">
        <f t="shared" si="101"/>
        <v>105.06109516763928</v>
      </c>
      <c r="Z277" s="21">
        <f t="shared" si="102"/>
        <v>1.6628796104684973</v>
      </c>
      <c r="AA277" s="2">
        <f t="shared" si="103"/>
        <v>81.750852375184792</v>
      </c>
      <c r="AB277" s="19">
        <f t="shared" si="106"/>
        <v>62.039942202526291</v>
      </c>
      <c r="AC277" s="2"/>
      <c r="AD277" s="18"/>
      <c r="AE277" s="118"/>
      <c r="AG277" s="2"/>
      <c r="AH277" s="19"/>
      <c r="AI277" s="20"/>
      <c r="AJ277" s="21"/>
      <c r="AK277" s="21"/>
      <c r="AM277" s="19"/>
      <c r="AN277" s="18"/>
      <c r="AO277" s="2"/>
      <c r="AP277" s="18"/>
      <c r="AQ277" s="118"/>
      <c r="AS277" s="2"/>
      <c r="AT277" s="19"/>
      <c r="AU277" s="20"/>
      <c r="AV277" s="21"/>
      <c r="AW277" s="21"/>
      <c r="AY277" s="19"/>
      <c r="AZ277" s="18"/>
      <c r="BA277" s="2"/>
      <c r="BB277" s="18"/>
      <c r="BC277" s="118"/>
      <c r="BE277" s="2"/>
      <c r="BF277" s="19"/>
      <c r="BG277" s="20"/>
      <c r="BH277" s="21"/>
      <c r="BI277" s="21"/>
      <c r="BK277" s="19"/>
      <c r="BL277" s="18"/>
      <c r="BM277" s="2"/>
      <c r="BN277" s="18"/>
      <c r="BO277" s="118"/>
      <c r="BQ277" s="2"/>
      <c r="BR277" s="19"/>
      <c r="BS277" s="20"/>
      <c r="BT277" s="21"/>
      <c r="BU277" s="21"/>
      <c r="BW277" s="19"/>
      <c r="BX277" s="18"/>
      <c r="BY277" s="2"/>
      <c r="BZ277" s="18"/>
      <c r="CA277" s="118"/>
      <c r="CC277" s="2"/>
      <c r="CD277" s="19"/>
      <c r="CE277" s="20"/>
      <c r="CF277" s="21"/>
      <c r="CG277" s="21"/>
      <c r="CI277" s="19"/>
      <c r="CJ277" s="18"/>
      <c r="CK277" s="2"/>
      <c r="CL277" s="18"/>
      <c r="CM277" s="118"/>
      <c r="CO277" s="2"/>
      <c r="CP277" s="19"/>
      <c r="CQ277" s="20"/>
      <c r="CR277" s="21"/>
      <c r="CS277" s="21"/>
    </row>
    <row r="278" spans="1:97" x14ac:dyDescent="0.25">
      <c r="A278" s="1">
        <f t="shared" si="89"/>
        <v>252</v>
      </c>
      <c r="B278" s="19">
        <f t="shared" si="90"/>
        <v>60.160495805687475</v>
      </c>
      <c r="C278" s="18">
        <f t="shared" si="104"/>
        <v>3.8062442787198392</v>
      </c>
      <c r="D278" s="2">
        <f t="shared" si="83"/>
        <v>0.92004302593888343</v>
      </c>
      <c r="E278" s="18">
        <f t="shared" si="91"/>
        <v>3.8215783291521537</v>
      </c>
      <c r="F278" s="21">
        <f t="shared" si="84"/>
        <v>1.1006307644572328</v>
      </c>
      <c r="G278" s="1">
        <f t="shared" si="85"/>
        <v>0</v>
      </c>
      <c r="H278" s="2">
        <f t="shared" si="81"/>
        <v>140.07137607559531</v>
      </c>
      <c r="I278" s="19">
        <f t="shared" si="107"/>
        <v>60.636959340084552</v>
      </c>
      <c r="J278" s="20">
        <f t="shared" si="86"/>
        <v>0.92998682583289782</v>
      </c>
      <c r="K278" s="21">
        <f t="shared" si="87"/>
        <v>40.646305840732744</v>
      </c>
      <c r="L278" s="21">
        <f t="shared" si="82"/>
        <v>0.85605836028359028</v>
      </c>
      <c r="M278" s="2">
        <f t="shared" si="92"/>
        <v>31.246713279917859</v>
      </c>
      <c r="N278" s="19">
        <f t="shared" si="105"/>
        <v>301.43170278952459</v>
      </c>
      <c r="O278" s="1">
        <f t="shared" si="93"/>
        <v>252</v>
      </c>
      <c r="P278" s="19">
        <f t="shared" si="94"/>
        <v>125.03693667220475</v>
      </c>
      <c r="Q278" s="18">
        <f t="shared" si="95"/>
        <v>5.3262492146912743</v>
      </c>
      <c r="R278" s="2">
        <f t="shared" si="96"/>
        <v>0.93360394038054051</v>
      </c>
      <c r="S278" s="18">
        <f t="shared" si="97"/>
        <v>5.3418092803642834</v>
      </c>
      <c r="T278" s="18">
        <f t="shared" si="98"/>
        <v>2.1273596718237719</v>
      </c>
      <c r="U278" s="1">
        <f t="shared" si="88"/>
        <v>0</v>
      </c>
      <c r="V278" s="2">
        <f t="shared" si="99"/>
        <v>290.96268338461675</v>
      </c>
      <c r="W278" s="19">
        <f t="shared" si="100"/>
        <v>125.95787159507219</v>
      </c>
      <c r="X278" s="20"/>
      <c r="Y278" s="2">
        <f t="shared" si="101"/>
        <v>105.98224190553897</v>
      </c>
      <c r="Z278" s="21">
        <f t="shared" si="102"/>
        <v>1.6726096511451385</v>
      </c>
      <c r="AA278" s="2">
        <f t="shared" si="103"/>
        <v>82.474925817238969</v>
      </c>
      <c r="AB278" s="19">
        <f t="shared" si="106"/>
        <v>62.178973262853859</v>
      </c>
      <c r="AC278" s="2"/>
      <c r="AD278" s="18"/>
      <c r="AE278" s="118"/>
      <c r="AG278" s="2"/>
      <c r="AH278" s="19"/>
      <c r="AI278" s="20"/>
      <c r="AJ278" s="21"/>
      <c r="AK278" s="21"/>
      <c r="AM278" s="19"/>
      <c r="AN278" s="18"/>
      <c r="AO278" s="2"/>
      <c r="AP278" s="18"/>
      <c r="AQ278" s="118"/>
      <c r="AS278" s="2"/>
      <c r="AT278" s="19"/>
      <c r="AU278" s="20"/>
      <c r="AV278" s="21"/>
      <c r="AW278" s="21"/>
      <c r="AY278" s="19"/>
      <c r="AZ278" s="18"/>
      <c r="BA278" s="2"/>
      <c r="BB278" s="18"/>
      <c r="BC278" s="118"/>
      <c r="BE278" s="2"/>
      <c r="BF278" s="19"/>
      <c r="BG278" s="20"/>
      <c r="BH278" s="21"/>
      <c r="BI278" s="21"/>
      <c r="BK278" s="19"/>
      <c r="BL278" s="18"/>
      <c r="BM278" s="2"/>
      <c r="BN278" s="18"/>
      <c r="BO278" s="118"/>
      <c r="BQ278" s="2"/>
      <c r="BR278" s="19"/>
      <c r="BS278" s="20"/>
      <c r="BT278" s="21"/>
      <c r="BU278" s="21"/>
      <c r="BW278" s="19"/>
      <c r="BX278" s="18"/>
      <c r="BY278" s="2"/>
      <c r="BZ278" s="18"/>
      <c r="CA278" s="118"/>
      <c r="CC278" s="2"/>
      <c r="CD278" s="19"/>
      <c r="CE278" s="20"/>
      <c r="CF278" s="21"/>
      <c r="CG278" s="21"/>
      <c r="CI278" s="19"/>
      <c r="CJ278" s="18"/>
      <c r="CK278" s="2"/>
      <c r="CL278" s="18"/>
      <c r="CM278" s="118"/>
      <c r="CO278" s="2"/>
      <c r="CP278" s="19"/>
      <c r="CQ278" s="20"/>
      <c r="CR278" s="21"/>
      <c r="CS278" s="21"/>
    </row>
    <row r="279" spans="1:97" x14ac:dyDescent="0.25">
      <c r="A279" s="1">
        <f t="shared" si="89"/>
        <v>253</v>
      </c>
      <c r="B279" s="19">
        <f t="shared" si="90"/>
        <v>60.636959340084552</v>
      </c>
      <c r="C279" s="18">
        <f t="shared" si="104"/>
        <v>3.8215783291521537</v>
      </c>
      <c r="D279" s="2">
        <f t="shared" si="83"/>
        <v>0.92018819582117739</v>
      </c>
      <c r="E279" s="18">
        <f t="shared" si="91"/>
        <v>3.8369147990825065</v>
      </c>
      <c r="F279" s="21">
        <f t="shared" si="84"/>
        <v>1.1093363332149027</v>
      </c>
      <c r="G279" s="1">
        <f t="shared" si="85"/>
        <v>0</v>
      </c>
      <c r="H279" s="2">
        <f t="shared" si="81"/>
        <v>141.18071240881022</v>
      </c>
      <c r="I279" s="19">
        <f t="shared" si="107"/>
        <v>61.117191518965463</v>
      </c>
      <c r="J279" s="20">
        <f t="shared" si="86"/>
        <v>0.929930735197249</v>
      </c>
      <c r="K279" s="21">
        <f t="shared" si="87"/>
        <v>41.126648473014797</v>
      </c>
      <c r="L279" s="21">
        <f t="shared" si="82"/>
        <v>0.86294308494465954</v>
      </c>
      <c r="M279" s="2">
        <f t="shared" si="92"/>
        <v>31.620281714958839</v>
      </c>
      <c r="N279" s="19">
        <f t="shared" si="105"/>
        <v>301.62547458015848</v>
      </c>
      <c r="O279" s="1">
        <f t="shared" si="93"/>
        <v>253</v>
      </c>
      <c r="P279" s="19">
        <f t="shared" si="94"/>
        <v>125.95787159507219</v>
      </c>
      <c r="Q279" s="18">
        <f t="shared" si="95"/>
        <v>5.3418092803642834</v>
      </c>
      <c r="R279" s="2">
        <f t="shared" si="96"/>
        <v>0.93374097196847528</v>
      </c>
      <c r="S279" s="18">
        <f t="shared" si="97"/>
        <v>5.3573716298970915</v>
      </c>
      <c r="T279" s="18">
        <f t="shared" si="98"/>
        <v>2.1395761568842664</v>
      </c>
      <c r="U279" s="1">
        <f t="shared" si="88"/>
        <v>0</v>
      </c>
      <c r="V279" s="2">
        <f t="shared" si="99"/>
        <v>293.10225954150104</v>
      </c>
      <c r="W279" s="19">
        <f t="shared" si="100"/>
        <v>126.88409503961084</v>
      </c>
      <c r="X279" s="20"/>
      <c r="Y279" s="2">
        <f t="shared" si="101"/>
        <v>106.90867838146985</v>
      </c>
      <c r="Z279" s="21">
        <f t="shared" si="102"/>
        <v>1.6823695100272829</v>
      </c>
      <c r="AA279" s="2">
        <f t="shared" si="103"/>
        <v>83.203224306428268</v>
      </c>
      <c r="AB279" s="19">
        <f t="shared" si="106"/>
        <v>62.317599341963316</v>
      </c>
      <c r="AC279" s="2"/>
      <c r="AD279" s="18"/>
      <c r="AE279" s="118"/>
      <c r="AG279" s="2"/>
      <c r="AH279" s="19"/>
      <c r="AI279" s="20"/>
      <c r="AJ279" s="21"/>
      <c r="AK279" s="21"/>
      <c r="AM279" s="19"/>
      <c r="AN279" s="18"/>
      <c r="AO279" s="2"/>
      <c r="AP279" s="18"/>
      <c r="AQ279" s="118"/>
      <c r="AS279" s="2"/>
      <c r="AT279" s="19"/>
      <c r="AU279" s="20"/>
      <c r="AV279" s="21"/>
      <c r="AW279" s="21"/>
      <c r="AY279" s="19"/>
      <c r="AZ279" s="18"/>
      <c r="BA279" s="2"/>
      <c r="BB279" s="18"/>
      <c r="BC279" s="118"/>
      <c r="BE279" s="2"/>
      <c r="BF279" s="19"/>
      <c r="BG279" s="20"/>
      <c r="BH279" s="21"/>
      <c r="BI279" s="21"/>
      <c r="BK279" s="19"/>
      <c r="BL279" s="18"/>
      <c r="BM279" s="2"/>
      <c r="BN279" s="18"/>
      <c r="BO279" s="118"/>
      <c r="BQ279" s="2"/>
      <c r="BR279" s="19"/>
      <c r="BS279" s="20"/>
      <c r="BT279" s="21"/>
      <c r="BU279" s="21"/>
      <c r="BW279" s="19"/>
      <c r="BX279" s="18"/>
      <c r="BY279" s="2"/>
      <c r="BZ279" s="18"/>
      <c r="CA279" s="118"/>
      <c r="CC279" s="2"/>
      <c r="CD279" s="19"/>
      <c r="CE279" s="20"/>
      <c r="CF279" s="21"/>
      <c r="CG279" s="21"/>
      <c r="CI279" s="19"/>
      <c r="CJ279" s="18"/>
      <c r="CK279" s="2"/>
      <c r="CL279" s="18"/>
      <c r="CM279" s="118"/>
      <c r="CO279" s="2"/>
      <c r="CP279" s="19"/>
      <c r="CQ279" s="20"/>
      <c r="CR279" s="21"/>
      <c r="CS279" s="21"/>
    </row>
    <row r="280" spans="1:97" x14ac:dyDescent="0.25">
      <c r="A280" s="1">
        <f t="shared" si="89"/>
        <v>254</v>
      </c>
      <c r="B280" s="19">
        <f t="shared" si="90"/>
        <v>61.117191518965463</v>
      </c>
      <c r="C280" s="18">
        <f t="shared" si="104"/>
        <v>3.8369147990825065</v>
      </c>
      <c r="D280" s="2">
        <f t="shared" si="83"/>
        <v>0.92033338713755164</v>
      </c>
      <c r="E280" s="18">
        <f t="shared" si="91"/>
        <v>3.8522536888681325</v>
      </c>
      <c r="F280" s="21">
        <f t="shared" si="84"/>
        <v>1.118077068993421</v>
      </c>
      <c r="G280" s="1">
        <f t="shared" si="85"/>
        <v>0</v>
      </c>
      <c r="H280" s="2">
        <f t="shared" si="81"/>
        <v>142.29878947780364</v>
      </c>
      <c r="I280" s="19">
        <f t="shared" si="107"/>
        <v>61.601207566148759</v>
      </c>
      <c r="J280" s="20">
        <f t="shared" si="86"/>
        <v>0.92987450705835917</v>
      </c>
      <c r="K280" s="21">
        <f t="shared" si="87"/>
        <v>41.610775843888945</v>
      </c>
      <c r="L280" s="21">
        <f t="shared" si="82"/>
        <v>0.86985647636309371</v>
      </c>
      <c r="M280" s="2">
        <f t="shared" si="92"/>
        <v>31.996842960137666</v>
      </c>
      <c r="N280" s="19">
        <f t="shared" si="105"/>
        <v>301.81847184870986</v>
      </c>
      <c r="O280" s="1">
        <f t="shared" si="93"/>
        <v>254</v>
      </c>
      <c r="P280" s="19">
        <f t="shared" si="94"/>
        <v>126.88409503961084</v>
      </c>
      <c r="Q280" s="18">
        <f t="shared" si="95"/>
        <v>5.3573716298970915</v>
      </c>
      <c r="R280" s="2">
        <f t="shared" si="96"/>
        <v>0.93387780368618711</v>
      </c>
      <c r="S280" s="18">
        <f t="shared" si="97"/>
        <v>5.3729362599585277</v>
      </c>
      <c r="T280" s="18">
        <f t="shared" si="98"/>
        <v>2.1518289194012845</v>
      </c>
      <c r="U280" s="1">
        <f t="shared" si="88"/>
        <v>0</v>
      </c>
      <c r="V280" s="2">
        <f t="shared" si="99"/>
        <v>295.25408846090232</v>
      </c>
      <c r="W280" s="19">
        <f t="shared" si="100"/>
        <v>127.81562271034733</v>
      </c>
      <c r="X280" s="20"/>
      <c r="Y280" s="2">
        <f t="shared" si="101"/>
        <v>107.84042030357061</v>
      </c>
      <c r="Z280" s="21">
        <f t="shared" si="102"/>
        <v>1.6921591975167891</v>
      </c>
      <c r="AA280" s="2">
        <f t="shared" si="103"/>
        <v>83.935760755569731</v>
      </c>
      <c r="AB280" s="19">
        <f t="shared" si="106"/>
        <v>62.455822733403053</v>
      </c>
      <c r="AC280" s="2"/>
      <c r="AD280" s="18"/>
      <c r="AE280" s="118"/>
      <c r="AG280" s="2"/>
      <c r="AH280" s="19"/>
      <c r="AI280" s="20"/>
      <c r="AJ280" s="21"/>
      <c r="AK280" s="21"/>
      <c r="AM280" s="19"/>
      <c r="AN280" s="18"/>
      <c r="AO280" s="2"/>
      <c r="AP280" s="18"/>
      <c r="AQ280" s="118"/>
      <c r="AS280" s="2"/>
      <c r="AT280" s="19"/>
      <c r="AU280" s="20"/>
      <c r="AV280" s="21"/>
      <c r="AW280" s="21"/>
      <c r="AY280" s="19"/>
      <c r="AZ280" s="18"/>
      <c r="BA280" s="2"/>
      <c r="BB280" s="18"/>
      <c r="BC280" s="118"/>
      <c r="BE280" s="2"/>
      <c r="BF280" s="19"/>
      <c r="BG280" s="20"/>
      <c r="BH280" s="21"/>
      <c r="BI280" s="21"/>
      <c r="BK280" s="19"/>
      <c r="BL280" s="18"/>
      <c r="BM280" s="2"/>
      <c r="BN280" s="18"/>
      <c r="BO280" s="118"/>
      <c r="BQ280" s="2"/>
      <c r="BR280" s="19"/>
      <c r="BS280" s="20"/>
      <c r="BT280" s="21"/>
      <c r="BU280" s="21"/>
      <c r="BW280" s="19"/>
      <c r="BX280" s="18"/>
      <c r="BY280" s="2"/>
      <c r="BZ280" s="18"/>
      <c r="CA280" s="118"/>
      <c r="CC280" s="2"/>
      <c r="CD280" s="19"/>
      <c r="CE280" s="20"/>
      <c r="CF280" s="21"/>
      <c r="CG280" s="21"/>
      <c r="CI280" s="19"/>
      <c r="CJ280" s="18"/>
      <c r="CK280" s="2"/>
      <c r="CL280" s="18"/>
      <c r="CM280" s="118"/>
      <c r="CO280" s="2"/>
      <c r="CP280" s="19"/>
      <c r="CQ280" s="20"/>
      <c r="CR280" s="21"/>
      <c r="CS280" s="21"/>
    </row>
    <row r="281" spans="1:97" x14ac:dyDescent="0.25">
      <c r="A281" s="1">
        <f t="shared" si="89"/>
        <v>255</v>
      </c>
      <c r="B281" s="19">
        <f t="shared" si="90"/>
        <v>61.601207566148759</v>
      </c>
      <c r="C281" s="18">
        <f t="shared" si="104"/>
        <v>3.8522536888681325</v>
      </c>
      <c r="D281" s="2">
        <f t="shared" si="83"/>
        <v>0.92047859554384892</v>
      </c>
      <c r="E281" s="18">
        <f t="shared" si="91"/>
        <v>3.8675949987938631</v>
      </c>
      <c r="F281" s="21">
        <f t="shared" si="84"/>
        <v>1.1268529842822679</v>
      </c>
      <c r="G281" s="1">
        <f t="shared" si="85"/>
        <v>0</v>
      </c>
      <c r="H281" s="2">
        <f t="shared" si="81"/>
        <v>143.4256424620859</v>
      </c>
      <c r="I281" s="19">
        <f t="shared" si="107"/>
        <v>62.089022710859695</v>
      </c>
      <c r="J281" s="20">
        <f t="shared" si="86"/>
        <v>0.92981814308930699</v>
      </c>
      <c r="K281" s="21">
        <f t="shared" si="87"/>
        <v>42.098703186083164</v>
      </c>
      <c r="L281" s="21">
        <f t="shared" si="82"/>
        <v>0.87679854772230226</v>
      </c>
      <c r="M281" s="2">
        <f t="shared" si="92"/>
        <v>32.376409431013123</v>
      </c>
      <c r="N281" s="19">
        <f t="shared" si="105"/>
        <v>302.01070064143636</v>
      </c>
      <c r="O281" s="1">
        <f t="shared" si="93"/>
        <v>255</v>
      </c>
      <c r="P281" s="19">
        <f t="shared" si="94"/>
        <v>127.81562271034733</v>
      </c>
      <c r="Q281" s="18">
        <f t="shared" si="95"/>
        <v>5.3729362599585277</v>
      </c>
      <c r="R281" s="2">
        <f t="shared" si="96"/>
        <v>0.93401443525194239</v>
      </c>
      <c r="S281" s="18">
        <f t="shared" si="97"/>
        <v>5.3885031672127264</v>
      </c>
      <c r="T281" s="18">
        <f t="shared" si="98"/>
        <v>2.1641179692834989</v>
      </c>
      <c r="U281" s="1">
        <f t="shared" si="88"/>
        <v>0</v>
      </c>
      <c r="V281" s="2">
        <f t="shared" si="99"/>
        <v>297.41820643018582</v>
      </c>
      <c r="W281" s="19">
        <f t="shared" si="100"/>
        <v>128.75247031609774</v>
      </c>
      <c r="X281" s="20"/>
      <c r="Y281" s="2">
        <f t="shared" si="101"/>
        <v>108.77748338427037</v>
      </c>
      <c r="Z281" s="21">
        <f t="shared" si="102"/>
        <v>1.7019787239900712</v>
      </c>
      <c r="AA281" s="2">
        <f t="shared" si="103"/>
        <v>84.672548081972366</v>
      </c>
      <c r="AB281" s="19">
        <f t="shared" si="106"/>
        <v>62.59364571139109</v>
      </c>
      <c r="AC281" s="2"/>
      <c r="AD281" s="18"/>
      <c r="AE281" s="118"/>
      <c r="AG281" s="2"/>
      <c r="AH281" s="19"/>
      <c r="AI281" s="20"/>
      <c r="AJ281" s="21"/>
      <c r="AK281" s="21"/>
      <c r="AM281" s="19"/>
      <c r="AN281" s="18"/>
      <c r="AO281" s="2"/>
      <c r="AP281" s="18"/>
      <c r="AQ281" s="118"/>
      <c r="AS281" s="2"/>
      <c r="AT281" s="19"/>
      <c r="AU281" s="20"/>
      <c r="AV281" s="21"/>
      <c r="AW281" s="21"/>
      <c r="AY281" s="19"/>
      <c r="AZ281" s="18"/>
      <c r="BA281" s="2"/>
      <c r="BB281" s="18"/>
      <c r="BC281" s="118"/>
      <c r="BE281" s="2"/>
      <c r="BF281" s="19"/>
      <c r="BG281" s="20"/>
      <c r="BH281" s="21"/>
      <c r="BI281" s="21"/>
      <c r="BK281" s="19"/>
      <c r="BL281" s="18"/>
      <c r="BM281" s="2"/>
      <c r="BN281" s="18"/>
      <c r="BO281" s="118"/>
      <c r="BQ281" s="2"/>
      <c r="BR281" s="19"/>
      <c r="BS281" s="20"/>
      <c r="BT281" s="21"/>
      <c r="BU281" s="21"/>
      <c r="BW281" s="19"/>
      <c r="BX281" s="18"/>
      <c r="BY281" s="2"/>
      <c r="BZ281" s="18"/>
      <c r="CA281" s="118"/>
      <c r="CC281" s="2"/>
      <c r="CD281" s="19"/>
      <c r="CE281" s="20"/>
      <c r="CF281" s="21"/>
      <c r="CG281" s="21"/>
      <c r="CI281" s="19"/>
      <c r="CJ281" s="18"/>
      <c r="CK281" s="2"/>
      <c r="CL281" s="18"/>
      <c r="CM281" s="118"/>
      <c r="CO281" s="2"/>
      <c r="CP281" s="19"/>
      <c r="CQ281" s="20"/>
      <c r="CR281" s="21"/>
      <c r="CS281" s="21"/>
    </row>
    <row r="282" spans="1:97" x14ac:dyDescent="0.25">
      <c r="A282" s="1">
        <f t="shared" si="89"/>
        <v>256</v>
      </c>
      <c r="B282" s="19">
        <f t="shared" si="90"/>
        <v>62.089022710859695</v>
      </c>
      <c r="C282" s="18">
        <f t="shared" si="104"/>
        <v>3.8675949987938631</v>
      </c>
      <c r="D282" s="2">
        <f t="shared" si="83"/>
        <v>0.92062381676176919</v>
      </c>
      <c r="E282" s="18">
        <f t="shared" si="91"/>
        <v>3.882938729073226</v>
      </c>
      <c r="F282" s="21">
        <f t="shared" si="84"/>
        <v>1.1356640915482001</v>
      </c>
      <c r="G282" s="1">
        <f t="shared" si="85"/>
        <v>0</v>
      </c>
      <c r="H282" s="2">
        <f t="shared" ref="H282:H345" si="108">(B282*2.31)+F282-G282</f>
        <v>144.5613065536341</v>
      </c>
      <c r="I282" s="19">
        <f t="shared" si="107"/>
        <v>62.580652187720389</v>
      </c>
      <c r="J282" s="20">
        <f t="shared" si="86"/>
        <v>0.92976164495433067</v>
      </c>
      <c r="K282" s="21">
        <f t="shared" si="87"/>
        <v>42.590445737723535</v>
      </c>
      <c r="L282" s="21">
        <f t="shared" ref="L282:L345" si="109">($C$11*((0.4085*E282/$C$5^2))^2)/64.4</f>
        <v>0.88376931217734511</v>
      </c>
      <c r="M282" s="2">
        <f t="shared" si="92"/>
        <v>32.758993548838816</v>
      </c>
      <c r="N282" s="19">
        <f t="shared" si="105"/>
        <v>302.20216693408548</v>
      </c>
      <c r="O282" s="1">
        <f t="shared" si="93"/>
        <v>256</v>
      </c>
      <c r="P282" s="19">
        <f t="shared" si="94"/>
        <v>128.75247031609774</v>
      </c>
      <c r="Q282" s="18">
        <f t="shared" si="95"/>
        <v>5.3885031672127264</v>
      </c>
      <c r="R282" s="2">
        <f t="shared" si="96"/>
        <v>0.93415086639930767</v>
      </c>
      <c r="S282" s="18">
        <f t="shared" si="97"/>
        <v>5.4040723483193815</v>
      </c>
      <c r="T282" s="18">
        <f t="shared" si="98"/>
        <v>2.1764433164150958</v>
      </c>
      <c r="U282" s="1">
        <f t="shared" si="88"/>
        <v>0</v>
      </c>
      <c r="V282" s="2">
        <f t="shared" si="99"/>
        <v>299.59464974660091</v>
      </c>
      <c r="W282" s="19">
        <f t="shared" si="100"/>
        <v>129.6946535699571</v>
      </c>
      <c r="X282" s="20"/>
      <c r="Y282" s="2">
        <f t="shared" si="101"/>
        <v>109.7198833402781</v>
      </c>
      <c r="Z282" s="21">
        <f t="shared" si="102"/>
        <v>1.7118280997982005</v>
      </c>
      <c r="AA282" s="2">
        <f t="shared" si="103"/>
        <v>85.413599207426131</v>
      </c>
      <c r="AB282" s="19">
        <f t="shared" si="106"/>
        <v>62.731070531031762</v>
      </c>
      <c r="AC282" s="2"/>
      <c r="AD282" s="18"/>
      <c r="AE282" s="118"/>
      <c r="AG282" s="2"/>
      <c r="AH282" s="19"/>
      <c r="AI282" s="20"/>
      <c r="AJ282" s="21"/>
      <c r="AK282" s="21"/>
      <c r="AM282" s="19"/>
      <c r="AN282" s="18"/>
      <c r="AO282" s="2"/>
      <c r="AP282" s="18"/>
      <c r="AQ282" s="118"/>
      <c r="AS282" s="2"/>
      <c r="AT282" s="19"/>
      <c r="AU282" s="20"/>
      <c r="AV282" s="21"/>
      <c r="AW282" s="21"/>
      <c r="AY282" s="19"/>
      <c r="AZ282" s="18"/>
      <c r="BA282" s="2"/>
      <c r="BB282" s="18"/>
      <c r="BC282" s="118"/>
      <c r="BE282" s="2"/>
      <c r="BF282" s="19"/>
      <c r="BG282" s="20"/>
      <c r="BH282" s="21"/>
      <c r="BI282" s="21"/>
      <c r="BK282" s="19"/>
      <c r="BL282" s="18"/>
      <c r="BM282" s="2"/>
      <c r="BN282" s="18"/>
      <c r="BO282" s="118"/>
      <c r="BQ282" s="2"/>
      <c r="BR282" s="19"/>
      <c r="BS282" s="20"/>
      <c r="BT282" s="21"/>
      <c r="BU282" s="21"/>
      <c r="BW282" s="19"/>
      <c r="BX282" s="18"/>
      <c r="BY282" s="2"/>
      <c r="BZ282" s="18"/>
      <c r="CA282" s="118"/>
      <c r="CC282" s="2"/>
      <c r="CD282" s="19"/>
      <c r="CE282" s="20"/>
      <c r="CF282" s="21"/>
      <c r="CG282" s="21"/>
      <c r="CI282" s="19"/>
      <c r="CJ282" s="18"/>
      <c r="CK282" s="2"/>
      <c r="CL282" s="18"/>
      <c r="CM282" s="118"/>
      <c r="CO282" s="2"/>
      <c r="CP282" s="19"/>
      <c r="CQ282" s="20"/>
      <c r="CR282" s="21"/>
      <c r="CS282" s="21"/>
    </row>
    <row r="283" spans="1:97" x14ac:dyDescent="0.25">
      <c r="A283" s="1">
        <f t="shared" si="89"/>
        <v>257</v>
      </c>
      <c r="B283" s="19">
        <f t="shared" si="90"/>
        <v>62.580652187720389</v>
      </c>
      <c r="C283" s="18">
        <f t="shared" si="104"/>
        <v>3.882938729073226</v>
      </c>
      <c r="D283" s="2">
        <f t="shared" ref="D283:D346" si="110">$C$17*I282^$C$18</f>
        <v>0.92076904657834524</v>
      </c>
      <c r="E283" s="18">
        <f t="shared" si="91"/>
        <v>3.8982848798495318</v>
      </c>
      <c r="F283" s="21">
        <f t="shared" ref="F283:F346" si="111">(($C$7*($C$16/12)*(E283)^1.852)/($C$5^4.871)+L283)-G283</f>
        <v>1.144510403234978</v>
      </c>
      <c r="G283" s="1">
        <f t="shared" ref="G283:G346" si="112">$C$9*($C$16/12)/100</f>
        <v>0</v>
      </c>
      <c r="H283" s="2">
        <f t="shared" si="108"/>
        <v>145.70581695686909</v>
      </c>
      <c r="I283" s="19">
        <f t="shared" si="107"/>
        <v>63.076111236739862</v>
      </c>
      <c r="J283" s="20">
        <f t="shared" ref="J283:J346" si="113">(1-1.27*0.05)*($D$26/((E283*60)/((A283/($C$16/12)+1))))</f>
        <v>0.92970501430872632</v>
      </c>
      <c r="K283" s="21">
        <f t="shared" ref="K283:K346" si="114">K282+(F283*0.433)</f>
        <v>43.086018742324278</v>
      </c>
      <c r="L283" s="21">
        <f t="shared" si="109"/>
        <v>0.89076878285478978</v>
      </c>
      <c r="M283" s="2">
        <f t="shared" si="92"/>
        <v>33.144607740550846</v>
      </c>
      <c r="N283" s="19">
        <f t="shared" si="105"/>
        <v>302.39287663299029</v>
      </c>
      <c r="O283" s="1">
        <f t="shared" si="93"/>
        <v>257</v>
      </c>
      <c r="P283" s="19">
        <f t="shared" si="94"/>
        <v>129.6946535699571</v>
      </c>
      <c r="Q283" s="18">
        <f t="shared" si="95"/>
        <v>5.4040723483193815</v>
      </c>
      <c r="R283" s="2">
        <f t="shared" si="96"/>
        <v>0.93428709687686218</v>
      </c>
      <c r="S283" s="18">
        <f t="shared" si="97"/>
        <v>5.4196437999339961</v>
      </c>
      <c r="T283" s="18">
        <f t="shared" si="98"/>
        <v>2.1888049706558816</v>
      </c>
      <c r="U283" s="1">
        <f t="shared" ref="U283:U346" si="115">$C$9*($C$16/12)/100</f>
        <v>0</v>
      </c>
      <c r="V283" s="2">
        <f t="shared" si="99"/>
        <v>301.7834547172568</v>
      </c>
      <c r="W283" s="19">
        <f t="shared" si="100"/>
        <v>130.64218818928865</v>
      </c>
      <c r="X283" s="20"/>
      <c r="Y283" s="2">
        <f t="shared" si="101"/>
        <v>110.66763589257209</v>
      </c>
      <c r="Z283" s="21">
        <f t="shared" si="102"/>
        <v>1.721707335267022</v>
      </c>
      <c r="AA283" s="2">
        <f t="shared" si="103"/>
        <v>86.158927058191082</v>
      </c>
      <c r="AB283" s="19">
        <f t="shared" si="106"/>
        <v>62.868099428529348</v>
      </c>
      <c r="AC283" s="2"/>
      <c r="AD283" s="18"/>
      <c r="AE283" s="118"/>
      <c r="AG283" s="2"/>
      <c r="AH283" s="19"/>
      <c r="AI283" s="20"/>
      <c r="AJ283" s="21"/>
      <c r="AK283" s="21"/>
      <c r="AM283" s="19"/>
      <c r="AN283" s="18"/>
      <c r="AO283" s="2"/>
      <c r="AP283" s="18"/>
      <c r="AQ283" s="118"/>
      <c r="AS283" s="2"/>
      <c r="AT283" s="19"/>
      <c r="AU283" s="20"/>
      <c r="AV283" s="21"/>
      <c r="AW283" s="21"/>
      <c r="AY283" s="19"/>
      <c r="AZ283" s="18"/>
      <c r="BA283" s="2"/>
      <c r="BB283" s="18"/>
      <c r="BC283" s="118"/>
      <c r="BE283" s="2"/>
      <c r="BF283" s="19"/>
      <c r="BG283" s="20"/>
      <c r="BH283" s="21"/>
      <c r="BI283" s="21"/>
      <c r="BK283" s="19"/>
      <c r="BL283" s="18"/>
      <c r="BM283" s="2"/>
      <c r="BN283" s="18"/>
      <c r="BO283" s="118"/>
      <c r="BQ283" s="2"/>
      <c r="BR283" s="19"/>
      <c r="BS283" s="20"/>
      <c r="BT283" s="21"/>
      <c r="BU283" s="21"/>
      <c r="BW283" s="19"/>
      <c r="BX283" s="18"/>
      <c r="BY283" s="2"/>
      <c r="BZ283" s="18"/>
      <c r="CA283" s="118"/>
      <c r="CC283" s="2"/>
      <c r="CD283" s="19"/>
      <c r="CE283" s="20"/>
      <c r="CF283" s="21"/>
      <c r="CG283" s="21"/>
      <c r="CI283" s="19"/>
      <c r="CJ283" s="18"/>
      <c r="CK283" s="2"/>
      <c r="CL283" s="18"/>
      <c r="CM283" s="118"/>
      <c r="CO283" s="2"/>
      <c r="CP283" s="19"/>
      <c r="CQ283" s="20"/>
      <c r="CR283" s="21"/>
      <c r="CS283" s="21"/>
    </row>
    <row r="284" spans="1:97" x14ac:dyDescent="0.25">
      <c r="A284" s="1">
        <f t="shared" ref="A284:A347" si="116">A283+$C$16/12</f>
        <v>258</v>
      </c>
      <c r="B284" s="19">
        <f t="shared" ref="B284:B347" si="117">I283</f>
        <v>63.076111236739862</v>
      </c>
      <c r="C284" s="18">
        <f t="shared" si="104"/>
        <v>3.8982848798495318</v>
      </c>
      <c r="D284" s="2">
        <f t="shared" si="110"/>
        <v>0.92091428084541116</v>
      </c>
      <c r="E284" s="18">
        <f t="shared" ref="E284:E347" si="118">C284+D284/60</f>
        <v>3.9136334511969553</v>
      </c>
      <c r="F284" s="21">
        <f t="shared" si="111"/>
        <v>1.1533919317631018</v>
      </c>
      <c r="G284" s="1">
        <f t="shared" si="112"/>
        <v>0</v>
      </c>
      <c r="H284" s="2">
        <f t="shared" si="108"/>
        <v>146.8592088886322</v>
      </c>
      <c r="I284" s="19">
        <f t="shared" si="107"/>
        <v>63.575415103303982</v>
      </c>
      <c r="J284" s="20">
        <f t="shared" si="113"/>
        <v>0.92964825279875229</v>
      </c>
      <c r="K284" s="21">
        <f t="shared" si="114"/>
        <v>43.585437448777704</v>
      </c>
      <c r="L284" s="21">
        <f t="shared" si="109"/>
        <v>0.89779697285257543</v>
      </c>
      <c r="M284" s="2">
        <f t="shared" ref="M284:M347" si="119">(L284/2.31)+M283</f>
        <v>33.533264438755424</v>
      </c>
      <c r="N284" s="19">
        <f t="shared" si="105"/>
        <v>302.58283557614379</v>
      </c>
      <c r="O284" s="1">
        <f t="shared" ref="O284:O347" si="120">O283+$C$16/12</f>
        <v>258</v>
      </c>
      <c r="P284" s="19">
        <f t="shared" ref="P284:P347" si="121">W283</f>
        <v>130.64218818928865</v>
      </c>
      <c r="Q284" s="18">
        <f t="shared" ref="Q284:Q347" si="122">S283</f>
        <v>5.4196437999339961</v>
      </c>
      <c r="R284" s="2">
        <f t="shared" ref="R284:R347" si="123">$C$17*W283^$C$18</f>
        <v>0.93442312644791869</v>
      </c>
      <c r="S284" s="18">
        <f t="shared" ref="S284:S347" si="124">Q284+R284/60</f>
        <v>5.4352175187081277</v>
      </c>
      <c r="T284" s="18">
        <f t="shared" ref="T284:T347" si="125">(($C$7*($C$16/12)*(S284)^1.852)/($C$5^4.871)+Z284)-U284</f>
        <v>2.2012029418413812</v>
      </c>
      <c r="U284" s="1">
        <f t="shared" si="115"/>
        <v>0</v>
      </c>
      <c r="V284" s="2">
        <f t="shared" ref="V284:V347" si="126">(P284*2.31)+T284-U284</f>
        <v>303.98465765909816</v>
      </c>
      <c r="W284" s="19">
        <f t="shared" ref="W284:W347" si="127">V284/2.31</f>
        <v>131.5950898957135</v>
      </c>
      <c r="X284" s="20"/>
      <c r="Y284" s="2">
        <f t="shared" ref="Y284:Y347" si="128">Y283+(T284*0.433)</f>
        <v>111.62075676638941</v>
      </c>
      <c r="Z284" s="21">
        <f t="shared" ref="Z284:Z347" si="129">($C$11*((0.4085*S284/$C$5^2))^2)/64.4</f>
        <v>1.7316164406972567</v>
      </c>
      <c r="AA284" s="2">
        <f t="shared" ref="AA284:AA347" si="130">(Z284/2.31)+AA283</f>
        <v>86.908544564986428</v>
      </c>
      <c r="AB284" s="19">
        <f t="shared" si="106"/>
        <v>63.00473462139874</v>
      </c>
      <c r="AC284" s="2"/>
      <c r="AD284" s="18"/>
      <c r="AE284" s="118"/>
      <c r="AG284" s="2"/>
      <c r="AH284" s="19"/>
      <c r="AI284" s="20"/>
      <c r="AJ284" s="21"/>
      <c r="AK284" s="21"/>
      <c r="AM284" s="19"/>
      <c r="AN284" s="18"/>
      <c r="AO284" s="2"/>
      <c r="AP284" s="18"/>
      <c r="AQ284" s="118"/>
      <c r="AS284" s="2"/>
      <c r="AT284" s="19"/>
      <c r="AU284" s="20"/>
      <c r="AV284" s="21"/>
      <c r="AW284" s="21"/>
      <c r="AY284" s="19"/>
      <c r="AZ284" s="18"/>
      <c r="BA284" s="2"/>
      <c r="BB284" s="18"/>
      <c r="BC284" s="118"/>
      <c r="BE284" s="2"/>
      <c r="BF284" s="19"/>
      <c r="BG284" s="20"/>
      <c r="BH284" s="21"/>
      <c r="BI284" s="21"/>
      <c r="BK284" s="19"/>
      <c r="BL284" s="18"/>
      <c r="BM284" s="2"/>
      <c r="BN284" s="18"/>
      <c r="BO284" s="118"/>
      <c r="BQ284" s="2"/>
      <c r="BR284" s="19"/>
      <c r="BS284" s="20"/>
      <c r="BT284" s="21"/>
      <c r="BU284" s="21"/>
      <c r="BW284" s="19"/>
      <c r="BX284" s="18"/>
      <c r="BY284" s="2"/>
      <c r="BZ284" s="18"/>
      <c r="CA284" s="118"/>
      <c r="CC284" s="2"/>
      <c r="CD284" s="19"/>
      <c r="CE284" s="20"/>
      <c r="CF284" s="21"/>
      <c r="CG284" s="21"/>
      <c r="CI284" s="19"/>
      <c r="CJ284" s="18"/>
      <c r="CK284" s="2"/>
      <c r="CL284" s="18"/>
      <c r="CM284" s="118"/>
      <c r="CO284" s="2"/>
      <c r="CP284" s="19"/>
      <c r="CQ284" s="20"/>
      <c r="CR284" s="21"/>
      <c r="CS284" s="21"/>
    </row>
    <row r="285" spans="1:97" x14ac:dyDescent="0.25">
      <c r="A285" s="1">
        <f t="shared" si="116"/>
        <v>259</v>
      </c>
      <c r="B285" s="19">
        <f t="shared" si="117"/>
        <v>63.575415103303982</v>
      </c>
      <c r="C285" s="18">
        <f t="shared" ref="C285:C348" si="131">E284</f>
        <v>3.9136334511969553</v>
      </c>
      <c r="D285" s="2">
        <f t="shared" si="110"/>
        <v>0.92105951547906095</v>
      </c>
      <c r="E285" s="18">
        <f t="shared" si="118"/>
        <v>3.9289844431216063</v>
      </c>
      <c r="F285" s="21">
        <f t="shared" si="111"/>
        <v>1.1623086895295587</v>
      </c>
      <c r="G285" s="1">
        <f t="shared" si="112"/>
        <v>0</v>
      </c>
      <c r="H285" s="2">
        <f t="shared" si="108"/>
        <v>148.02151757816176</v>
      </c>
      <c r="I285" s="19">
        <f t="shared" si="107"/>
        <v>64.078579038165259</v>
      </c>
      <c r="J285" s="20">
        <f t="shared" si="113"/>
        <v>0.92959136206153625</v>
      </c>
      <c r="K285" s="21">
        <f t="shared" si="114"/>
        <v>44.088717111344003</v>
      </c>
      <c r="L285" s="21">
        <f t="shared" si="109"/>
        <v>0.90485389523988458</v>
      </c>
      <c r="M285" s="2">
        <f t="shared" si="119"/>
        <v>33.924976081716416</v>
      </c>
      <c r="N285" s="19">
        <f t="shared" ref="N285:N348" si="132">($C$16/12)/(0.4085*E284/$C$5^2)+N284</f>
        <v>302.77204953425246</v>
      </c>
      <c r="O285" s="1">
        <f t="shared" si="120"/>
        <v>259</v>
      </c>
      <c r="P285" s="19">
        <f t="shared" si="121"/>
        <v>131.5950898957135</v>
      </c>
      <c r="Q285" s="18">
        <f t="shared" si="122"/>
        <v>5.4352175187081277</v>
      </c>
      <c r="R285" s="2">
        <f t="shared" si="123"/>
        <v>0.93455895489024643</v>
      </c>
      <c r="S285" s="18">
        <f t="shared" si="124"/>
        <v>5.450793501289632</v>
      </c>
      <c r="T285" s="18">
        <f t="shared" si="125"/>
        <v>2.2136372397829485</v>
      </c>
      <c r="U285" s="1">
        <f t="shared" si="115"/>
        <v>0</v>
      </c>
      <c r="V285" s="2">
        <f t="shared" si="126"/>
        <v>306.19829489888116</v>
      </c>
      <c r="W285" s="19">
        <f t="shared" si="127"/>
        <v>132.55337441510005</v>
      </c>
      <c r="X285" s="20"/>
      <c r="Y285" s="2">
        <f t="shared" si="128"/>
        <v>112.57926169121542</v>
      </c>
      <c r="Z285" s="21">
        <f t="shared" si="129"/>
        <v>1.7415554263646198</v>
      </c>
      <c r="AA285" s="2">
        <f t="shared" si="130"/>
        <v>87.662464662979772</v>
      </c>
      <c r="AB285" s="19">
        <f t="shared" ref="AB285:AB348" si="133">($C$16/12)/(0.4085*S284/$C$5^2)+AB284</f>
        <v>63.140978308673176</v>
      </c>
      <c r="AC285" s="2"/>
      <c r="AD285" s="18"/>
      <c r="AE285" s="118"/>
      <c r="AG285" s="2"/>
      <c r="AH285" s="19"/>
      <c r="AI285" s="20"/>
      <c r="AJ285" s="21"/>
      <c r="AK285" s="21"/>
      <c r="AM285" s="19"/>
      <c r="AN285" s="18"/>
      <c r="AO285" s="2"/>
      <c r="AP285" s="18"/>
      <c r="AQ285" s="118"/>
      <c r="AS285" s="2"/>
      <c r="AT285" s="19"/>
      <c r="AU285" s="20"/>
      <c r="AV285" s="21"/>
      <c r="AW285" s="21"/>
      <c r="AY285" s="19"/>
      <c r="AZ285" s="18"/>
      <c r="BA285" s="2"/>
      <c r="BB285" s="18"/>
      <c r="BC285" s="118"/>
      <c r="BE285" s="2"/>
      <c r="BF285" s="19"/>
      <c r="BG285" s="20"/>
      <c r="BH285" s="21"/>
      <c r="BI285" s="21"/>
      <c r="BK285" s="19"/>
      <c r="BL285" s="18"/>
      <c r="BM285" s="2"/>
      <c r="BN285" s="18"/>
      <c r="BO285" s="118"/>
      <c r="BQ285" s="2"/>
      <c r="BR285" s="19"/>
      <c r="BS285" s="20"/>
      <c r="BT285" s="21"/>
      <c r="BU285" s="21"/>
      <c r="BW285" s="19"/>
      <c r="BX285" s="18"/>
      <c r="BY285" s="2"/>
      <c r="BZ285" s="18"/>
      <c r="CA285" s="118"/>
      <c r="CC285" s="2"/>
      <c r="CD285" s="19"/>
      <c r="CE285" s="20"/>
      <c r="CF285" s="21"/>
      <c r="CG285" s="21"/>
      <c r="CI285" s="19"/>
      <c r="CJ285" s="18"/>
      <c r="CK285" s="2"/>
      <c r="CL285" s="18"/>
      <c r="CM285" s="118"/>
      <c r="CO285" s="2"/>
      <c r="CP285" s="19"/>
      <c r="CQ285" s="20"/>
      <c r="CR285" s="21"/>
      <c r="CS285" s="21"/>
    </row>
    <row r="286" spans="1:97" x14ac:dyDescent="0.25">
      <c r="A286" s="1">
        <f t="shared" si="116"/>
        <v>260</v>
      </c>
      <c r="B286" s="19">
        <f t="shared" si="117"/>
        <v>64.078579038165259</v>
      </c>
      <c r="C286" s="18">
        <f t="shared" si="131"/>
        <v>3.9289844431216063</v>
      </c>
      <c r="D286" s="2">
        <f t="shared" si="110"/>
        <v>0.92120474645910089</v>
      </c>
      <c r="E286" s="18">
        <f t="shared" si="118"/>
        <v>3.9443378555625914</v>
      </c>
      <c r="F286" s="21">
        <f t="shared" si="111"/>
        <v>1.1712606889075805</v>
      </c>
      <c r="G286" s="1">
        <f t="shared" si="112"/>
        <v>0</v>
      </c>
      <c r="H286" s="2">
        <f t="shared" si="108"/>
        <v>149.19277826706934</v>
      </c>
      <c r="I286" s="19">
        <f t="shared" si="107"/>
        <v>64.585618297432617</v>
      </c>
      <c r="J286" s="20">
        <f t="shared" si="113"/>
        <v>0.92953434372498822</v>
      </c>
      <c r="K286" s="21">
        <f t="shared" si="114"/>
        <v>44.595872989640988</v>
      </c>
      <c r="L286" s="21">
        <f t="shared" si="109"/>
        <v>0.91193956305702151</v>
      </c>
      <c r="M286" s="2">
        <f t="shared" si="119"/>
        <v>34.319755113342829</v>
      </c>
      <c r="N286" s="19">
        <f t="shared" si="132"/>
        <v>302.96052421176967</v>
      </c>
      <c r="O286" s="1">
        <f t="shared" si="120"/>
        <v>260</v>
      </c>
      <c r="P286" s="19">
        <f t="shared" si="121"/>
        <v>132.55337441510005</v>
      </c>
      <c r="Q286" s="18">
        <f t="shared" si="122"/>
        <v>5.450793501289632</v>
      </c>
      <c r="R286" s="2">
        <f t="shared" si="123"/>
        <v>0.93469458199579858</v>
      </c>
      <c r="S286" s="18">
        <f t="shared" si="124"/>
        <v>5.4663717443228954</v>
      </c>
      <c r="T286" s="18">
        <f t="shared" si="125"/>
        <v>2.2261078742678588</v>
      </c>
      <c r="U286" s="1">
        <f t="shared" si="115"/>
        <v>0</v>
      </c>
      <c r="V286" s="2">
        <f t="shared" si="126"/>
        <v>308.42440277314898</v>
      </c>
      <c r="W286" s="19">
        <f t="shared" si="127"/>
        <v>133.51705747755366</v>
      </c>
      <c r="X286" s="20"/>
      <c r="Y286" s="2">
        <f t="shared" si="128"/>
        <v>113.5431664007734</v>
      </c>
      <c r="Z286" s="21">
        <f t="shared" si="129"/>
        <v>1.7515243025199208</v>
      </c>
      <c r="AA286" s="2">
        <f t="shared" si="130"/>
        <v>88.420700291776271</v>
      </c>
      <c r="AB286" s="19">
        <f t="shared" si="133"/>
        <v>63.276832671109069</v>
      </c>
      <c r="AC286" s="2"/>
      <c r="AD286" s="18"/>
      <c r="AE286" s="118"/>
      <c r="AG286" s="2"/>
      <c r="AH286" s="19"/>
      <c r="AI286" s="20"/>
      <c r="AJ286" s="21"/>
      <c r="AK286" s="21"/>
      <c r="AM286" s="19"/>
      <c r="AN286" s="18"/>
      <c r="AO286" s="2"/>
      <c r="AP286" s="18"/>
      <c r="AQ286" s="118"/>
      <c r="AS286" s="2"/>
      <c r="AT286" s="19"/>
      <c r="AU286" s="20"/>
      <c r="AV286" s="21"/>
      <c r="AW286" s="21"/>
      <c r="AY286" s="19"/>
      <c r="AZ286" s="18"/>
      <c r="BA286" s="2"/>
      <c r="BB286" s="18"/>
      <c r="BC286" s="118"/>
      <c r="BE286" s="2"/>
      <c r="BF286" s="19"/>
      <c r="BG286" s="20"/>
      <c r="BH286" s="21"/>
      <c r="BI286" s="21"/>
      <c r="BK286" s="19"/>
      <c r="BL286" s="18"/>
      <c r="BM286" s="2"/>
      <c r="BN286" s="18"/>
      <c r="BO286" s="118"/>
      <c r="BQ286" s="2"/>
      <c r="BR286" s="19"/>
      <c r="BS286" s="20"/>
      <c r="BT286" s="21"/>
      <c r="BU286" s="21"/>
      <c r="BW286" s="19"/>
      <c r="BX286" s="18"/>
      <c r="BY286" s="2"/>
      <c r="BZ286" s="18"/>
      <c r="CA286" s="118"/>
      <c r="CC286" s="2"/>
      <c r="CD286" s="19"/>
      <c r="CE286" s="20"/>
      <c r="CF286" s="21"/>
      <c r="CG286" s="21"/>
      <c r="CI286" s="19"/>
      <c r="CJ286" s="18"/>
      <c r="CK286" s="2"/>
      <c r="CL286" s="18"/>
      <c r="CM286" s="118"/>
      <c r="CO286" s="2"/>
      <c r="CP286" s="19"/>
      <c r="CQ286" s="20"/>
      <c r="CR286" s="21"/>
      <c r="CS286" s="21"/>
    </row>
    <row r="287" spans="1:97" x14ac:dyDescent="0.25">
      <c r="A287" s="1">
        <f t="shared" si="116"/>
        <v>261</v>
      </c>
      <c r="B287" s="19">
        <f t="shared" si="117"/>
        <v>64.585618297432617</v>
      </c>
      <c r="C287" s="18">
        <f t="shared" si="131"/>
        <v>3.9443378555625914</v>
      </c>
      <c r="D287" s="2">
        <f t="shared" si="110"/>
        <v>0.92134996982849349</v>
      </c>
      <c r="E287" s="18">
        <f t="shared" si="118"/>
        <v>3.9596936883930662</v>
      </c>
      <c r="F287" s="21">
        <f t="shared" si="111"/>
        <v>1.1802479422464112</v>
      </c>
      <c r="G287" s="1">
        <f t="shared" si="112"/>
        <v>0</v>
      </c>
      <c r="H287" s="2">
        <f t="shared" si="108"/>
        <v>150.37302620931575</v>
      </c>
      <c r="I287" s="19">
        <f t="shared" si="107"/>
        <v>65.096548142560934</v>
      </c>
      <c r="J287" s="20">
        <f t="shared" si="113"/>
        <v>0.929477199407717</v>
      </c>
      <c r="K287" s="21">
        <f t="shared" si="114"/>
        <v>45.106920348633686</v>
      </c>
      <c r="L287" s="21">
        <f t="shared" si="109"/>
        <v>0.91905398931529869</v>
      </c>
      <c r="M287" s="2">
        <f t="shared" si="119"/>
        <v>34.717613983176292</v>
      </c>
      <c r="N287" s="19">
        <f t="shared" si="132"/>
        <v>303.14826524790914</v>
      </c>
      <c r="O287" s="1">
        <f t="shared" si="120"/>
        <v>261</v>
      </c>
      <c r="P287" s="19">
        <f t="shared" si="121"/>
        <v>133.51705747755366</v>
      </c>
      <c r="Q287" s="18">
        <f t="shared" si="122"/>
        <v>5.4663717443228954</v>
      </c>
      <c r="R287" s="2">
        <f t="shared" si="123"/>
        <v>0.9348300075704451</v>
      </c>
      <c r="S287" s="18">
        <f t="shared" si="124"/>
        <v>5.4819522444490696</v>
      </c>
      <c r="T287" s="18">
        <f t="shared" si="125"/>
        <v>2.238614855059418</v>
      </c>
      <c r="U287" s="1">
        <f t="shared" si="115"/>
        <v>0</v>
      </c>
      <c r="V287" s="2">
        <f t="shared" si="126"/>
        <v>310.66301762820842</v>
      </c>
      <c r="W287" s="19">
        <f t="shared" si="127"/>
        <v>134.48615481740623</v>
      </c>
      <c r="X287" s="20"/>
      <c r="Y287" s="2">
        <f t="shared" si="128"/>
        <v>114.51248663301413</v>
      </c>
      <c r="Z287" s="21">
        <f t="shared" si="129"/>
        <v>1.7615230793891765</v>
      </c>
      <c r="AA287" s="2">
        <f t="shared" si="130"/>
        <v>89.183264395407946</v>
      </c>
      <c r="AB287" s="19">
        <f t="shared" si="133"/>
        <v>63.412299871388022</v>
      </c>
      <c r="AC287" s="2"/>
      <c r="AD287" s="18"/>
      <c r="AE287" s="118"/>
      <c r="AG287" s="2"/>
      <c r="AH287" s="19"/>
      <c r="AI287" s="20"/>
      <c r="AJ287" s="21"/>
      <c r="AK287" s="21"/>
      <c r="AM287" s="19"/>
      <c r="AN287" s="18"/>
      <c r="AO287" s="2"/>
      <c r="AP287" s="18"/>
      <c r="AQ287" s="118"/>
      <c r="AS287" s="2"/>
      <c r="AT287" s="19"/>
      <c r="AU287" s="20"/>
      <c r="AV287" s="21"/>
      <c r="AW287" s="21"/>
      <c r="AY287" s="19"/>
      <c r="AZ287" s="18"/>
      <c r="BA287" s="2"/>
      <c r="BB287" s="18"/>
      <c r="BC287" s="118"/>
      <c r="BE287" s="2"/>
      <c r="BF287" s="19"/>
      <c r="BG287" s="20"/>
      <c r="BH287" s="21"/>
      <c r="BI287" s="21"/>
      <c r="BK287" s="19"/>
      <c r="BL287" s="18"/>
      <c r="BM287" s="2"/>
      <c r="BN287" s="18"/>
      <c r="BO287" s="118"/>
      <c r="BQ287" s="2"/>
      <c r="BR287" s="19"/>
      <c r="BS287" s="20"/>
      <c r="BT287" s="21"/>
      <c r="BU287" s="21"/>
      <c r="BW287" s="19"/>
      <c r="BX287" s="18"/>
      <c r="BY287" s="2"/>
      <c r="BZ287" s="18"/>
      <c r="CA287" s="118"/>
      <c r="CC287" s="2"/>
      <c r="CD287" s="19"/>
      <c r="CE287" s="20"/>
      <c r="CF287" s="21"/>
      <c r="CG287" s="21"/>
      <c r="CI287" s="19"/>
      <c r="CJ287" s="18"/>
      <c r="CK287" s="2"/>
      <c r="CL287" s="18"/>
      <c r="CM287" s="118"/>
      <c r="CO287" s="2"/>
      <c r="CP287" s="19"/>
      <c r="CQ287" s="20"/>
      <c r="CR287" s="21"/>
      <c r="CS287" s="21"/>
    </row>
    <row r="288" spans="1:97" x14ac:dyDescent="0.25">
      <c r="A288" s="1">
        <f t="shared" si="116"/>
        <v>262</v>
      </c>
      <c r="B288" s="19">
        <f t="shared" si="117"/>
        <v>65.096548142560934</v>
      </c>
      <c r="C288" s="18">
        <f t="shared" si="131"/>
        <v>3.9596936883930662</v>
      </c>
      <c r="D288" s="2">
        <f t="shared" si="110"/>
        <v>0.92149518169279576</v>
      </c>
      <c r="E288" s="18">
        <f t="shared" si="118"/>
        <v>3.9750519414212797</v>
      </c>
      <c r="F288" s="21">
        <f t="shared" si="111"/>
        <v>1.189270461871083</v>
      </c>
      <c r="G288" s="1">
        <f t="shared" si="112"/>
        <v>0</v>
      </c>
      <c r="H288" s="2">
        <f t="shared" si="108"/>
        <v>151.56229667118683</v>
      </c>
      <c r="I288" s="19">
        <f t="shared" si="107"/>
        <v>65.611383840340622</v>
      </c>
      <c r="J288" s="20">
        <f t="shared" si="113"/>
        <v>0.92941993071895179</v>
      </c>
      <c r="K288" s="21">
        <f t="shared" si="114"/>
        <v>45.621874458623864</v>
      </c>
      <c r="L288" s="21">
        <f t="shared" si="109"/>
        <v>0.92619718699692799</v>
      </c>
      <c r="M288" s="2">
        <f t="shared" si="119"/>
        <v>35.118565146378423</v>
      </c>
      <c r="N288" s="19">
        <f t="shared" si="132"/>
        <v>303.33527821763909</v>
      </c>
      <c r="O288" s="1">
        <f t="shared" si="120"/>
        <v>262</v>
      </c>
      <c r="P288" s="19">
        <f t="shared" si="121"/>
        <v>134.48615481740623</v>
      </c>
      <c r="Q288" s="18">
        <f t="shared" si="122"/>
        <v>5.4819522444490696</v>
      </c>
      <c r="R288" s="2">
        <f t="shared" si="123"/>
        <v>0.93496523143370958</v>
      </c>
      <c r="S288" s="18">
        <f t="shared" si="124"/>
        <v>5.497534998306298</v>
      </c>
      <c r="T288" s="18">
        <f t="shared" si="125"/>
        <v>2.2511581918970629</v>
      </c>
      <c r="U288" s="1">
        <f t="shared" si="115"/>
        <v>0</v>
      </c>
      <c r="V288" s="2">
        <f t="shared" si="126"/>
        <v>312.91417582010547</v>
      </c>
      <c r="W288" s="19">
        <f t="shared" si="127"/>
        <v>135.46068217320584</v>
      </c>
      <c r="X288" s="20"/>
      <c r="Y288" s="2">
        <f t="shared" si="128"/>
        <v>115.48723813010557</v>
      </c>
      <c r="Z288" s="21">
        <f t="shared" si="129"/>
        <v>1.7715517671737195</v>
      </c>
      <c r="AA288" s="2">
        <f t="shared" si="130"/>
        <v>89.950169922322971</v>
      </c>
      <c r="AB288" s="19">
        <f t="shared" si="133"/>
        <v>63.547382054316053</v>
      </c>
      <c r="AC288" s="2"/>
      <c r="AD288" s="18"/>
      <c r="AE288" s="118"/>
      <c r="AG288" s="2"/>
      <c r="AH288" s="19"/>
      <c r="AI288" s="20"/>
      <c r="AJ288" s="21"/>
      <c r="AK288" s="21"/>
      <c r="AM288" s="19"/>
      <c r="AN288" s="18"/>
      <c r="AO288" s="2"/>
      <c r="AP288" s="18"/>
      <c r="AQ288" s="118"/>
      <c r="AS288" s="2"/>
      <c r="AT288" s="19"/>
      <c r="AU288" s="20"/>
      <c r="AV288" s="21"/>
      <c r="AW288" s="21"/>
      <c r="AY288" s="19"/>
      <c r="AZ288" s="18"/>
      <c r="BA288" s="2"/>
      <c r="BB288" s="18"/>
      <c r="BC288" s="118"/>
      <c r="BE288" s="2"/>
      <c r="BF288" s="19"/>
      <c r="BG288" s="20"/>
      <c r="BH288" s="21"/>
      <c r="BI288" s="21"/>
      <c r="BK288" s="19"/>
      <c r="BL288" s="18"/>
      <c r="BM288" s="2"/>
      <c r="BN288" s="18"/>
      <c r="BO288" s="118"/>
      <c r="BQ288" s="2"/>
      <c r="BR288" s="19"/>
      <c r="BS288" s="20"/>
      <c r="BT288" s="21"/>
      <c r="BU288" s="21"/>
      <c r="BW288" s="19"/>
      <c r="BX288" s="18"/>
      <c r="BY288" s="2"/>
      <c r="BZ288" s="18"/>
      <c r="CA288" s="118"/>
      <c r="CC288" s="2"/>
      <c r="CD288" s="19"/>
      <c r="CE288" s="20"/>
      <c r="CF288" s="21"/>
      <c r="CG288" s="21"/>
      <c r="CI288" s="19"/>
      <c r="CJ288" s="18"/>
      <c r="CK288" s="2"/>
      <c r="CL288" s="18"/>
      <c r="CM288" s="118"/>
      <c r="CO288" s="2"/>
      <c r="CP288" s="19"/>
      <c r="CQ288" s="20"/>
      <c r="CR288" s="21"/>
      <c r="CS288" s="21"/>
    </row>
    <row r="289" spans="1:97" x14ac:dyDescent="0.25">
      <c r="A289" s="1">
        <f t="shared" si="116"/>
        <v>263</v>
      </c>
      <c r="B289" s="19">
        <f t="shared" si="117"/>
        <v>65.611383840340622</v>
      </c>
      <c r="C289" s="18">
        <f t="shared" si="131"/>
        <v>3.9750519414212797</v>
      </c>
      <c r="D289" s="2">
        <f t="shared" si="110"/>
        <v>0.92164037821959033</v>
      </c>
      <c r="E289" s="18">
        <f t="shared" si="118"/>
        <v>3.9904126143916061</v>
      </c>
      <c r="F289" s="21">
        <f t="shared" si="111"/>
        <v>1.1983282600822025</v>
      </c>
      <c r="G289" s="1">
        <f t="shared" si="112"/>
        <v>0</v>
      </c>
      <c r="H289" s="2">
        <f t="shared" si="108"/>
        <v>152.76062493126904</v>
      </c>
      <c r="I289" s="19">
        <f t="shared" ref="I289:I352" si="134">H289/2.31</f>
        <v>66.13014066288703</v>
      </c>
      <c r="J289" s="20">
        <f t="shared" si="113"/>
        <v>0.9293625392584669</v>
      </c>
      <c r="K289" s="21">
        <f t="shared" si="114"/>
        <v>46.14075059523946</v>
      </c>
      <c r="L289" s="21">
        <f t="shared" si="109"/>
        <v>0.93336916905492029</v>
      </c>
      <c r="M289" s="2">
        <f t="shared" si="119"/>
        <v>35.522621063718212</v>
      </c>
      <c r="N289" s="19">
        <f t="shared" si="132"/>
        <v>303.52156863265759</v>
      </c>
      <c r="O289" s="1">
        <f t="shared" si="120"/>
        <v>263</v>
      </c>
      <c r="P289" s="19">
        <f t="shared" si="121"/>
        <v>135.46068217320584</v>
      </c>
      <c r="Q289" s="18">
        <f t="shared" si="122"/>
        <v>5.497534998306298</v>
      </c>
      <c r="R289" s="2">
        <f t="shared" si="123"/>
        <v>0.93510025341850822</v>
      </c>
      <c r="S289" s="18">
        <f t="shared" si="124"/>
        <v>5.5131200025299396</v>
      </c>
      <c r="T289" s="18">
        <f t="shared" si="125"/>
        <v>2.2637378944964595</v>
      </c>
      <c r="U289" s="1">
        <f t="shared" si="115"/>
        <v>0</v>
      </c>
      <c r="V289" s="2">
        <f t="shared" si="126"/>
        <v>315.17791371460191</v>
      </c>
      <c r="W289" s="19">
        <f t="shared" si="127"/>
        <v>136.44065528770645</v>
      </c>
      <c r="X289" s="20"/>
      <c r="Y289" s="2">
        <f t="shared" si="128"/>
        <v>116.46743663842254</v>
      </c>
      <c r="Z289" s="21">
        <f t="shared" si="129"/>
        <v>1.7816103760503026</v>
      </c>
      <c r="AA289" s="2">
        <f t="shared" si="130"/>
        <v>90.721429825375054</v>
      </c>
      <c r="AB289" s="19">
        <f t="shared" si="133"/>
        <v>63.682081347020059</v>
      </c>
      <c r="AC289" s="2"/>
      <c r="AD289" s="18"/>
      <c r="AE289" s="118"/>
      <c r="AG289" s="2"/>
      <c r="AH289" s="19"/>
      <c r="AI289" s="20"/>
      <c r="AJ289" s="21"/>
      <c r="AK289" s="21"/>
      <c r="AM289" s="19"/>
      <c r="AN289" s="18"/>
      <c r="AO289" s="2"/>
      <c r="AP289" s="18"/>
      <c r="AQ289" s="118"/>
      <c r="AS289" s="2"/>
      <c r="AT289" s="19"/>
      <c r="AU289" s="20"/>
      <c r="AV289" s="21"/>
      <c r="AW289" s="21"/>
      <c r="AY289" s="19"/>
      <c r="AZ289" s="18"/>
      <c r="BA289" s="2"/>
      <c r="BB289" s="18"/>
      <c r="BC289" s="118"/>
      <c r="BE289" s="2"/>
      <c r="BF289" s="19"/>
      <c r="BG289" s="20"/>
      <c r="BH289" s="21"/>
      <c r="BI289" s="21"/>
      <c r="BK289" s="19"/>
      <c r="BL289" s="18"/>
      <c r="BM289" s="2"/>
      <c r="BN289" s="18"/>
      <c r="BO289" s="118"/>
      <c r="BQ289" s="2"/>
      <c r="BR289" s="19"/>
      <c r="BS289" s="20"/>
      <c r="BT289" s="21"/>
      <c r="BU289" s="21"/>
      <c r="BW289" s="19"/>
      <c r="BX289" s="18"/>
      <c r="BY289" s="2"/>
      <c r="BZ289" s="18"/>
      <c r="CA289" s="118"/>
      <c r="CC289" s="2"/>
      <c r="CD289" s="19"/>
      <c r="CE289" s="20"/>
      <c r="CF289" s="21"/>
      <c r="CG289" s="21"/>
      <c r="CI289" s="19"/>
      <c r="CJ289" s="18"/>
      <c r="CK289" s="2"/>
      <c r="CL289" s="18"/>
      <c r="CM289" s="118"/>
      <c r="CO289" s="2"/>
      <c r="CP289" s="19"/>
      <c r="CQ289" s="20"/>
      <c r="CR289" s="21"/>
      <c r="CS289" s="21"/>
    </row>
    <row r="290" spans="1:97" x14ac:dyDescent="0.25">
      <c r="A290" s="1">
        <f t="shared" si="116"/>
        <v>264</v>
      </c>
      <c r="B290" s="19">
        <f t="shared" si="117"/>
        <v>66.13014066288703</v>
      </c>
      <c r="C290" s="18">
        <f t="shared" si="131"/>
        <v>3.9904126143916061</v>
      </c>
      <c r="D290" s="2">
        <f t="shared" si="110"/>
        <v>0.92178555563791253</v>
      </c>
      <c r="E290" s="18">
        <f t="shared" si="118"/>
        <v>4.0057757069855713</v>
      </c>
      <c r="F290" s="21">
        <f t="shared" si="111"/>
        <v>1.2074213491557466</v>
      </c>
      <c r="G290" s="1">
        <f t="shared" si="112"/>
        <v>0</v>
      </c>
      <c r="H290" s="2">
        <f t="shared" si="108"/>
        <v>153.96804628042477</v>
      </c>
      <c r="I290" s="19">
        <f t="shared" si="134"/>
        <v>66.652833887629768</v>
      </c>
      <c r="J290" s="20">
        <f t="shared" si="113"/>
        <v>0.92930502661651126</v>
      </c>
      <c r="K290" s="21">
        <f t="shared" si="114"/>
        <v>46.663564039423896</v>
      </c>
      <c r="L290" s="21">
        <f t="shared" si="109"/>
        <v>0.94056994841298958</v>
      </c>
      <c r="M290" s="2">
        <f t="shared" si="119"/>
        <v>35.929794201559332</v>
      </c>
      <c r="N290" s="19">
        <f t="shared" si="132"/>
        <v>303.7071419423491</v>
      </c>
      <c r="O290" s="1">
        <f t="shared" si="120"/>
        <v>264</v>
      </c>
      <c r="P290" s="19">
        <f t="shared" si="121"/>
        <v>136.44065528770645</v>
      </c>
      <c r="Q290" s="18">
        <f t="shared" si="122"/>
        <v>5.5131200025299396</v>
      </c>
      <c r="R290" s="2">
        <f t="shared" si="123"/>
        <v>0.93523507337089651</v>
      </c>
      <c r="S290" s="18">
        <f t="shared" si="124"/>
        <v>5.5287072537527875</v>
      </c>
      <c r="T290" s="18">
        <f t="shared" si="125"/>
        <v>2.2763539725496127</v>
      </c>
      <c r="U290" s="1">
        <f t="shared" si="115"/>
        <v>0</v>
      </c>
      <c r="V290" s="2">
        <f t="shared" si="126"/>
        <v>317.45426768715151</v>
      </c>
      <c r="W290" s="19">
        <f t="shared" si="127"/>
        <v>137.4260899078578</v>
      </c>
      <c r="X290" s="20"/>
      <c r="Y290" s="2">
        <f t="shared" si="128"/>
        <v>117.45309790853652</v>
      </c>
      <c r="Z290" s="21">
        <f t="shared" si="129"/>
        <v>1.7916989161712111</v>
      </c>
      <c r="AA290" s="2">
        <f t="shared" si="130"/>
        <v>91.497057061812811</v>
      </c>
      <c r="AB290" s="19">
        <f t="shared" si="133"/>
        <v>63.816399859141612</v>
      </c>
      <c r="AC290" s="2"/>
      <c r="AD290" s="18"/>
      <c r="AE290" s="118"/>
      <c r="AG290" s="2"/>
      <c r="AH290" s="19"/>
      <c r="AI290" s="20"/>
      <c r="AJ290" s="21"/>
      <c r="AK290" s="21"/>
      <c r="AM290" s="19"/>
      <c r="AN290" s="18"/>
      <c r="AO290" s="2"/>
      <c r="AP290" s="18"/>
      <c r="AQ290" s="118"/>
      <c r="AS290" s="2"/>
      <c r="AT290" s="19"/>
      <c r="AU290" s="20"/>
      <c r="AV290" s="21"/>
      <c r="AW290" s="21"/>
      <c r="AY290" s="19"/>
      <c r="AZ290" s="18"/>
      <c r="BA290" s="2"/>
      <c r="BB290" s="18"/>
      <c r="BC290" s="118"/>
      <c r="BE290" s="2"/>
      <c r="BF290" s="19"/>
      <c r="BG290" s="20"/>
      <c r="BH290" s="21"/>
      <c r="BI290" s="21"/>
      <c r="BK290" s="19"/>
      <c r="BL290" s="18"/>
      <c r="BM290" s="2"/>
      <c r="BN290" s="18"/>
      <c r="BO290" s="118"/>
      <c r="BQ290" s="2"/>
      <c r="BR290" s="19"/>
      <c r="BS290" s="20"/>
      <c r="BT290" s="21"/>
      <c r="BU290" s="21"/>
      <c r="BW290" s="19"/>
      <c r="BX290" s="18"/>
      <c r="BY290" s="2"/>
      <c r="BZ290" s="18"/>
      <c r="CA290" s="118"/>
      <c r="CC290" s="2"/>
      <c r="CD290" s="19"/>
      <c r="CE290" s="20"/>
      <c r="CF290" s="21"/>
      <c r="CG290" s="21"/>
      <c r="CI290" s="19"/>
      <c r="CJ290" s="18"/>
      <c r="CK290" s="2"/>
      <c r="CL290" s="18"/>
      <c r="CM290" s="118"/>
      <c r="CO290" s="2"/>
      <c r="CP290" s="19"/>
      <c r="CQ290" s="20"/>
      <c r="CR290" s="21"/>
      <c r="CS290" s="21"/>
    </row>
    <row r="291" spans="1:97" x14ac:dyDescent="0.25">
      <c r="A291" s="1">
        <f t="shared" si="116"/>
        <v>265</v>
      </c>
      <c r="B291" s="19">
        <f t="shared" si="117"/>
        <v>66.652833887629768</v>
      </c>
      <c r="C291" s="18">
        <f t="shared" si="131"/>
        <v>4.0057757069855713</v>
      </c>
      <c r="D291" s="2">
        <f t="shared" si="110"/>
        <v>0.92193071023767015</v>
      </c>
      <c r="E291" s="18">
        <f t="shared" si="118"/>
        <v>4.0211412188228657</v>
      </c>
      <c r="F291" s="21">
        <f t="shared" si="111"/>
        <v>1.2165497413428674</v>
      </c>
      <c r="G291" s="1">
        <f t="shared" si="112"/>
        <v>0</v>
      </c>
      <c r="H291" s="2">
        <f t="shared" si="108"/>
        <v>155.18459602176765</v>
      </c>
      <c r="I291" s="19">
        <f t="shared" si="134"/>
        <v>67.179478797302011</v>
      </c>
      <c r="J291" s="20">
        <f t="shared" si="113"/>
        <v>0.92924739437374182</v>
      </c>
      <c r="K291" s="21">
        <f t="shared" si="114"/>
        <v>47.190330077425358</v>
      </c>
      <c r="L291" s="21">
        <f t="shared" si="109"/>
        <v>0.94779953796546668</v>
      </c>
      <c r="M291" s="2">
        <f t="shared" si="119"/>
        <v>36.340097031847414</v>
      </c>
      <c r="N291" s="19">
        <f t="shared" si="132"/>
        <v>303.89200353472336</v>
      </c>
      <c r="O291" s="1">
        <f t="shared" si="120"/>
        <v>265</v>
      </c>
      <c r="P291" s="19">
        <f t="shared" si="121"/>
        <v>137.4260899078578</v>
      </c>
      <c r="Q291" s="18">
        <f t="shared" si="122"/>
        <v>5.5287072537527875</v>
      </c>
      <c r="R291" s="2">
        <f t="shared" si="123"/>
        <v>0.93536969114981738</v>
      </c>
      <c r="S291" s="18">
        <f t="shared" si="124"/>
        <v>5.5442967486052845</v>
      </c>
      <c r="T291" s="18">
        <f t="shared" si="125"/>
        <v>2.2890064357249589</v>
      </c>
      <c r="U291" s="1">
        <f t="shared" si="115"/>
        <v>0</v>
      </c>
      <c r="V291" s="2">
        <f t="shared" si="126"/>
        <v>319.74327412287647</v>
      </c>
      <c r="W291" s="19">
        <f t="shared" si="127"/>
        <v>138.41700178479502</v>
      </c>
      <c r="X291" s="20"/>
      <c r="Y291" s="2">
        <f t="shared" si="128"/>
        <v>118.44423769520543</v>
      </c>
      <c r="Z291" s="21">
        <f t="shared" si="129"/>
        <v>1.8018173976643657</v>
      </c>
      <c r="AA291" s="2">
        <f t="shared" si="130"/>
        <v>92.277064593269245</v>
      </c>
      <c r="AB291" s="19">
        <f t="shared" si="133"/>
        <v>63.950339683028062</v>
      </c>
      <c r="AC291" s="2"/>
      <c r="AD291" s="18"/>
      <c r="AE291" s="118"/>
      <c r="AG291" s="2"/>
      <c r="AH291" s="19"/>
      <c r="AI291" s="20"/>
      <c r="AJ291" s="21"/>
      <c r="AK291" s="21"/>
      <c r="AM291" s="19"/>
      <c r="AN291" s="18"/>
      <c r="AO291" s="2"/>
      <c r="AP291" s="18"/>
      <c r="AQ291" s="118"/>
      <c r="AS291" s="2"/>
      <c r="AT291" s="19"/>
      <c r="AU291" s="20"/>
      <c r="AV291" s="21"/>
      <c r="AW291" s="21"/>
      <c r="AY291" s="19"/>
      <c r="AZ291" s="18"/>
      <c r="BA291" s="2"/>
      <c r="BB291" s="18"/>
      <c r="BC291" s="118"/>
      <c r="BE291" s="2"/>
      <c r="BF291" s="19"/>
      <c r="BG291" s="20"/>
      <c r="BH291" s="21"/>
      <c r="BI291" s="21"/>
      <c r="BK291" s="19"/>
      <c r="BL291" s="18"/>
      <c r="BM291" s="2"/>
      <c r="BN291" s="18"/>
      <c r="BO291" s="118"/>
      <c r="BQ291" s="2"/>
      <c r="BR291" s="19"/>
      <c r="BS291" s="20"/>
      <c r="BT291" s="21"/>
      <c r="BU291" s="21"/>
      <c r="BW291" s="19"/>
      <c r="BX291" s="18"/>
      <c r="BY291" s="2"/>
      <c r="BZ291" s="18"/>
      <c r="CA291" s="118"/>
      <c r="CC291" s="2"/>
      <c r="CD291" s="19"/>
      <c r="CE291" s="20"/>
      <c r="CF291" s="21"/>
      <c r="CG291" s="21"/>
      <c r="CI291" s="19"/>
      <c r="CJ291" s="18"/>
      <c r="CK291" s="2"/>
      <c r="CL291" s="18"/>
      <c r="CM291" s="118"/>
      <c r="CO291" s="2"/>
      <c r="CP291" s="19"/>
      <c r="CQ291" s="20"/>
      <c r="CR291" s="21"/>
      <c r="CS291" s="21"/>
    </row>
    <row r="292" spans="1:97" x14ac:dyDescent="0.25">
      <c r="A292" s="1">
        <f t="shared" si="116"/>
        <v>266</v>
      </c>
      <c r="B292" s="19">
        <f t="shared" si="117"/>
        <v>67.179478797302011</v>
      </c>
      <c r="C292" s="18">
        <f t="shared" si="131"/>
        <v>4.0211412188228657</v>
      </c>
      <c r="D292" s="2">
        <f t="shared" si="110"/>
        <v>0.9220758383690606</v>
      </c>
      <c r="E292" s="18">
        <f t="shared" si="118"/>
        <v>4.0365091494623497</v>
      </c>
      <c r="F292" s="21">
        <f t="shared" si="111"/>
        <v>1.2257134488697043</v>
      </c>
      <c r="G292" s="1">
        <f t="shared" si="112"/>
        <v>0</v>
      </c>
      <c r="H292" s="2">
        <f t="shared" si="108"/>
        <v>156.41030947063734</v>
      </c>
      <c r="I292" s="19">
        <f t="shared" si="134"/>
        <v>67.710090679929579</v>
      </c>
      <c r="J292" s="20">
        <f t="shared" si="113"/>
        <v>0.92918964410116089</v>
      </c>
      <c r="K292" s="21">
        <f t="shared" si="114"/>
        <v>47.721064000785937</v>
      </c>
      <c r="L292" s="21">
        <f t="shared" si="109"/>
        <v>0.95505795057721421</v>
      </c>
      <c r="M292" s="2">
        <f t="shared" si="119"/>
        <v>36.753542032097293</v>
      </c>
      <c r="N292" s="19">
        <f t="shared" si="132"/>
        <v>304.07615873733624</v>
      </c>
      <c r="O292" s="1">
        <f t="shared" si="120"/>
        <v>266</v>
      </c>
      <c r="P292" s="19">
        <f t="shared" si="121"/>
        <v>138.41700178479502</v>
      </c>
      <c r="Q292" s="18">
        <f t="shared" si="122"/>
        <v>5.5442967486052845</v>
      </c>
      <c r="R292" s="2">
        <f t="shared" si="123"/>
        <v>0.93550410662685357</v>
      </c>
      <c r="S292" s="18">
        <f t="shared" si="124"/>
        <v>5.5598884837157323</v>
      </c>
      <c r="T292" s="18">
        <f t="shared" si="125"/>
        <v>2.3016952936674753</v>
      </c>
      <c r="U292" s="1">
        <f t="shared" si="115"/>
        <v>0</v>
      </c>
      <c r="V292" s="2">
        <f t="shared" si="126"/>
        <v>322.04496941654401</v>
      </c>
      <c r="W292" s="19">
        <f t="shared" si="127"/>
        <v>139.41340667382858</v>
      </c>
      <c r="X292" s="20"/>
      <c r="Y292" s="2">
        <f t="shared" si="128"/>
        <v>119.44087175736345</v>
      </c>
      <c r="Z292" s="21">
        <f t="shared" si="129"/>
        <v>1.8119658306334343</v>
      </c>
      <c r="AA292" s="2">
        <f t="shared" si="130"/>
        <v>93.061465385751248</v>
      </c>
      <c r="AB292" s="19">
        <f t="shared" si="133"/>
        <v>64.083902893921078</v>
      </c>
      <c r="AC292" s="2"/>
      <c r="AD292" s="18"/>
      <c r="AE292" s="118"/>
      <c r="AG292" s="2"/>
      <c r="AH292" s="19"/>
      <c r="AI292" s="20"/>
      <c r="AJ292" s="21"/>
      <c r="AK292" s="21"/>
      <c r="AM292" s="19"/>
      <c r="AN292" s="18"/>
      <c r="AO292" s="2"/>
      <c r="AP292" s="18"/>
      <c r="AQ292" s="118"/>
      <c r="AS292" s="2"/>
      <c r="AT292" s="19"/>
      <c r="AU292" s="20"/>
      <c r="AV292" s="21"/>
      <c r="AW292" s="21"/>
      <c r="AY292" s="19"/>
      <c r="AZ292" s="18"/>
      <c r="BA292" s="2"/>
      <c r="BB292" s="18"/>
      <c r="BC292" s="118"/>
      <c r="BE292" s="2"/>
      <c r="BF292" s="19"/>
      <c r="BG292" s="20"/>
      <c r="BH292" s="21"/>
      <c r="BI292" s="21"/>
      <c r="BK292" s="19"/>
      <c r="BL292" s="18"/>
      <c r="BM292" s="2"/>
      <c r="BN292" s="18"/>
      <c r="BO292" s="118"/>
      <c r="BQ292" s="2"/>
      <c r="BR292" s="19"/>
      <c r="BS292" s="20"/>
      <c r="BT292" s="21"/>
      <c r="BU292" s="21"/>
      <c r="BW292" s="19"/>
      <c r="BX292" s="18"/>
      <c r="BY292" s="2"/>
      <c r="BZ292" s="18"/>
      <c r="CA292" s="118"/>
      <c r="CC292" s="2"/>
      <c r="CD292" s="19"/>
      <c r="CE292" s="20"/>
      <c r="CF292" s="21"/>
      <c r="CG292" s="21"/>
      <c r="CI292" s="19"/>
      <c r="CJ292" s="18"/>
      <c r="CK292" s="2"/>
      <c r="CL292" s="18"/>
      <c r="CM292" s="118"/>
      <c r="CO292" s="2"/>
      <c r="CP292" s="19"/>
      <c r="CQ292" s="20"/>
      <c r="CR292" s="21"/>
      <c r="CS292" s="21"/>
    </row>
    <row r="293" spans="1:97" x14ac:dyDescent="0.25">
      <c r="A293" s="1">
        <f t="shared" si="116"/>
        <v>267</v>
      </c>
      <c r="B293" s="19">
        <f t="shared" si="117"/>
        <v>67.710090679929579</v>
      </c>
      <c r="C293" s="18">
        <f t="shared" si="131"/>
        <v>4.0365091494623497</v>
      </c>
      <c r="D293" s="2">
        <f t="shared" si="110"/>
        <v>0.92222093644198255</v>
      </c>
      <c r="E293" s="18">
        <f t="shared" si="118"/>
        <v>4.0518794984030491</v>
      </c>
      <c r="F293" s="21">
        <f t="shared" si="111"/>
        <v>1.2349124839372059</v>
      </c>
      <c r="G293" s="1">
        <f t="shared" si="112"/>
        <v>0</v>
      </c>
      <c r="H293" s="2">
        <f t="shared" si="108"/>
        <v>157.64522195457454</v>
      </c>
      <c r="I293" s="19">
        <f t="shared" si="134"/>
        <v>68.244684828820141</v>
      </c>
      <c r="J293" s="20">
        <f t="shared" si="113"/>
        <v>0.92913177736005681</v>
      </c>
      <c r="K293" s="21">
        <f t="shared" si="114"/>
        <v>48.255781106330744</v>
      </c>
      <c r="L293" s="21">
        <f t="shared" si="109"/>
        <v>0.96234519908355154</v>
      </c>
      <c r="M293" s="2">
        <f t="shared" si="119"/>
        <v>37.170141685380216</v>
      </c>
      <c r="N293" s="19">
        <f t="shared" si="132"/>
        <v>304.25961281819372</v>
      </c>
      <c r="O293" s="1">
        <f t="shared" si="120"/>
        <v>267</v>
      </c>
      <c r="P293" s="19">
        <f t="shared" si="121"/>
        <v>139.41340667382858</v>
      </c>
      <c r="Q293" s="18">
        <f t="shared" si="122"/>
        <v>5.5598884837157323</v>
      </c>
      <c r="R293" s="2">
        <f t="shared" si="123"/>
        <v>0.93563831968598576</v>
      </c>
      <c r="S293" s="18">
        <f t="shared" si="124"/>
        <v>5.5754824557104987</v>
      </c>
      <c r="T293" s="18">
        <f t="shared" si="125"/>
        <v>2.3144205559987756</v>
      </c>
      <c r="U293" s="1">
        <f t="shared" si="115"/>
        <v>0</v>
      </c>
      <c r="V293" s="2">
        <f t="shared" si="126"/>
        <v>324.35938997254277</v>
      </c>
      <c r="W293" s="19">
        <f t="shared" si="127"/>
        <v>140.41532033443409</v>
      </c>
      <c r="X293" s="20"/>
      <c r="Y293" s="2">
        <f t="shared" si="128"/>
        <v>120.44301585811093</v>
      </c>
      <c r="Z293" s="21">
        <f t="shared" si="129"/>
        <v>1.822144225157933</v>
      </c>
      <c r="AA293" s="2">
        <f t="shared" si="130"/>
        <v>93.850272409629142</v>
      </c>
      <c r="AB293" s="19">
        <f t="shared" si="133"/>
        <v>64.217091550142555</v>
      </c>
      <c r="AC293" s="2"/>
      <c r="AD293" s="18"/>
      <c r="AE293" s="118"/>
      <c r="AG293" s="2"/>
      <c r="AH293" s="19"/>
      <c r="AI293" s="20"/>
      <c r="AJ293" s="21"/>
      <c r="AK293" s="21"/>
      <c r="AM293" s="19"/>
      <c r="AN293" s="18"/>
      <c r="AO293" s="2"/>
      <c r="AP293" s="18"/>
      <c r="AQ293" s="118"/>
      <c r="AS293" s="2"/>
      <c r="AT293" s="19"/>
      <c r="AU293" s="20"/>
      <c r="AV293" s="21"/>
      <c r="AW293" s="21"/>
      <c r="AY293" s="19"/>
      <c r="AZ293" s="18"/>
      <c r="BA293" s="2"/>
      <c r="BB293" s="18"/>
      <c r="BC293" s="118"/>
      <c r="BE293" s="2"/>
      <c r="BF293" s="19"/>
      <c r="BG293" s="20"/>
      <c r="BH293" s="21"/>
      <c r="BI293" s="21"/>
      <c r="BK293" s="19"/>
      <c r="BL293" s="18"/>
      <c r="BM293" s="2"/>
      <c r="BN293" s="18"/>
      <c r="BO293" s="118"/>
      <c r="BQ293" s="2"/>
      <c r="BR293" s="19"/>
      <c r="BS293" s="20"/>
      <c r="BT293" s="21"/>
      <c r="BU293" s="21"/>
      <c r="BW293" s="19"/>
      <c r="BX293" s="18"/>
      <c r="BY293" s="2"/>
      <c r="BZ293" s="18"/>
      <c r="CA293" s="118"/>
      <c r="CC293" s="2"/>
      <c r="CD293" s="19"/>
      <c r="CE293" s="20"/>
      <c r="CF293" s="21"/>
      <c r="CG293" s="21"/>
      <c r="CI293" s="19"/>
      <c r="CJ293" s="18"/>
      <c r="CK293" s="2"/>
      <c r="CL293" s="18"/>
      <c r="CM293" s="118"/>
      <c r="CO293" s="2"/>
      <c r="CP293" s="19"/>
      <c r="CQ293" s="20"/>
      <c r="CR293" s="21"/>
      <c r="CS293" s="21"/>
    </row>
    <row r="294" spans="1:97" x14ac:dyDescent="0.25">
      <c r="A294" s="1">
        <f t="shared" si="116"/>
        <v>268</v>
      </c>
      <c r="B294" s="19">
        <f t="shared" si="117"/>
        <v>68.244684828820141</v>
      </c>
      <c r="C294" s="18">
        <f t="shared" si="131"/>
        <v>4.0518794984030491</v>
      </c>
      <c r="D294" s="2">
        <f t="shared" si="110"/>
        <v>0.92236600092544407</v>
      </c>
      <c r="E294" s="18">
        <f t="shared" si="118"/>
        <v>4.0672522650851395</v>
      </c>
      <c r="F294" s="21">
        <f t="shared" si="111"/>
        <v>1.244146858720961</v>
      </c>
      <c r="G294" s="1">
        <f t="shared" si="112"/>
        <v>0</v>
      </c>
      <c r="H294" s="2">
        <f t="shared" si="108"/>
        <v>158.8893688132955</v>
      </c>
      <c r="I294" s="19">
        <f t="shared" si="134"/>
        <v>68.783276542552159</v>
      </c>
      <c r="J294" s="20">
        <f t="shared" si="113"/>
        <v>0.92907379570194903</v>
      </c>
      <c r="K294" s="21">
        <f t="shared" si="114"/>
        <v>48.794496696156919</v>
      </c>
      <c r="L294" s="21">
        <f t="shared" si="109"/>
        <v>0.96966129629018427</v>
      </c>
      <c r="M294" s="2">
        <f t="shared" si="119"/>
        <v>37.589908480311031</v>
      </c>
      <c r="N294" s="19">
        <f t="shared" si="132"/>
        <v>304.44237098663859</v>
      </c>
      <c r="O294" s="1">
        <f t="shared" si="120"/>
        <v>268</v>
      </c>
      <c r="P294" s="19">
        <f t="shared" si="121"/>
        <v>140.41532033443409</v>
      </c>
      <c r="Q294" s="18">
        <f t="shared" si="122"/>
        <v>5.5754824557104987</v>
      </c>
      <c r="R294" s="2">
        <f t="shared" si="123"/>
        <v>0.93577233022335216</v>
      </c>
      <c r="S294" s="18">
        <f t="shared" si="124"/>
        <v>5.5910786612142216</v>
      </c>
      <c r="T294" s="18">
        <f t="shared" si="125"/>
        <v>2.3271822323172131</v>
      </c>
      <c r="U294" s="1">
        <f t="shared" si="115"/>
        <v>0</v>
      </c>
      <c r="V294" s="2">
        <f t="shared" si="126"/>
        <v>326.68657220486</v>
      </c>
      <c r="W294" s="19">
        <f t="shared" si="127"/>
        <v>141.42275853024242</v>
      </c>
      <c r="X294" s="20"/>
      <c r="Y294" s="2">
        <f t="shared" si="128"/>
        <v>121.45068576470428</v>
      </c>
      <c r="Z294" s="21">
        <f t="shared" si="129"/>
        <v>1.8323525912933361</v>
      </c>
      <c r="AA294" s="2">
        <f t="shared" si="130"/>
        <v>94.643498639626259</v>
      </c>
      <c r="AB294" s="19">
        <f t="shared" si="133"/>
        <v>64.349907693278112</v>
      </c>
      <c r="AC294" s="2"/>
      <c r="AD294" s="18"/>
      <c r="AE294" s="118"/>
      <c r="AG294" s="2"/>
      <c r="AH294" s="19"/>
      <c r="AI294" s="20"/>
      <c r="AJ294" s="21"/>
      <c r="AK294" s="21"/>
      <c r="AM294" s="19"/>
      <c r="AN294" s="18"/>
      <c r="AO294" s="2"/>
      <c r="AP294" s="18"/>
      <c r="AQ294" s="118"/>
      <c r="AS294" s="2"/>
      <c r="AT294" s="19"/>
      <c r="AU294" s="20"/>
      <c r="AV294" s="21"/>
      <c r="AW294" s="21"/>
      <c r="AY294" s="19"/>
      <c r="AZ294" s="18"/>
      <c r="BA294" s="2"/>
      <c r="BB294" s="18"/>
      <c r="BC294" s="118"/>
      <c r="BE294" s="2"/>
      <c r="BF294" s="19"/>
      <c r="BG294" s="20"/>
      <c r="BH294" s="21"/>
      <c r="BI294" s="21"/>
      <c r="BK294" s="19"/>
      <c r="BL294" s="18"/>
      <c r="BM294" s="2"/>
      <c r="BN294" s="18"/>
      <c r="BO294" s="118"/>
      <c r="BQ294" s="2"/>
      <c r="BR294" s="19"/>
      <c r="BS294" s="20"/>
      <c r="BT294" s="21"/>
      <c r="BU294" s="21"/>
      <c r="BW294" s="19"/>
      <c r="BX294" s="18"/>
      <c r="BY294" s="2"/>
      <c r="BZ294" s="18"/>
      <c r="CA294" s="118"/>
      <c r="CC294" s="2"/>
      <c r="CD294" s="19"/>
      <c r="CE294" s="20"/>
      <c r="CF294" s="21"/>
      <c r="CG294" s="21"/>
      <c r="CI294" s="19"/>
      <c r="CJ294" s="18"/>
      <c r="CK294" s="2"/>
      <c r="CL294" s="18"/>
      <c r="CM294" s="118"/>
      <c r="CO294" s="2"/>
      <c r="CP294" s="19"/>
      <c r="CQ294" s="20"/>
      <c r="CR294" s="21"/>
      <c r="CS294" s="21"/>
    </row>
    <row r="295" spans="1:97" x14ac:dyDescent="0.25">
      <c r="A295" s="1">
        <f t="shared" si="116"/>
        <v>269</v>
      </c>
      <c r="B295" s="19">
        <f t="shared" si="117"/>
        <v>68.783276542552159</v>
      </c>
      <c r="C295" s="18">
        <f t="shared" si="131"/>
        <v>4.0672522650851395</v>
      </c>
      <c r="D295" s="2">
        <f t="shared" si="110"/>
        <v>0.92251102834696808</v>
      </c>
      <c r="E295" s="18">
        <f t="shared" si="118"/>
        <v>4.0826274488909222</v>
      </c>
      <c r="F295" s="21">
        <f t="shared" si="111"/>
        <v>1.2534165853710366</v>
      </c>
      <c r="G295" s="1">
        <f t="shared" si="112"/>
        <v>0</v>
      </c>
      <c r="H295" s="2">
        <f t="shared" si="108"/>
        <v>160.14278539866652</v>
      </c>
      <c r="I295" s="19">
        <f t="shared" si="134"/>
        <v>69.325881124963857</v>
      </c>
      <c r="J295" s="20">
        <f t="shared" si="113"/>
        <v>0.92901570066853678</v>
      </c>
      <c r="K295" s="21">
        <f t="shared" si="114"/>
        <v>49.337226077622581</v>
      </c>
      <c r="L295" s="21">
        <f t="shared" si="109"/>
        <v>0.97700625497313875</v>
      </c>
      <c r="M295" s="2">
        <f t="shared" si="119"/>
        <v>38.012854911035333</v>
      </c>
      <c r="N295" s="19">
        <f t="shared" si="132"/>
        <v>304.62443839422093</v>
      </c>
      <c r="O295" s="1">
        <f t="shared" si="120"/>
        <v>269</v>
      </c>
      <c r="P295" s="19">
        <f t="shared" si="121"/>
        <v>141.42275853024242</v>
      </c>
      <c r="Q295" s="18">
        <f t="shared" si="122"/>
        <v>5.5910786612142216</v>
      </c>
      <c r="R295" s="2">
        <f t="shared" si="123"/>
        <v>0.93590613814701418</v>
      </c>
      <c r="S295" s="18">
        <f t="shared" si="124"/>
        <v>5.6066770968500048</v>
      </c>
      <c r="T295" s="18">
        <f t="shared" si="125"/>
        <v>2.3399803321979817</v>
      </c>
      <c r="U295" s="1">
        <f t="shared" si="115"/>
        <v>0</v>
      </c>
      <c r="V295" s="2">
        <f t="shared" si="126"/>
        <v>329.02655253705797</v>
      </c>
      <c r="W295" s="19">
        <f t="shared" si="127"/>
        <v>142.43573702902941</v>
      </c>
      <c r="X295" s="20"/>
      <c r="Y295" s="2">
        <f t="shared" si="128"/>
        <v>122.463897248546</v>
      </c>
      <c r="Z295" s="21">
        <f t="shared" si="129"/>
        <v>1.8425909390711801</v>
      </c>
      <c r="AA295" s="2">
        <f t="shared" si="130"/>
        <v>95.441157054808585</v>
      </c>
      <c r="AB295" s="19">
        <f t="shared" si="133"/>
        <v>64.482353348357947</v>
      </c>
      <c r="AC295" s="2"/>
      <c r="AD295" s="18"/>
      <c r="AE295" s="118"/>
      <c r="AG295" s="2"/>
      <c r="AH295" s="19"/>
      <c r="AI295" s="20"/>
      <c r="AJ295" s="21"/>
      <c r="AK295" s="21"/>
      <c r="AM295" s="19"/>
      <c r="AN295" s="18"/>
      <c r="AO295" s="2"/>
      <c r="AP295" s="18"/>
      <c r="AQ295" s="118"/>
      <c r="AS295" s="2"/>
      <c r="AT295" s="19"/>
      <c r="AU295" s="20"/>
      <c r="AV295" s="21"/>
      <c r="AW295" s="21"/>
      <c r="AY295" s="19"/>
      <c r="AZ295" s="18"/>
      <c r="BA295" s="2"/>
      <c r="BB295" s="18"/>
      <c r="BC295" s="118"/>
      <c r="BE295" s="2"/>
      <c r="BF295" s="19"/>
      <c r="BG295" s="20"/>
      <c r="BH295" s="21"/>
      <c r="BI295" s="21"/>
      <c r="BK295" s="19"/>
      <c r="BL295" s="18"/>
      <c r="BM295" s="2"/>
      <c r="BN295" s="18"/>
      <c r="BO295" s="118"/>
      <c r="BQ295" s="2"/>
      <c r="BR295" s="19"/>
      <c r="BS295" s="20"/>
      <c r="BT295" s="21"/>
      <c r="BU295" s="21"/>
      <c r="BW295" s="19"/>
      <c r="BX295" s="18"/>
      <c r="BY295" s="2"/>
      <c r="BZ295" s="18"/>
      <c r="CA295" s="118"/>
      <c r="CC295" s="2"/>
      <c r="CD295" s="19"/>
      <c r="CE295" s="20"/>
      <c r="CF295" s="21"/>
      <c r="CG295" s="21"/>
      <c r="CI295" s="19"/>
      <c r="CJ295" s="18"/>
      <c r="CK295" s="2"/>
      <c r="CL295" s="18"/>
      <c r="CM295" s="118"/>
      <c r="CO295" s="2"/>
      <c r="CP295" s="19"/>
      <c r="CQ295" s="20"/>
      <c r="CR295" s="21"/>
      <c r="CS295" s="21"/>
    </row>
    <row r="296" spans="1:97" x14ac:dyDescent="0.25">
      <c r="A296" s="1">
        <f t="shared" si="116"/>
        <v>270</v>
      </c>
      <c r="B296" s="19">
        <f t="shared" si="117"/>
        <v>69.325881124963857</v>
      </c>
      <c r="C296" s="18">
        <f t="shared" si="131"/>
        <v>4.0826274488909222</v>
      </c>
      <c r="D296" s="2">
        <f t="shared" si="110"/>
        <v>0.92265601529199426</v>
      </c>
      <c r="E296" s="18">
        <f t="shared" si="118"/>
        <v>4.0980050491457884</v>
      </c>
      <c r="F296" s="21">
        <f t="shared" si="111"/>
        <v>1.2627216760118221</v>
      </c>
      <c r="G296" s="1">
        <f t="shared" si="112"/>
        <v>0</v>
      </c>
      <c r="H296" s="2">
        <f t="shared" si="108"/>
        <v>161.40550707467835</v>
      </c>
      <c r="I296" s="19">
        <f t="shared" si="134"/>
        <v>69.872513885142141</v>
      </c>
      <c r="J296" s="20">
        <f t="shared" si="113"/>
        <v>0.92895749379165038</v>
      </c>
      <c r="K296" s="21">
        <f t="shared" si="114"/>
        <v>49.883984563335702</v>
      </c>
      <c r="L296" s="21">
        <f t="shared" si="109"/>
        <v>0.98438008787870157</v>
      </c>
      <c r="M296" s="2">
        <f t="shared" si="119"/>
        <v>38.438993477216592</v>
      </c>
      <c r="N296" s="19">
        <f t="shared" si="132"/>
        <v>304.80582013555238</v>
      </c>
      <c r="O296" s="1">
        <f t="shared" si="120"/>
        <v>270</v>
      </c>
      <c r="P296" s="19">
        <f t="shared" si="121"/>
        <v>142.43573702902941</v>
      </c>
      <c r="Q296" s="18">
        <f t="shared" si="122"/>
        <v>5.6066770968500048</v>
      </c>
      <c r="R296" s="2">
        <f t="shared" si="123"/>
        <v>0.93603974337672435</v>
      </c>
      <c r="S296" s="18">
        <f t="shared" si="124"/>
        <v>5.6222777592396165</v>
      </c>
      <c r="T296" s="18">
        <f t="shared" si="125"/>
        <v>2.3528148651932197</v>
      </c>
      <c r="U296" s="1">
        <f t="shared" si="115"/>
        <v>0</v>
      </c>
      <c r="V296" s="2">
        <f t="shared" si="126"/>
        <v>331.37936740225121</v>
      </c>
      <c r="W296" s="19">
        <f t="shared" si="127"/>
        <v>143.45427160270614</v>
      </c>
      <c r="X296" s="20"/>
      <c r="Y296" s="2">
        <f t="shared" si="128"/>
        <v>123.48266608517467</v>
      </c>
      <c r="Z296" s="21">
        <f t="shared" si="129"/>
        <v>1.8528592784991744</v>
      </c>
      <c r="AA296" s="2">
        <f t="shared" si="130"/>
        <v>96.243260638574455</v>
      </c>
      <c r="AB296" s="19">
        <f t="shared" si="133"/>
        <v>64.614430524035399</v>
      </c>
      <c r="AC296" s="2"/>
      <c r="AD296" s="18"/>
      <c r="AE296" s="118"/>
      <c r="AG296" s="2"/>
      <c r="AH296" s="19"/>
      <c r="AI296" s="20"/>
      <c r="AJ296" s="21"/>
      <c r="AK296" s="21"/>
      <c r="AM296" s="19"/>
      <c r="AN296" s="18"/>
      <c r="AO296" s="2"/>
      <c r="AP296" s="18"/>
      <c r="AQ296" s="118"/>
      <c r="AS296" s="2"/>
      <c r="AT296" s="19"/>
      <c r="AU296" s="20"/>
      <c r="AV296" s="21"/>
      <c r="AW296" s="21"/>
      <c r="AY296" s="19"/>
      <c r="AZ296" s="18"/>
      <c r="BA296" s="2"/>
      <c r="BB296" s="18"/>
      <c r="BC296" s="118"/>
      <c r="BE296" s="2"/>
      <c r="BF296" s="19"/>
      <c r="BG296" s="20"/>
      <c r="BH296" s="21"/>
      <c r="BI296" s="21"/>
      <c r="BK296" s="19"/>
      <c r="BL296" s="18"/>
      <c r="BM296" s="2"/>
      <c r="BN296" s="18"/>
      <c r="BO296" s="118"/>
      <c r="BQ296" s="2"/>
      <c r="BR296" s="19"/>
      <c r="BS296" s="20"/>
      <c r="BT296" s="21"/>
      <c r="BU296" s="21"/>
      <c r="BW296" s="19"/>
      <c r="BX296" s="18"/>
      <c r="BY296" s="2"/>
      <c r="BZ296" s="18"/>
      <c r="CA296" s="118"/>
      <c r="CC296" s="2"/>
      <c r="CD296" s="19"/>
      <c r="CE296" s="20"/>
      <c r="CF296" s="21"/>
      <c r="CG296" s="21"/>
      <c r="CI296" s="19"/>
      <c r="CJ296" s="18"/>
      <c r="CK296" s="2"/>
      <c r="CL296" s="18"/>
      <c r="CM296" s="118"/>
      <c r="CO296" s="2"/>
      <c r="CP296" s="19"/>
      <c r="CQ296" s="20"/>
      <c r="CR296" s="21"/>
      <c r="CS296" s="21"/>
    </row>
    <row r="297" spans="1:97" x14ac:dyDescent="0.25">
      <c r="A297" s="1">
        <f t="shared" si="116"/>
        <v>271</v>
      </c>
      <c r="B297" s="19">
        <f t="shared" si="117"/>
        <v>69.872513885142141</v>
      </c>
      <c r="C297" s="18">
        <f t="shared" si="131"/>
        <v>4.0980050491457884</v>
      </c>
      <c r="D297" s="2">
        <f t="shared" si="110"/>
        <v>0.92280095840327747</v>
      </c>
      <c r="E297" s="18">
        <f t="shared" si="118"/>
        <v>4.1133850651191768</v>
      </c>
      <c r="F297" s="21">
        <f t="shared" si="111"/>
        <v>1.2720621427418861</v>
      </c>
      <c r="G297" s="1">
        <f t="shared" si="112"/>
        <v>0</v>
      </c>
      <c r="H297" s="2">
        <f t="shared" si="108"/>
        <v>162.67756921742023</v>
      </c>
      <c r="I297" s="19">
        <f t="shared" si="134"/>
        <v>70.423190137411353</v>
      </c>
      <c r="J297" s="20">
        <f t="shared" si="113"/>
        <v>0.92889917659320753</v>
      </c>
      <c r="K297" s="21">
        <f t="shared" si="114"/>
        <v>50.43478747114294</v>
      </c>
      <c r="L297" s="21">
        <f t="shared" si="109"/>
        <v>0.99178280772336758</v>
      </c>
      <c r="M297" s="2">
        <f t="shared" si="119"/>
        <v>38.868336684023241</v>
      </c>
      <c r="N297" s="19">
        <f t="shared" si="132"/>
        <v>304.98652124914463</v>
      </c>
      <c r="O297" s="1">
        <f t="shared" si="120"/>
        <v>271</v>
      </c>
      <c r="P297" s="19">
        <f t="shared" si="121"/>
        <v>143.45427160270614</v>
      </c>
      <c r="Q297" s="18">
        <f t="shared" si="122"/>
        <v>5.6222777592396165</v>
      </c>
      <c r="R297" s="2">
        <f t="shared" si="123"/>
        <v>0.93617314584369882</v>
      </c>
      <c r="S297" s="18">
        <f t="shared" si="124"/>
        <v>5.637880645003678</v>
      </c>
      <c r="T297" s="18">
        <f t="shared" si="125"/>
        <v>2.3656858408321022</v>
      </c>
      <c r="U297" s="1">
        <f t="shared" si="115"/>
        <v>0</v>
      </c>
      <c r="V297" s="2">
        <f t="shared" si="126"/>
        <v>333.74505324308331</v>
      </c>
      <c r="W297" s="19">
        <f t="shared" si="127"/>
        <v>144.47837802730879</v>
      </c>
      <c r="X297" s="20"/>
      <c r="Y297" s="2">
        <f t="shared" si="128"/>
        <v>124.50700805425497</v>
      </c>
      <c r="Z297" s="21">
        <f t="shared" si="129"/>
        <v>1.8631576195612971</v>
      </c>
      <c r="AA297" s="2">
        <f t="shared" si="130"/>
        <v>97.049822378644279</v>
      </c>
      <c r="AB297" s="19">
        <f t="shared" si="133"/>
        <v>64.746141212763007</v>
      </c>
      <c r="AC297" s="2"/>
      <c r="AD297" s="18"/>
      <c r="AE297" s="118"/>
      <c r="AG297" s="2"/>
      <c r="AH297" s="19"/>
      <c r="AI297" s="20"/>
      <c r="AJ297" s="21"/>
      <c r="AK297" s="21"/>
      <c r="AM297" s="19"/>
      <c r="AN297" s="18"/>
      <c r="AO297" s="2"/>
      <c r="AP297" s="18"/>
      <c r="AQ297" s="118"/>
      <c r="AS297" s="2"/>
      <c r="AT297" s="19"/>
      <c r="AU297" s="20"/>
      <c r="AV297" s="21"/>
      <c r="AW297" s="21"/>
      <c r="AY297" s="19"/>
      <c r="AZ297" s="18"/>
      <c r="BA297" s="2"/>
      <c r="BB297" s="18"/>
      <c r="BC297" s="118"/>
      <c r="BE297" s="2"/>
      <c r="BF297" s="19"/>
      <c r="BG297" s="20"/>
      <c r="BH297" s="21"/>
      <c r="BI297" s="21"/>
      <c r="BK297" s="19"/>
      <c r="BL297" s="18"/>
      <c r="BM297" s="2"/>
      <c r="BN297" s="18"/>
      <c r="BO297" s="118"/>
      <c r="BQ297" s="2"/>
      <c r="BR297" s="19"/>
      <c r="BS297" s="20"/>
      <c r="BT297" s="21"/>
      <c r="BU297" s="21"/>
      <c r="BW297" s="19"/>
      <c r="BX297" s="18"/>
      <c r="BY297" s="2"/>
      <c r="BZ297" s="18"/>
      <c r="CA297" s="118"/>
      <c r="CC297" s="2"/>
      <c r="CD297" s="19"/>
      <c r="CE297" s="20"/>
      <c r="CF297" s="21"/>
      <c r="CG297" s="21"/>
      <c r="CI297" s="19"/>
      <c r="CJ297" s="18"/>
      <c r="CK297" s="2"/>
      <c r="CL297" s="18"/>
      <c r="CM297" s="118"/>
      <c r="CO297" s="2"/>
      <c r="CP297" s="19"/>
      <c r="CQ297" s="20"/>
      <c r="CR297" s="21"/>
      <c r="CS297" s="21"/>
    </row>
    <row r="298" spans="1:97" x14ac:dyDescent="0.25">
      <c r="A298" s="1">
        <f t="shared" si="116"/>
        <v>272</v>
      </c>
      <c r="B298" s="19">
        <f t="shared" si="117"/>
        <v>70.423190137411353</v>
      </c>
      <c r="C298" s="18">
        <f t="shared" si="131"/>
        <v>4.1133850651191768</v>
      </c>
      <c r="D298" s="2">
        <f t="shared" si="110"/>
        <v>0.92294585438028698</v>
      </c>
      <c r="E298" s="18">
        <f t="shared" si="118"/>
        <v>4.1287674960255147</v>
      </c>
      <c r="F298" s="21">
        <f t="shared" si="111"/>
        <v>1.2814379976338368</v>
      </c>
      <c r="G298" s="1">
        <f t="shared" si="112"/>
        <v>0</v>
      </c>
      <c r="H298" s="2">
        <f t="shared" si="108"/>
        <v>163.95900721505407</v>
      </c>
      <c r="I298" s="19">
        <f t="shared" si="134"/>
        <v>70.977925201322108</v>
      </c>
      <c r="J298" s="20">
        <f t="shared" si="113"/>
        <v>0.92884075058517201</v>
      </c>
      <c r="K298" s="21">
        <f t="shared" si="114"/>
        <v>50.989650124118391</v>
      </c>
      <c r="L298" s="21">
        <f t="shared" si="109"/>
        <v>0.99921442719378961</v>
      </c>
      <c r="M298" s="2">
        <f t="shared" si="119"/>
        <v>39.300897042115793</v>
      </c>
      <c r="N298" s="19">
        <f t="shared" si="132"/>
        <v>305.16654671823255</v>
      </c>
      <c r="O298" s="1">
        <f t="shared" si="120"/>
        <v>272</v>
      </c>
      <c r="P298" s="19">
        <f t="shared" si="121"/>
        <v>144.47837802730879</v>
      </c>
      <c r="Q298" s="18">
        <f t="shared" si="122"/>
        <v>5.637880645003678</v>
      </c>
      <c r="R298" s="2">
        <f t="shared" si="123"/>
        <v>0.93630634549039327</v>
      </c>
      <c r="S298" s="18">
        <f t="shared" si="124"/>
        <v>5.6534857507618517</v>
      </c>
      <c r="T298" s="18">
        <f t="shared" si="125"/>
        <v>2.3785932686209503</v>
      </c>
      <c r="U298" s="1">
        <f t="shared" si="115"/>
        <v>0</v>
      </c>
      <c r="V298" s="2">
        <f t="shared" si="126"/>
        <v>336.12364651170424</v>
      </c>
      <c r="W298" s="19">
        <f t="shared" si="127"/>
        <v>145.50807208298883</v>
      </c>
      <c r="X298" s="20"/>
      <c r="Y298" s="2">
        <f t="shared" si="128"/>
        <v>125.53693893956783</v>
      </c>
      <c r="Z298" s="21">
        <f t="shared" si="129"/>
        <v>1.8734859722179094</v>
      </c>
      <c r="AA298" s="2">
        <f t="shared" si="130"/>
        <v>97.860855267050297</v>
      </c>
      <c r="AB298" s="19">
        <f t="shared" si="133"/>
        <v>64.877487390966266</v>
      </c>
      <c r="AC298" s="2"/>
      <c r="AD298" s="18"/>
      <c r="AE298" s="118"/>
      <c r="AG298" s="2"/>
      <c r="AH298" s="19"/>
      <c r="AI298" s="20"/>
      <c r="AJ298" s="21"/>
      <c r="AK298" s="21"/>
      <c r="AM298" s="19"/>
      <c r="AN298" s="18"/>
      <c r="AO298" s="2"/>
      <c r="AP298" s="18"/>
      <c r="AQ298" s="118"/>
      <c r="AS298" s="2"/>
      <c r="AT298" s="19"/>
      <c r="AU298" s="20"/>
      <c r="AV298" s="21"/>
      <c r="AW298" s="21"/>
      <c r="AY298" s="19"/>
      <c r="AZ298" s="18"/>
      <c r="BA298" s="2"/>
      <c r="BB298" s="18"/>
      <c r="BC298" s="118"/>
      <c r="BE298" s="2"/>
      <c r="BF298" s="19"/>
      <c r="BG298" s="20"/>
      <c r="BH298" s="21"/>
      <c r="BI298" s="21"/>
      <c r="BK298" s="19"/>
      <c r="BL298" s="18"/>
      <c r="BM298" s="2"/>
      <c r="BN298" s="18"/>
      <c r="BO298" s="118"/>
      <c r="BQ298" s="2"/>
      <c r="BR298" s="19"/>
      <c r="BS298" s="20"/>
      <c r="BT298" s="21"/>
      <c r="BU298" s="21"/>
      <c r="BW298" s="19"/>
      <c r="BX298" s="18"/>
      <c r="BY298" s="2"/>
      <c r="BZ298" s="18"/>
      <c r="CA298" s="118"/>
      <c r="CC298" s="2"/>
      <c r="CD298" s="19"/>
      <c r="CE298" s="20"/>
      <c r="CF298" s="21"/>
      <c r="CG298" s="21"/>
      <c r="CI298" s="19"/>
      <c r="CJ298" s="18"/>
      <c r="CK298" s="2"/>
      <c r="CL298" s="18"/>
      <c r="CM298" s="118"/>
      <c r="CO298" s="2"/>
      <c r="CP298" s="19"/>
      <c r="CQ298" s="20"/>
      <c r="CR298" s="21"/>
      <c r="CS298" s="21"/>
    </row>
    <row r="299" spans="1:97" x14ac:dyDescent="0.25">
      <c r="A299" s="1">
        <f t="shared" si="116"/>
        <v>273</v>
      </c>
      <c r="B299" s="19">
        <f t="shared" si="117"/>
        <v>70.977925201322108</v>
      </c>
      <c r="C299" s="18">
        <f t="shared" si="131"/>
        <v>4.1287674960255147</v>
      </c>
      <c r="D299" s="2">
        <f t="shared" si="110"/>
        <v>0.92309069997860049</v>
      </c>
      <c r="E299" s="18">
        <f t="shared" si="118"/>
        <v>4.1441523410251584</v>
      </c>
      <c r="F299" s="21">
        <f t="shared" si="111"/>
        <v>1.2908492527341902</v>
      </c>
      <c r="G299" s="1">
        <f t="shared" si="112"/>
        <v>0</v>
      </c>
      <c r="H299" s="2">
        <f t="shared" si="108"/>
        <v>165.24985646778825</v>
      </c>
      <c r="I299" s="19">
        <f t="shared" si="134"/>
        <v>71.536734401639933</v>
      </c>
      <c r="J299" s="20">
        <f t="shared" si="113"/>
        <v>0.9287822172695156</v>
      </c>
      <c r="K299" s="21">
        <f t="shared" si="114"/>
        <v>51.548587850552295</v>
      </c>
      <c r="L299" s="21">
        <f t="shared" si="109"/>
        <v>1.0066749589467345</v>
      </c>
      <c r="M299" s="2">
        <f t="shared" si="119"/>
        <v>39.736687067633859</v>
      </c>
      <c r="N299" s="19">
        <f t="shared" si="132"/>
        <v>305.34590147158212</v>
      </c>
      <c r="O299" s="1">
        <f t="shared" si="120"/>
        <v>273</v>
      </c>
      <c r="P299" s="19">
        <f t="shared" si="121"/>
        <v>145.50807208298883</v>
      </c>
      <c r="Q299" s="18">
        <f t="shared" si="122"/>
        <v>5.6534857507618517</v>
      </c>
      <c r="R299" s="2">
        <f t="shared" si="123"/>
        <v>0.93643934227028314</v>
      </c>
      <c r="S299" s="18">
        <f t="shared" si="124"/>
        <v>5.6690930731330234</v>
      </c>
      <c r="T299" s="18">
        <f t="shared" si="125"/>
        <v>2.3915371580433251</v>
      </c>
      <c r="U299" s="1">
        <f t="shared" si="115"/>
        <v>0</v>
      </c>
      <c r="V299" s="2">
        <f t="shared" si="126"/>
        <v>338.51518366974756</v>
      </c>
      <c r="W299" s="19">
        <f t="shared" si="127"/>
        <v>146.54336955400328</v>
      </c>
      <c r="X299" s="20"/>
      <c r="Y299" s="2">
        <f t="shared" si="128"/>
        <v>126.57247452900059</v>
      </c>
      <c r="Z299" s="21">
        <f t="shared" si="129"/>
        <v>1.8838443464058541</v>
      </c>
      <c r="AA299" s="2">
        <f t="shared" si="130"/>
        <v>98.676372300126431</v>
      </c>
      <c r="AB299" s="19">
        <f t="shared" si="133"/>
        <v>65.008471019215023</v>
      </c>
      <c r="AC299" s="2"/>
      <c r="AD299" s="18"/>
      <c r="AE299" s="118"/>
      <c r="AG299" s="2"/>
      <c r="AH299" s="19"/>
      <c r="AI299" s="20"/>
      <c r="AJ299" s="21"/>
      <c r="AK299" s="21"/>
      <c r="AM299" s="19"/>
      <c r="AN299" s="18"/>
      <c r="AO299" s="2"/>
      <c r="AP299" s="18"/>
      <c r="AQ299" s="118"/>
      <c r="AS299" s="2"/>
      <c r="AT299" s="19"/>
      <c r="AU299" s="20"/>
      <c r="AV299" s="21"/>
      <c r="AW299" s="21"/>
      <c r="AY299" s="19"/>
      <c r="AZ299" s="18"/>
      <c r="BA299" s="2"/>
      <c r="BB299" s="18"/>
      <c r="BC299" s="118"/>
      <c r="BE299" s="2"/>
      <c r="BF299" s="19"/>
      <c r="BG299" s="20"/>
      <c r="BH299" s="21"/>
      <c r="BI299" s="21"/>
      <c r="BK299" s="19"/>
      <c r="BL299" s="18"/>
      <c r="BM299" s="2"/>
      <c r="BN299" s="18"/>
      <c r="BO299" s="118"/>
      <c r="BQ299" s="2"/>
      <c r="BR299" s="19"/>
      <c r="BS299" s="20"/>
      <c r="BT299" s="21"/>
      <c r="BU299" s="21"/>
      <c r="BW299" s="19"/>
      <c r="BX299" s="18"/>
      <c r="BY299" s="2"/>
      <c r="BZ299" s="18"/>
      <c r="CA299" s="118"/>
      <c r="CC299" s="2"/>
      <c r="CD299" s="19"/>
      <c r="CE299" s="20"/>
      <c r="CF299" s="21"/>
      <c r="CG299" s="21"/>
      <c r="CI299" s="19"/>
      <c r="CJ299" s="18"/>
      <c r="CK299" s="2"/>
      <c r="CL299" s="18"/>
      <c r="CM299" s="118"/>
      <c r="CO299" s="2"/>
      <c r="CP299" s="19"/>
      <c r="CQ299" s="20"/>
      <c r="CR299" s="21"/>
      <c r="CS299" s="21"/>
    </row>
    <row r="300" spans="1:97" x14ac:dyDescent="0.25">
      <c r="A300" s="1">
        <f t="shared" si="116"/>
        <v>274</v>
      </c>
      <c r="B300" s="19">
        <f t="shared" si="117"/>
        <v>71.536734401639933</v>
      </c>
      <c r="C300" s="18">
        <f t="shared" si="131"/>
        <v>4.1441523410251584</v>
      </c>
      <c r="D300" s="2">
        <f t="shared" si="110"/>
        <v>0.92323549200929833</v>
      </c>
      <c r="E300" s="18">
        <f t="shared" si="118"/>
        <v>4.1595395992253135</v>
      </c>
      <c r="F300" s="21">
        <f t="shared" si="111"/>
        <v>1.3002959200632458</v>
      </c>
      <c r="G300" s="1">
        <f t="shared" si="112"/>
        <v>0</v>
      </c>
      <c r="H300" s="2">
        <f t="shared" si="108"/>
        <v>166.55015238785148</v>
      </c>
      <c r="I300" s="19">
        <f t="shared" si="134"/>
        <v>72.099633068333972</v>
      </c>
      <c r="J300" s="20">
        <f t="shared" si="113"/>
        <v>0.92872357813818385</v>
      </c>
      <c r="K300" s="21">
        <f t="shared" si="114"/>
        <v>52.111615983939679</v>
      </c>
      <c r="L300" s="21">
        <f t="shared" si="109"/>
        <v>1.0141644156090448</v>
      </c>
      <c r="M300" s="2">
        <f t="shared" si="119"/>
        <v>40.175719282183231</v>
      </c>
      <c r="N300" s="19">
        <f t="shared" si="132"/>
        <v>305.52459038428367</v>
      </c>
      <c r="O300" s="1">
        <f t="shared" si="120"/>
        <v>274</v>
      </c>
      <c r="P300" s="19">
        <f t="shared" si="121"/>
        <v>146.54336955400328</v>
      </c>
      <c r="Q300" s="18">
        <f t="shared" si="122"/>
        <v>5.6690930731330234</v>
      </c>
      <c r="R300" s="2">
        <f t="shared" si="123"/>
        <v>0.93657213614764567</v>
      </c>
      <c r="S300" s="18">
        <f t="shared" si="124"/>
        <v>5.6847026087354839</v>
      </c>
      <c r="T300" s="18">
        <f t="shared" si="125"/>
        <v>2.4045175185601275</v>
      </c>
      <c r="U300" s="1">
        <f t="shared" si="115"/>
        <v>0</v>
      </c>
      <c r="V300" s="2">
        <f t="shared" si="126"/>
        <v>340.91970118830767</v>
      </c>
      <c r="W300" s="19">
        <f t="shared" si="127"/>
        <v>147.58428622870463</v>
      </c>
      <c r="X300" s="20"/>
      <c r="Y300" s="2">
        <f t="shared" si="128"/>
        <v>127.61363061453713</v>
      </c>
      <c r="Z300" s="21">
        <f t="shared" si="129"/>
        <v>1.8942327520385605</v>
      </c>
      <c r="AA300" s="2">
        <f t="shared" si="130"/>
        <v>99.496386478498096</v>
      </c>
      <c r="AB300" s="19">
        <f t="shared" si="133"/>
        <v>65.139094042392543</v>
      </c>
      <c r="AC300" s="2"/>
      <c r="AD300" s="18"/>
      <c r="AE300" s="118"/>
      <c r="AG300" s="2"/>
      <c r="AH300" s="19"/>
      <c r="AI300" s="20"/>
      <c r="AJ300" s="21"/>
      <c r="AK300" s="21"/>
      <c r="AM300" s="19"/>
      <c r="AN300" s="18"/>
      <c r="AO300" s="2"/>
      <c r="AP300" s="18"/>
      <c r="AQ300" s="118"/>
      <c r="AS300" s="2"/>
      <c r="AT300" s="19"/>
      <c r="AU300" s="20"/>
      <c r="AV300" s="21"/>
      <c r="AW300" s="21"/>
      <c r="AY300" s="19"/>
      <c r="AZ300" s="18"/>
      <c r="BA300" s="2"/>
      <c r="BB300" s="18"/>
      <c r="BC300" s="118"/>
      <c r="BE300" s="2"/>
      <c r="BF300" s="19"/>
      <c r="BG300" s="20"/>
      <c r="BH300" s="21"/>
      <c r="BI300" s="21"/>
      <c r="BK300" s="19"/>
      <c r="BL300" s="18"/>
      <c r="BM300" s="2"/>
      <c r="BN300" s="18"/>
      <c r="BO300" s="118"/>
      <c r="BQ300" s="2"/>
      <c r="BR300" s="19"/>
      <c r="BS300" s="20"/>
      <c r="BT300" s="21"/>
      <c r="BU300" s="21"/>
      <c r="BW300" s="19"/>
      <c r="BX300" s="18"/>
      <c r="BY300" s="2"/>
      <c r="BZ300" s="18"/>
      <c r="CA300" s="118"/>
      <c r="CC300" s="2"/>
      <c r="CD300" s="19"/>
      <c r="CE300" s="20"/>
      <c r="CF300" s="21"/>
      <c r="CG300" s="21"/>
      <c r="CI300" s="19"/>
      <c r="CJ300" s="18"/>
      <c r="CK300" s="2"/>
      <c r="CL300" s="18"/>
      <c r="CM300" s="118"/>
      <c r="CO300" s="2"/>
      <c r="CP300" s="19"/>
      <c r="CQ300" s="20"/>
      <c r="CR300" s="21"/>
      <c r="CS300" s="21"/>
    </row>
    <row r="301" spans="1:97" x14ac:dyDescent="0.25">
      <c r="A301" s="1">
        <f t="shared" si="116"/>
        <v>275</v>
      </c>
      <c r="B301" s="19">
        <f t="shared" si="117"/>
        <v>72.099633068333972</v>
      </c>
      <c r="C301" s="18">
        <f t="shared" si="131"/>
        <v>4.1595395992253135</v>
      </c>
      <c r="D301" s="2">
        <f t="shared" si="110"/>
        <v>0.92338022733835723</v>
      </c>
      <c r="E301" s="18">
        <f t="shared" si="118"/>
        <v>4.1749292696809528</v>
      </c>
      <c r="F301" s="21">
        <f t="shared" si="111"/>
        <v>1.3097780116149718</v>
      </c>
      <c r="G301" s="1">
        <f t="shared" si="112"/>
        <v>0</v>
      </c>
      <c r="H301" s="2">
        <f t="shared" si="108"/>
        <v>167.85993039946646</v>
      </c>
      <c r="I301" s="19">
        <f t="shared" si="134"/>
        <v>72.666636536565562</v>
      </c>
      <c r="J301" s="20">
        <f t="shared" si="113"/>
        <v>0.9286648346730646</v>
      </c>
      <c r="K301" s="21">
        <f t="shared" si="114"/>
        <v>52.678749862968964</v>
      </c>
      <c r="L301" s="21">
        <f t="shared" si="109"/>
        <v>1.0216828097776045</v>
      </c>
      <c r="M301" s="2">
        <f t="shared" si="119"/>
        <v>40.618006212822884</v>
      </c>
      <c r="N301" s="19">
        <f t="shared" si="132"/>
        <v>305.70261827853074</v>
      </c>
      <c r="O301" s="1">
        <f t="shared" si="120"/>
        <v>275</v>
      </c>
      <c r="P301" s="19">
        <f t="shared" si="121"/>
        <v>147.58428622870463</v>
      </c>
      <c r="Q301" s="18">
        <f t="shared" si="122"/>
        <v>5.6847026087354839</v>
      </c>
      <c r="R301" s="2">
        <f t="shared" si="123"/>
        <v>0.93670472709734809</v>
      </c>
      <c r="S301" s="18">
        <f t="shared" si="124"/>
        <v>5.700314354187106</v>
      </c>
      <c r="T301" s="18">
        <f t="shared" si="125"/>
        <v>2.4175343596097041</v>
      </c>
      <c r="U301" s="1">
        <f t="shared" si="115"/>
        <v>0</v>
      </c>
      <c r="V301" s="2">
        <f t="shared" si="126"/>
        <v>343.33723554791737</v>
      </c>
      <c r="W301" s="19">
        <f t="shared" si="127"/>
        <v>148.63083789953131</v>
      </c>
      <c r="X301" s="20"/>
      <c r="Y301" s="2">
        <f t="shared" si="128"/>
        <v>128.66042299224813</v>
      </c>
      <c r="Z301" s="21">
        <f t="shared" si="129"/>
        <v>1.9046511990061519</v>
      </c>
      <c r="AA301" s="2">
        <f t="shared" si="130"/>
        <v>100.32091080707218</v>
      </c>
      <c r="AB301" s="19">
        <f t="shared" si="133"/>
        <v>65.269358389862447</v>
      </c>
      <c r="AC301" s="2"/>
      <c r="AD301" s="18"/>
      <c r="AE301" s="118"/>
      <c r="AG301" s="2"/>
      <c r="AH301" s="19"/>
      <c r="AI301" s="20"/>
      <c r="AJ301" s="21"/>
      <c r="AK301" s="21"/>
      <c r="AM301" s="19"/>
      <c r="AN301" s="18"/>
      <c r="AO301" s="2"/>
      <c r="AP301" s="18"/>
      <c r="AQ301" s="118"/>
      <c r="AS301" s="2"/>
      <c r="AT301" s="19"/>
      <c r="AU301" s="20"/>
      <c r="AV301" s="21"/>
      <c r="AW301" s="21"/>
      <c r="AY301" s="19"/>
      <c r="AZ301" s="18"/>
      <c r="BA301" s="2"/>
      <c r="BB301" s="18"/>
      <c r="BC301" s="118"/>
      <c r="BE301" s="2"/>
      <c r="BF301" s="19"/>
      <c r="BG301" s="20"/>
      <c r="BH301" s="21"/>
      <c r="BI301" s="21"/>
      <c r="BK301" s="19"/>
      <c r="BL301" s="18"/>
      <c r="BM301" s="2"/>
      <c r="BN301" s="18"/>
      <c r="BO301" s="118"/>
      <c r="BQ301" s="2"/>
      <c r="BR301" s="19"/>
      <c r="BS301" s="20"/>
      <c r="BT301" s="21"/>
      <c r="BU301" s="21"/>
      <c r="BW301" s="19"/>
      <c r="BX301" s="18"/>
      <c r="BY301" s="2"/>
      <c r="BZ301" s="18"/>
      <c r="CA301" s="118"/>
      <c r="CC301" s="2"/>
      <c r="CD301" s="19"/>
      <c r="CE301" s="20"/>
      <c r="CF301" s="21"/>
      <c r="CG301" s="21"/>
      <c r="CI301" s="19"/>
      <c r="CJ301" s="18"/>
      <c r="CK301" s="2"/>
      <c r="CL301" s="18"/>
      <c r="CM301" s="118"/>
      <c r="CO301" s="2"/>
      <c r="CP301" s="19"/>
      <c r="CQ301" s="20"/>
      <c r="CR301" s="21"/>
      <c r="CS301" s="21"/>
    </row>
    <row r="302" spans="1:97" x14ac:dyDescent="0.25">
      <c r="A302" s="1">
        <f t="shared" si="116"/>
        <v>276</v>
      </c>
      <c r="B302" s="19">
        <f t="shared" si="117"/>
        <v>72.666636536565562</v>
      </c>
      <c r="C302" s="18">
        <f t="shared" si="131"/>
        <v>4.1749292696809528</v>
      </c>
      <c r="D302" s="2">
        <f t="shared" si="110"/>
        <v>0.92352490288604205</v>
      </c>
      <c r="E302" s="18">
        <f t="shared" si="118"/>
        <v>4.1903213513957205</v>
      </c>
      <c r="F302" s="21">
        <f t="shared" si="111"/>
        <v>1.3192955393568924</v>
      </c>
      <c r="G302" s="1">
        <f t="shared" si="112"/>
        <v>0</v>
      </c>
      <c r="H302" s="2">
        <f t="shared" si="108"/>
        <v>169.17922593882335</v>
      </c>
      <c r="I302" s="19">
        <f t="shared" si="134"/>
        <v>73.237760146676777</v>
      </c>
      <c r="J302" s="20">
        <f t="shared" si="113"/>
        <v>0.92860598834595964</v>
      </c>
      <c r="K302" s="21">
        <f t="shared" si="114"/>
        <v>53.250004831510495</v>
      </c>
      <c r="L302" s="21">
        <f t="shared" si="109"/>
        <v>1.0292301540193101</v>
      </c>
      <c r="M302" s="2">
        <f t="shared" si="119"/>
        <v>41.063560392052025</v>
      </c>
      <c r="N302" s="19">
        <f t="shared" si="132"/>
        <v>305.87998992438474</v>
      </c>
      <c r="O302" s="1">
        <f t="shared" si="120"/>
        <v>276</v>
      </c>
      <c r="P302" s="19">
        <f t="shared" si="121"/>
        <v>148.63083789953131</v>
      </c>
      <c r="Q302" s="18">
        <f t="shared" si="122"/>
        <v>5.700314354187106</v>
      </c>
      <c r="R302" s="2">
        <f t="shared" si="123"/>
        <v>0.93683711510463685</v>
      </c>
      <c r="S302" s="18">
        <f t="shared" si="124"/>
        <v>5.7159283061055168</v>
      </c>
      <c r="T302" s="18">
        <f t="shared" si="125"/>
        <v>2.4305876906079362</v>
      </c>
      <c r="U302" s="1">
        <f t="shared" si="115"/>
        <v>0</v>
      </c>
      <c r="V302" s="2">
        <f t="shared" si="126"/>
        <v>345.7678232385253</v>
      </c>
      <c r="W302" s="19">
        <f t="shared" si="127"/>
        <v>149.68304036299796</v>
      </c>
      <c r="X302" s="20"/>
      <c r="Y302" s="2">
        <f t="shared" si="128"/>
        <v>129.71286746228137</v>
      </c>
      <c r="Z302" s="21">
        <f t="shared" si="129"/>
        <v>1.9150996971755436</v>
      </c>
      <c r="AA302" s="2">
        <f t="shared" si="130"/>
        <v>101.14995829502696</v>
      </c>
      <c r="AB302" s="19">
        <f t="shared" si="133"/>
        <v>65.399265975633298</v>
      </c>
      <c r="AC302" s="2"/>
      <c r="AD302" s="18"/>
      <c r="AE302" s="118"/>
      <c r="AG302" s="2"/>
      <c r="AH302" s="19"/>
      <c r="AI302" s="20"/>
      <c r="AJ302" s="21"/>
      <c r="AK302" s="21"/>
      <c r="AM302" s="19"/>
      <c r="AN302" s="18"/>
      <c r="AO302" s="2"/>
      <c r="AP302" s="18"/>
      <c r="AQ302" s="118"/>
      <c r="AS302" s="2"/>
      <c r="AT302" s="19"/>
      <c r="AU302" s="20"/>
      <c r="AV302" s="21"/>
      <c r="AW302" s="21"/>
      <c r="AY302" s="19"/>
      <c r="AZ302" s="18"/>
      <c r="BA302" s="2"/>
      <c r="BB302" s="18"/>
      <c r="BC302" s="118"/>
      <c r="BE302" s="2"/>
      <c r="BF302" s="19"/>
      <c r="BG302" s="20"/>
      <c r="BH302" s="21"/>
      <c r="BI302" s="21"/>
      <c r="BK302" s="19"/>
      <c r="BL302" s="18"/>
      <c r="BM302" s="2"/>
      <c r="BN302" s="18"/>
      <c r="BO302" s="118"/>
      <c r="BQ302" s="2"/>
      <c r="BR302" s="19"/>
      <c r="BS302" s="20"/>
      <c r="BT302" s="21"/>
      <c r="BU302" s="21"/>
      <c r="BW302" s="19"/>
      <c r="BX302" s="18"/>
      <c r="BY302" s="2"/>
      <c r="BZ302" s="18"/>
      <c r="CA302" s="118"/>
      <c r="CC302" s="2"/>
      <c r="CD302" s="19"/>
      <c r="CE302" s="20"/>
      <c r="CF302" s="21"/>
      <c r="CG302" s="21"/>
      <c r="CI302" s="19"/>
      <c r="CJ302" s="18"/>
      <c r="CK302" s="2"/>
      <c r="CL302" s="18"/>
      <c r="CM302" s="118"/>
      <c r="CO302" s="2"/>
      <c r="CP302" s="19"/>
      <c r="CQ302" s="20"/>
      <c r="CR302" s="21"/>
      <c r="CS302" s="21"/>
    </row>
    <row r="303" spans="1:97" x14ac:dyDescent="0.25">
      <c r="A303" s="1">
        <f t="shared" si="116"/>
        <v>277</v>
      </c>
      <c r="B303" s="19">
        <f t="shared" si="117"/>
        <v>73.237760146676777</v>
      </c>
      <c r="C303" s="18">
        <f t="shared" si="131"/>
        <v>4.1903213513957205</v>
      </c>
      <c r="D303" s="2">
        <f t="shared" si="110"/>
        <v>0.92366951562629807</v>
      </c>
      <c r="E303" s="18">
        <f t="shared" si="118"/>
        <v>4.2057158433228254</v>
      </c>
      <c r="F303" s="21">
        <f t="shared" si="111"/>
        <v>1.3288485152299856</v>
      </c>
      <c r="G303" s="1">
        <f t="shared" si="112"/>
        <v>0</v>
      </c>
      <c r="H303" s="2">
        <f t="shared" si="108"/>
        <v>170.50807445405334</v>
      </c>
      <c r="I303" s="19">
        <f t="shared" si="134"/>
        <v>73.813019244178932</v>
      </c>
      <c r="J303" s="20">
        <f t="shared" si="113"/>
        <v>0.92854704061855997</v>
      </c>
      <c r="K303" s="21">
        <f t="shared" si="114"/>
        <v>53.82539623860508</v>
      </c>
      <c r="L303" s="21">
        <f t="shared" si="109"/>
        <v>1.036806460871045</v>
      </c>
      <c r="M303" s="2">
        <f t="shared" si="119"/>
        <v>41.512394357797064</v>
      </c>
      <c r="N303" s="19">
        <f t="shared" si="132"/>
        <v>306.0567100405259</v>
      </c>
      <c r="O303" s="1">
        <f t="shared" si="120"/>
        <v>277</v>
      </c>
      <c r="P303" s="19">
        <f t="shared" si="121"/>
        <v>149.68304036299796</v>
      </c>
      <c r="Q303" s="18">
        <f t="shared" si="122"/>
        <v>5.7159283061055168</v>
      </c>
      <c r="R303" s="2">
        <f t="shared" si="123"/>
        <v>0.93696930016493218</v>
      </c>
      <c r="S303" s="18">
        <f t="shared" si="124"/>
        <v>5.7315444611082658</v>
      </c>
      <c r="T303" s="18">
        <f t="shared" si="125"/>
        <v>2.4436775209483486</v>
      </c>
      <c r="U303" s="1">
        <f t="shared" si="115"/>
        <v>0</v>
      </c>
      <c r="V303" s="2">
        <f t="shared" si="126"/>
        <v>348.21150075947367</v>
      </c>
      <c r="W303" s="19">
        <f t="shared" si="127"/>
        <v>150.74090941968558</v>
      </c>
      <c r="X303" s="20"/>
      <c r="Y303" s="2">
        <f t="shared" si="128"/>
        <v>130.77097982885201</v>
      </c>
      <c r="Z303" s="21">
        <f t="shared" si="129"/>
        <v>1.9255782563905499</v>
      </c>
      <c r="AA303" s="2">
        <f t="shared" si="130"/>
        <v>101.9835419558021</v>
      </c>
      <c r="AB303" s="19">
        <f t="shared" si="133"/>
        <v>65.528818698521093</v>
      </c>
      <c r="AC303" s="2"/>
      <c r="AD303" s="18"/>
      <c r="AE303" s="118"/>
      <c r="AG303" s="2"/>
      <c r="AH303" s="19"/>
      <c r="AI303" s="20"/>
      <c r="AJ303" s="21"/>
      <c r="AK303" s="21"/>
      <c r="AM303" s="19"/>
      <c r="AN303" s="18"/>
      <c r="AO303" s="2"/>
      <c r="AP303" s="18"/>
      <c r="AQ303" s="118"/>
      <c r="AS303" s="2"/>
      <c r="AT303" s="19"/>
      <c r="AU303" s="20"/>
      <c r="AV303" s="21"/>
      <c r="AW303" s="21"/>
      <c r="AY303" s="19"/>
      <c r="AZ303" s="18"/>
      <c r="BA303" s="2"/>
      <c r="BB303" s="18"/>
      <c r="BC303" s="118"/>
      <c r="BE303" s="2"/>
      <c r="BF303" s="19"/>
      <c r="BG303" s="20"/>
      <c r="BH303" s="21"/>
      <c r="BI303" s="21"/>
      <c r="BK303" s="19"/>
      <c r="BL303" s="18"/>
      <c r="BM303" s="2"/>
      <c r="BN303" s="18"/>
      <c r="BO303" s="118"/>
      <c r="BQ303" s="2"/>
      <c r="BR303" s="19"/>
      <c r="BS303" s="20"/>
      <c r="BT303" s="21"/>
      <c r="BU303" s="21"/>
      <c r="BW303" s="19"/>
      <c r="BX303" s="18"/>
      <c r="BY303" s="2"/>
      <c r="BZ303" s="18"/>
      <c r="CA303" s="118"/>
      <c r="CC303" s="2"/>
      <c r="CD303" s="19"/>
      <c r="CE303" s="20"/>
      <c r="CF303" s="21"/>
      <c r="CG303" s="21"/>
      <c r="CI303" s="19"/>
      <c r="CJ303" s="18"/>
      <c r="CK303" s="2"/>
      <c r="CL303" s="18"/>
      <c r="CM303" s="118"/>
      <c r="CO303" s="2"/>
      <c r="CP303" s="19"/>
      <c r="CQ303" s="20"/>
      <c r="CR303" s="21"/>
      <c r="CS303" s="21"/>
    </row>
    <row r="304" spans="1:97" x14ac:dyDescent="0.25">
      <c r="A304" s="1">
        <f t="shared" si="116"/>
        <v>278</v>
      </c>
      <c r="B304" s="19">
        <f t="shared" si="117"/>
        <v>73.813019244178932</v>
      </c>
      <c r="C304" s="18">
        <f t="shared" si="131"/>
        <v>4.2057158433228254</v>
      </c>
      <c r="D304" s="2">
        <f t="shared" si="110"/>
        <v>0.92381406258614174</v>
      </c>
      <c r="E304" s="18">
        <f t="shared" si="118"/>
        <v>4.2211127443659278</v>
      </c>
      <c r="F304" s="21">
        <f t="shared" si="111"/>
        <v>1.3384369511485863</v>
      </c>
      <c r="G304" s="1">
        <f t="shared" si="112"/>
        <v>0</v>
      </c>
      <c r="H304" s="2">
        <f t="shared" si="108"/>
        <v>171.84651140520194</v>
      </c>
      <c r="I304" s="19">
        <f t="shared" si="134"/>
        <v>74.3924291797411</v>
      </c>
      <c r="J304" s="20">
        <f t="shared" si="113"/>
        <v>0.92848799294242235</v>
      </c>
      <c r="K304" s="21">
        <f t="shared" si="114"/>
        <v>54.404939438452416</v>
      </c>
      <c r="L304" s="21">
        <f t="shared" si="109"/>
        <v>1.0444117428396607</v>
      </c>
      <c r="M304" s="2">
        <f t="shared" si="119"/>
        <v>41.964520653398651</v>
      </c>
      <c r="N304" s="19">
        <f t="shared" si="132"/>
        <v>306.23278329499055</v>
      </c>
      <c r="O304" s="1">
        <f t="shared" si="120"/>
        <v>278</v>
      </c>
      <c r="P304" s="19">
        <f t="shared" si="121"/>
        <v>150.74090941968558</v>
      </c>
      <c r="Q304" s="18">
        <f t="shared" si="122"/>
        <v>5.7315444611082658</v>
      </c>
      <c r="R304" s="2">
        <f t="shared" si="123"/>
        <v>0.93710128228362477</v>
      </c>
      <c r="S304" s="18">
        <f t="shared" si="124"/>
        <v>5.7471628158129926</v>
      </c>
      <c r="T304" s="18">
        <f t="shared" si="125"/>
        <v>2.4568038600022</v>
      </c>
      <c r="U304" s="1">
        <f t="shared" si="115"/>
        <v>0</v>
      </c>
      <c r="V304" s="2">
        <f t="shared" si="126"/>
        <v>350.66830461947592</v>
      </c>
      <c r="W304" s="19">
        <f t="shared" si="127"/>
        <v>151.80446087423201</v>
      </c>
      <c r="X304" s="20"/>
      <c r="Y304" s="2">
        <f t="shared" si="128"/>
        <v>131.83477590023296</v>
      </c>
      <c r="Z304" s="21">
        <f t="shared" si="129"/>
        <v>1.9360868864719851</v>
      </c>
      <c r="AA304" s="2">
        <f t="shared" si="130"/>
        <v>102.82167480708867</v>
      </c>
      <c r="AB304" s="19">
        <f t="shared" si="133"/>
        <v>65.658018442309555</v>
      </c>
      <c r="AC304" s="2"/>
      <c r="AD304" s="18"/>
      <c r="AE304" s="118"/>
      <c r="AG304" s="2"/>
      <c r="AH304" s="19"/>
      <c r="AI304" s="20"/>
      <c r="AJ304" s="21"/>
      <c r="AK304" s="21"/>
      <c r="AM304" s="19"/>
      <c r="AN304" s="18"/>
      <c r="AO304" s="2"/>
      <c r="AP304" s="18"/>
      <c r="AQ304" s="118"/>
      <c r="AS304" s="2"/>
      <c r="AT304" s="19"/>
      <c r="AU304" s="20"/>
      <c r="AV304" s="21"/>
      <c r="AW304" s="21"/>
      <c r="AY304" s="19"/>
      <c r="AZ304" s="18"/>
      <c r="BA304" s="2"/>
      <c r="BB304" s="18"/>
      <c r="BC304" s="118"/>
      <c r="BE304" s="2"/>
      <c r="BF304" s="19"/>
      <c r="BG304" s="20"/>
      <c r="BH304" s="21"/>
      <c r="BI304" s="21"/>
      <c r="BK304" s="19"/>
      <c r="BL304" s="18"/>
      <c r="BM304" s="2"/>
      <c r="BN304" s="18"/>
      <c r="BO304" s="118"/>
      <c r="BQ304" s="2"/>
      <c r="BR304" s="19"/>
      <c r="BS304" s="20"/>
      <c r="BT304" s="21"/>
      <c r="BU304" s="21"/>
      <c r="BW304" s="19"/>
      <c r="BX304" s="18"/>
      <c r="BY304" s="2"/>
      <c r="BZ304" s="18"/>
      <c r="CA304" s="118"/>
      <c r="CC304" s="2"/>
      <c r="CD304" s="19"/>
      <c r="CE304" s="20"/>
      <c r="CF304" s="21"/>
      <c r="CG304" s="21"/>
      <c r="CI304" s="19"/>
      <c r="CJ304" s="18"/>
      <c r="CK304" s="2"/>
      <c r="CL304" s="18"/>
      <c r="CM304" s="118"/>
      <c r="CO304" s="2"/>
      <c r="CP304" s="19"/>
      <c r="CQ304" s="20"/>
      <c r="CR304" s="21"/>
      <c r="CS304" s="21"/>
    </row>
    <row r="305" spans="1:97" x14ac:dyDescent="0.25">
      <c r="A305" s="1">
        <f t="shared" si="116"/>
        <v>279</v>
      </c>
      <c r="B305" s="19">
        <f t="shared" si="117"/>
        <v>74.3924291797411</v>
      </c>
      <c r="C305" s="18">
        <f t="shared" si="131"/>
        <v>4.2211127443659278</v>
      </c>
      <c r="D305" s="2">
        <f t="shared" si="110"/>
        <v>0.92395854084505369</v>
      </c>
      <c r="E305" s="18">
        <f t="shared" si="118"/>
        <v>4.2365120533800118</v>
      </c>
      <c r="F305" s="21">
        <f t="shared" si="111"/>
        <v>1.348060859000294</v>
      </c>
      <c r="G305" s="1">
        <f t="shared" si="112"/>
        <v>0</v>
      </c>
      <c r="H305" s="2">
        <f t="shared" si="108"/>
        <v>173.19457226420224</v>
      </c>
      <c r="I305" s="19">
        <f t="shared" si="134"/>
        <v>74.976005309178461</v>
      </c>
      <c r="J305" s="20">
        <f t="shared" si="113"/>
        <v>0.92842884675895121</v>
      </c>
      <c r="K305" s="21">
        <f t="shared" si="114"/>
        <v>54.988649790399542</v>
      </c>
      <c r="L305" s="21">
        <f t="shared" si="109"/>
        <v>1.0520460124019579</v>
      </c>
      <c r="M305" s="2">
        <f t="shared" si="119"/>
        <v>42.419951827598631</v>
      </c>
      <c r="N305" s="19">
        <f t="shared" si="132"/>
        <v>306.4082143058954</v>
      </c>
      <c r="O305" s="1">
        <f t="shared" si="120"/>
        <v>279</v>
      </c>
      <c r="P305" s="19">
        <f t="shared" si="121"/>
        <v>151.80446087423201</v>
      </c>
      <c r="Q305" s="18">
        <f t="shared" si="122"/>
        <v>5.7471628158129926</v>
      </c>
      <c r="R305" s="2">
        <f t="shared" si="123"/>
        <v>0.93723306147587682</v>
      </c>
      <c r="S305" s="18">
        <f t="shared" si="124"/>
        <v>5.7627833668375903</v>
      </c>
      <c r="T305" s="18">
        <f t="shared" si="125"/>
        <v>2.4699667171185857</v>
      </c>
      <c r="U305" s="1">
        <f t="shared" si="115"/>
        <v>0</v>
      </c>
      <c r="V305" s="2">
        <f t="shared" si="126"/>
        <v>353.13827133659453</v>
      </c>
      <c r="W305" s="19">
        <f t="shared" si="127"/>
        <v>152.87371053532229</v>
      </c>
      <c r="X305" s="20"/>
      <c r="Y305" s="2">
        <f t="shared" si="128"/>
        <v>132.90427148874531</v>
      </c>
      <c r="Z305" s="21">
        <f t="shared" si="129"/>
        <v>1.9466255972177635</v>
      </c>
      <c r="AA305" s="2">
        <f t="shared" si="130"/>
        <v>103.6643698708193</v>
      </c>
      <c r="AB305" s="19">
        <f t="shared" si="133"/>
        <v>65.786867075908361</v>
      </c>
      <c r="AC305" s="2"/>
      <c r="AD305" s="18"/>
      <c r="AE305" s="118"/>
      <c r="AG305" s="2"/>
      <c r="AH305" s="19"/>
      <c r="AI305" s="20"/>
      <c r="AJ305" s="21"/>
      <c r="AK305" s="21"/>
      <c r="AM305" s="19"/>
      <c r="AN305" s="18"/>
      <c r="AO305" s="2"/>
      <c r="AP305" s="18"/>
      <c r="AQ305" s="118"/>
      <c r="AS305" s="2"/>
      <c r="AT305" s="19"/>
      <c r="AU305" s="20"/>
      <c r="AV305" s="21"/>
      <c r="AW305" s="21"/>
      <c r="AY305" s="19"/>
      <c r="AZ305" s="18"/>
      <c r="BA305" s="2"/>
      <c r="BB305" s="18"/>
      <c r="BC305" s="118"/>
      <c r="BE305" s="2"/>
      <c r="BF305" s="19"/>
      <c r="BG305" s="20"/>
      <c r="BH305" s="21"/>
      <c r="BI305" s="21"/>
      <c r="BK305" s="19"/>
      <c r="BL305" s="18"/>
      <c r="BM305" s="2"/>
      <c r="BN305" s="18"/>
      <c r="BO305" s="118"/>
      <c r="BQ305" s="2"/>
      <c r="BR305" s="19"/>
      <c r="BS305" s="20"/>
      <c r="BT305" s="21"/>
      <c r="BU305" s="21"/>
      <c r="BW305" s="19"/>
      <c r="BX305" s="18"/>
      <c r="BY305" s="2"/>
      <c r="BZ305" s="18"/>
      <c r="CA305" s="118"/>
      <c r="CC305" s="2"/>
      <c r="CD305" s="19"/>
      <c r="CE305" s="20"/>
      <c r="CF305" s="21"/>
      <c r="CG305" s="21"/>
      <c r="CI305" s="19"/>
      <c r="CJ305" s="18"/>
      <c r="CK305" s="2"/>
      <c r="CL305" s="18"/>
      <c r="CM305" s="118"/>
      <c r="CO305" s="2"/>
      <c r="CP305" s="19"/>
      <c r="CQ305" s="20"/>
      <c r="CR305" s="21"/>
      <c r="CS305" s="21"/>
    </row>
    <row r="306" spans="1:97" x14ac:dyDescent="0.25">
      <c r="A306" s="1">
        <f t="shared" si="116"/>
        <v>280</v>
      </c>
      <c r="B306" s="19">
        <f t="shared" si="117"/>
        <v>74.976005309178461</v>
      </c>
      <c r="C306" s="18">
        <f t="shared" si="131"/>
        <v>4.2365120533800118</v>
      </c>
      <c r="D306" s="2">
        <f t="shared" si="110"/>
        <v>0.92410294753437072</v>
      </c>
      <c r="E306" s="18">
        <f t="shared" si="118"/>
        <v>4.2519137691722513</v>
      </c>
      <c r="F306" s="21">
        <f t="shared" si="111"/>
        <v>1.357720250645891</v>
      </c>
      <c r="G306" s="1">
        <f t="shared" si="112"/>
        <v>0</v>
      </c>
      <c r="H306" s="2">
        <f t="shared" si="108"/>
        <v>174.55229251484812</v>
      </c>
      <c r="I306" s="19">
        <f t="shared" si="134"/>
        <v>75.563762993440747</v>
      </c>
      <c r="J306" s="20">
        <f t="shared" si="113"/>
        <v>0.92836960349938069</v>
      </c>
      <c r="K306" s="21">
        <f t="shared" si="114"/>
        <v>55.576542658929213</v>
      </c>
      <c r="L306" s="21">
        <f t="shared" si="109"/>
        <v>1.0597092820046798</v>
      </c>
      <c r="M306" s="2">
        <f t="shared" si="119"/>
        <v>42.878700434527062</v>
      </c>
      <c r="N306" s="19">
        <f t="shared" si="132"/>
        <v>306.58300764214863</v>
      </c>
      <c r="O306" s="1">
        <f t="shared" si="120"/>
        <v>280</v>
      </c>
      <c r="P306" s="19">
        <f t="shared" si="121"/>
        <v>152.87371053532229</v>
      </c>
      <c r="Q306" s="18">
        <f t="shared" si="122"/>
        <v>5.7627833668375903</v>
      </c>
      <c r="R306" s="2">
        <f t="shared" si="123"/>
        <v>0.93736463776642542</v>
      </c>
      <c r="S306" s="18">
        <f t="shared" si="124"/>
        <v>5.7784061108003639</v>
      </c>
      <c r="T306" s="18">
        <f t="shared" si="125"/>
        <v>2.4831661016245361</v>
      </c>
      <c r="U306" s="1">
        <f t="shared" si="115"/>
        <v>0</v>
      </c>
      <c r="V306" s="2">
        <f t="shared" si="126"/>
        <v>355.621437438219</v>
      </c>
      <c r="W306" s="19">
        <f t="shared" si="127"/>
        <v>153.94867421567923</v>
      </c>
      <c r="X306" s="20"/>
      <c r="Y306" s="2">
        <f t="shared" si="128"/>
        <v>133.97948241074874</v>
      </c>
      <c r="Z306" s="21">
        <f t="shared" si="129"/>
        <v>1.9571943984030062</v>
      </c>
      <c r="AA306" s="2">
        <f t="shared" si="130"/>
        <v>104.51164017315827</v>
      </c>
      <c r="AB306" s="19">
        <f t="shared" si="133"/>
        <v>65.91536645350925</v>
      </c>
      <c r="AC306" s="2"/>
      <c r="AD306" s="18"/>
      <c r="AE306" s="118"/>
      <c r="AG306" s="2"/>
      <c r="AH306" s="19"/>
      <c r="AI306" s="20"/>
      <c r="AJ306" s="21"/>
      <c r="AK306" s="21"/>
      <c r="AM306" s="19"/>
      <c r="AN306" s="18"/>
      <c r="AO306" s="2"/>
      <c r="AP306" s="18"/>
      <c r="AQ306" s="118"/>
      <c r="AS306" s="2"/>
      <c r="AT306" s="19"/>
      <c r="AU306" s="20"/>
      <c r="AV306" s="21"/>
      <c r="AW306" s="21"/>
      <c r="AY306" s="19"/>
      <c r="AZ306" s="18"/>
      <c r="BA306" s="2"/>
      <c r="BB306" s="18"/>
      <c r="BC306" s="118"/>
      <c r="BE306" s="2"/>
      <c r="BF306" s="19"/>
      <c r="BG306" s="20"/>
      <c r="BH306" s="21"/>
      <c r="BI306" s="21"/>
      <c r="BK306" s="19"/>
      <c r="BL306" s="18"/>
      <c r="BM306" s="2"/>
      <c r="BN306" s="18"/>
      <c r="BO306" s="118"/>
      <c r="BQ306" s="2"/>
      <c r="BR306" s="19"/>
      <c r="BS306" s="20"/>
      <c r="BT306" s="21"/>
      <c r="BU306" s="21"/>
      <c r="BW306" s="19"/>
      <c r="BX306" s="18"/>
      <c r="BY306" s="2"/>
      <c r="BZ306" s="18"/>
      <c r="CA306" s="118"/>
      <c r="CC306" s="2"/>
      <c r="CD306" s="19"/>
      <c r="CE306" s="20"/>
      <c r="CF306" s="21"/>
      <c r="CG306" s="21"/>
      <c r="CI306" s="19"/>
      <c r="CJ306" s="18"/>
      <c r="CK306" s="2"/>
      <c r="CL306" s="18"/>
      <c r="CM306" s="118"/>
      <c r="CO306" s="2"/>
      <c r="CP306" s="19"/>
      <c r="CQ306" s="20"/>
      <c r="CR306" s="21"/>
      <c r="CS306" s="21"/>
    </row>
    <row r="307" spans="1:97" x14ac:dyDescent="0.25">
      <c r="A307" s="1">
        <f t="shared" si="116"/>
        <v>281</v>
      </c>
      <c r="B307" s="19">
        <f t="shared" si="117"/>
        <v>75.563762993440747</v>
      </c>
      <c r="C307" s="18">
        <f t="shared" si="131"/>
        <v>4.2519137691722513</v>
      </c>
      <c r="D307" s="2">
        <f t="shared" si="110"/>
        <v>0.92424727983667798</v>
      </c>
      <c r="E307" s="18">
        <f t="shared" si="118"/>
        <v>4.2673178905028628</v>
      </c>
      <c r="F307" s="21">
        <f t="shared" si="111"/>
        <v>1.3674151379192607</v>
      </c>
      <c r="G307" s="1">
        <f t="shared" si="112"/>
        <v>0</v>
      </c>
      <c r="H307" s="2">
        <f t="shared" si="108"/>
        <v>175.91970765276739</v>
      </c>
      <c r="I307" s="19">
        <f t="shared" si="134"/>
        <v>76.155717598600603</v>
      </c>
      <c r="J307" s="20">
        <f t="shared" si="113"/>
        <v>0.92831026458476185</v>
      </c>
      <c r="K307" s="21">
        <f t="shared" si="114"/>
        <v>56.168633413648251</v>
      </c>
      <c r="L307" s="21">
        <f t="shared" si="109"/>
        <v>1.0674015640644998</v>
      </c>
      <c r="M307" s="2">
        <f t="shared" si="119"/>
        <v>43.340779033689181</v>
      </c>
      <c r="N307" s="19">
        <f t="shared" si="132"/>
        <v>306.75716782414867</v>
      </c>
      <c r="O307" s="1">
        <f t="shared" si="120"/>
        <v>281</v>
      </c>
      <c r="P307" s="19">
        <f t="shared" si="121"/>
        <v>153.94867421567923</v>
      </c>
      <c r="Q307" s="18">
        <f t="shared" si="122"/>
        <v>5.7784061108003639</v>
      </c>
      <c r="R307" s="2">
        <f t="shared" si="123"/>
        <v>0.93749601118938974</v>
      </c>
      <c r="S307" s="18">
        <f t="shared" si="124"/>
        <v>5.794031044320187</v>
      </c>
      <c r="T307" s="18">
        <f t="shared" si="125"/>
        <v>2.4964020228251118</v>
      </c>
      <c r="U307" s="1">
        <f t="shared" si="115"/>
        <v>0</v>
      </c>
      <c r="V307" s="2">
        <f t="shared" si="126"/>
        <v>358.11783946104418</v>
      </c>
      <c r="W307" s="19">
        <f t="shared" si="127"/>
        <v>155.02936773205374</v>
      </c>
      <c r="X307" s="20"/>
      <c r="Y307" s="2">
        <f t="shared" si="128"/>
        <v>135.06042448663203</v>
      </c>
      <c r="Z307" s="21">
        <f t="shared" si="129"/>
        <v>1.9677932997801371</v>
      </c>
      <c r="AA307" s="2">
        <f t="shared" si="130"/>
        <v>105.36349874449166</v>
      </c>
      <c r="AB307" s="19">
        <f t="shared" si="133"/>
        <v>66.043518414740106</v>
      </c>
      <c r="AC307" s="2"/>
      <c r="AD307" s="18"/>
      <c r="AE307" s="118"/>
      <c r="AG307" s="2"/>
      <c r="AH307" s="19"/>
      <c r="AI307" s="20"/>
      <c r="AJ307" s="21"/>
      <c r="AK307" s="21"/>
      <c r="AM307" s="19"/>
      <c r="AN307" s="18"/>
      <c r="AO307" s="2"/>
      <c r="AP307" s="18"/>
      <c r="AQ307" s="118"/>
      <c r="AS307" s="2"/>
      <c r="AT307" s="19"/>
      <c r="AU307" s="20"/>
      <c r="AV307" s="21"/>
      <c r="AW307" s="21"/>
      <c r="AY307" s="19"/>
      <c r="AZ307" s="18"/>
      <c r="BA307" s="2"/>
      <c r="BB307" s="18"/>
      <c r="BC307" s="118"/>
      <c r="BE307" s="2"/>
      <c r="BF307" s="19"/>
      <c r="BG307" s="20"/>
      <c r="BH307" s="21"/>
      <c r="BI307" s="21"/>
      <c r="BK307" s="19"/>
      <c r="BL307" s="18"/>
      <c r="BM307" s="2"/>
      <c r="BN307" s="18"/>
      <c r="BO307" s="118"/>
      <c r="BQ307" s="2"/>
      <c r="BR307" s="19"/>
      <c r="BS307" s="20"/>
      <c r="BT307" s="21"/>
      <c r="BU307" s="21"/>
      <c r="BW307" s="19"/>
      <c r="BX307" s="18"/>
      <c r="BY307" s="2"/>
      <c r="BZ307" s="18"/>
      <c r="CA307" s="118"/>
      <c r="CC307" s="2"/>
      <c r="CD307" s="19"/>
      <c r="CE307" s="20"/>
      <c r="CF307" s="21"/>
      <c r="CG307" s="21"/>
      <c r="CI307" s="19"/>
      <c r="CJ307" s="18"/>
      <c r="CK307" s="2"/>
      <c r="CL307" s="18"/>
      <c r="CM307" s="118"/>
      <c r="CO307" s="2"/>
      <c r="CP307" s="19"/>
      <c r="CQ307" s="20"/>
      <c r="CR307" s="21"/>
      <c r="CS307" s="21"/>
    </row>
    <row r="308" spans="1:97" x14ac:dyDescent="0.25">
      <c r="A308" s="1">
        <f t="shared" si="116"/>
        <v>282</v>
      </c>
      <c r="B308" s="19">
        <f t="shared" si="117"/>
        <v>76.155717598600603</v>
      </c>
      <c r="C308" s="18">
        <f t="shared" si="131"/>
        <v>4.2673178905028628</v>
      </c>
      <c r="D308" s="2">
        <f t="shared" si="110"/>
        <v>0.92439153498520432</v>
      </c>
      <c r="E308" s="18">
        <f t="shared" si="118"/>
        <v>4.2827244160859497</v>
      </c>
      <c r="F308" s="21">
        <f t="shared" si="111"/>
        <v>1.3771455326273165</v>
      </c>
      <c r="G308" s="1">
        <f t="shared" si="112"/>
        <v>0</v>
      </c>
      <c r="H308" s="2">
        <f t="shared" si="108"/>
        <v>177.2968531853947</v>
      </c>
      <c r="I308" s="19">
        <f t="shared" si="134"/>
        <v>76.751884495841864</v>
      </c>
      <c r="J308" s="20">
        <f t="shared" si="113"/>
        <v>0.92825083142595033</v>
      </c>
      <c r="K308" s="21">
        <f t="shared" si="114"/>
        <v>56.764937429275882</v>
      </c>
      <c r="L308" s="21">
        <f t="shared" si="109"/>
        <v>1.0751228709680198</v>
      </c>
      <c r="M308" s="2">
        <f t="shared" si="119"/>
        <v>43.806200189952392</v>
      </c>
      <c r="N308" s="19">
        <f t="shared" si="132"/>
        <v>306.93069932447008</v>
      </c>
      <c r="O308" s="1">
        <f t="shared" si="120"/>
        <v>282</v>
      </c>
      <c r="P308" s="19">
        <f t="shared" si="121"/>
        <v>155.02936773205374</v>
      </c>
      <c r="Q308" s="18">
        <f t="shared" si="122"/>
        <v>5.794031044320187</v>
      </c>
      <c r="R308" s="2">
        <f t="shared" si="123"/>
        <v>0.93762718178808202</v>
      </c>
      <c r="S308" s="18">
        <f t="shared" si="124"/>
        <v>5.8096581640166551</v>
      </c>
      <c r="T308" s="18">
        <f t="shared" si="125"/>
        <v>2.5096744900035026</v>
      </c>
      <c r="U308" s="1">
        <f t="shared" si="115"/>
        <v>0</v>
      </c>
      <c r="V308" s="2">
        <f t="shared" si="126"/>
        <v>360.6275139510476</v>
      </c>
      <c r="W308" s="19">
        <f t="shared" si="127"/>
        <v>156.11580690521541</v>
      </c>
      <c r="X308" s="20"/>
      <c r="Y308" s="2">
        <f t="shared" si="128"/>
        <v>136.14711354080356</v>
      </c>
      <c r="Z308" s="21">
        <f t="shared" si="129"/>
        <v>1.9784223110789887</v>
      </c>
      <c r="AA308" s="2">
        <f t="shared" si="130"/>
        <v>106.21995861941764</v>
      </c>
      <c r="AB308" s="19">
        <f t="shared" si="133"/>
        <v>66.171324784817003</v>
      </c>
      <c r="AC308" s="2"/>
      <c r="AD308" s="18"/>
      <c r="AE308" s="118"/>
      <c r="AG308" s="2"/>
      <c r="AH308" s="19"/>
      <c r="AI308" s="20"/>
      <c r="AJ308" s="21"/>
      <c r="AK308" s="21"/>
      <c r="AM308" s="19"/>
      <c r="AN308" s="18"/>
      <c r="AO308" s="2"/>
      <c r="AP308" s="18"/>
      <c r="AQ308" s="118"/>
      <c r="AS308" s="2"/>
      <c r="AT308" s="19"/>
      <c r="AU308" s="20"/>
      <c r="AV308" s="21"/>
      <c r="AW308" s="21"/>
      <c r="AY308" s="19"/>
      <c r="AZ308" s="18"/>
      <c r="BA308" s="2"/>
      <c r="BB308" s="18"/>
      <c r="BC308" s="118"/>
      <c r="BE308" s="2"/>
      <c r="BF308" s="19"/>
      <c r="BG308" s="20"/>
      <c r="BH308" s="21"/>
      <c r="BI308" s="21"/>
      <c r="BK308" s="19"/>
      <c r="BL308" s="18"/>
      <c r="BM308" s="2"/>
      <c r="BN308" s="18"/>
      <c r="BO308" s="118"/>
      <c r="BQ308" s="2"/>
      <c r="BR308" s="19"/>
      <c r="BS308" s="20"/>
      <c r="BT308" s="21"/>
      <c r="BU308" s="21"/>
      <c r="BW308" s="19"/>
      <c r="BX308" s="18"/>
      <c r="BY308" s="2"/>
      <c r="BZ308" s="18"/>
      <c r="CA308" s="118"/>
      <c r="CC308" s="2"/>
      <c r="CD308" s="19"/>
      <c r="CE308" s="20"/>
      <c r="CF308" s="21"/>
      <c r="CG308" s="21"/>
      <c r="CI308" s="19"/>
      <c r="CJ308" s="18"/>
      <c r="CK308" s="2"/>
      <c r="CL308" s="18"/>
      <c r="CM308" s="118"/>
      <c r="CO308" s="2"/>
      <c r="CP308" s="19"/>
      <c r="CQ308" s="20"/>
      <c r="CR308" s="21"/>
      <c r="CS308" s="21"/>
    </row>
    <row r="309" spans="1:97" x14ac:dyDescent="0.25">
      <c r="A309" s="1">
        <f t="shared" si="116"/>
        <v>283</v>
      </c>
      <c r="B309" s="19">
        <f t="shared" si="117"/>
        <v>76.751884495841864</v>
      </c>
      <c r="C309" s="18">
        <f t="shared" si="131"/>
        <v>4.2827244160859497</v>
      </c>
      <c r="D309" s="2">
        <f t="shared" si="110"/>
        <v>0.92453571026321679</v>
      </c>
      <c r="E309" s="18">
        <f t="shared" si="118"/>
        <v>4.2981333445903367</v>
      </c>
      <c r="F309" s="21">
        <f t="shared" si="111"/>
        <v>1.3869114465499324</v>
      </c>
      <c r="G309" s="1">
        <f t="shared" si="112"/>
        <v>0</v>
      </c>
      <c r="H309" s="2">
        <f t="shared" si="108"/>
        <v>178.68376463194465</v>
      </c>
      <c r="I309" s="19">
        <f t="shared" si="134"/>
        <v>77.352279061447902</v>
      </c>
      <c r="J309" s="20">
        <f t="shared" si="113"/>
        <v>0.92819130542359818</v>
      </c>
      <c r="K309" s="21">
        <f t="shared" si="114"/>
        <v>57.365470085632005</v>
      </c>
      <c r="L309" s="21">
        <f t="shared" si="109"/>
        <v>1.0828732150717688</v>
      </c>
      <c r="M309" s="2">
        <f t="shared" si="119"/>
        <v>44.274976473533243</v>
      </c>
      <c r="N309" s="19">
        <f t="shared" si="132"/>
        <v>307.10360656853788</v>
      </c>
      <c r="O309" s="1">
        <f t="shared" si="120"/>
        <v>283</v>
      </c>
      <c r="P309" s="19">
        <f t="shared" si="121"/>
        <v>156.11580690521541</v>
      </c>
      <c r="Q309" s="18">
        <f t="shared" si="122"/>
        <v>5.8096581640166551</v>
      </c>
      <c r="R309" s="2">
        <f t="shared" si="123"/>
        <v>0.93775814961481996</v>
      </c>
      <c r="S309" s="18">
        <f t="shared" si="124"/>
        <v>5.8252874665102352</v>
      </c>
      <c r="T309" s="18">
        <f t="shared" si="125"/>
        <v>2.5229835124211202</v>
      </c>
      <c r="U309" s="1">
        <f t="shared" si="115"/>
        <v>0</v>
      </c>
      <c r="V309" s="2">
        <f t="shared" si="126"/>
        <v>363.1504974634687</v>
      </c>
      <c r="W309" s="19">
        <f t="shared" si="127"/>
        <v>157.20800755994316</v>
      </c>
      <c r="X309" s="20"/>
      <c r="Y309" s="2">
        <f t="shared" si="128"/>
        <v>137.23956540168192</v>
      </c>
      <c r="Z309" s="21">
        <f t="shared" si="129"/>
        <v>1.9890814420068952</v>
      </c>
      <c r="AA309" s="2">
        <f t="shared" si="130"/>
        <v>107.08103283673664</v>
      </c>
      <c r="AB309" s="19">
        <f t="shared" si="133"/>
        <v>66.298787374694314</v>
      </c>
      <c r="AC309" s="2"/>
      <c r="AD309" s="18"/>
      <c r="AE309" s="118"/>
      <c r="AG309" s="2"/>
      <c r="AH309" s="19"/>
      <c r="AI309" s="20"/>
      <c r="AJ309" s="21"/>
      <c r="AK309" s="21"/>
      <c r="AM309" s="19"/>
      <c r="AN309" s="18"/>
      <c r="AO309" s="2"/>
      <c r="AP309" s="18"/>
      <c r="AQ309" s="118"/>
      <c r="AS309" s="2"/>
      <c r="AT309" s="19"/>
      <c r="AU309" s="20"/>
      <c r="AV309" s="21"/>
      <c r="AW309" s="21"/>
      <c r="AY309" s="19"/>
      <c r="AZ309" s="18"/>
      <c r="BA309" s="2"/>
      <c r="BB309" s="18"/>
      <c r="BC309" s="118"/>
      <c r="BE309" s="2"/>
      <c r="BF309" s="19"/>
      <c r="BG309" s="20"/>
      <c r="BH309" s="21"/>
      <c r="BI309" s="21"/>
      <c r="BK309" s="19"/>
      <c r="BL309" s="18"/>
      <c r="BM309" s="2"/>
      <c r="BN309" s="18"/>
      <c r="BO309" s="118"/>
      <c r="BQ309" s="2"/>
      <c r="BR309" s="19"/>
      <c r="BS309" s="20"/>
      <c r="BT309" s="21"/>
      <c r="BU309" s="21"/>
      <c r="BW309" s="19"/>
      <c r="BX309" s="18"/>
      <c r="BY309" s="2"/>
      <c r="BZ309" s="18"/>
      <c r="CA309" s="118"/>
      <c r="CC309" s="2"/>
      <c r="CD309" s="19"/>
      <c r="CE309" s="20"/>
      <c r="CF309" s="21"/>
      <c r="CG309" s="21"/>
      <c r="CI309" s="19"/>
      <c r="CJ309" s="18"/>
      <c r="CK309" s="2"/>
      <c r="CL309" s="18"/>
      <c r="CM309" s="118"/>
      <c r="CO309" s="2"/>
      <c r="CP309" s="19"/>
      <c r="CQ309" s="20"/>
      <c r="CR309" s="21"/>
      <c r="CS309" s="21"/>
    </row>
    <row r="310" spans="1:97" x14ac:dyDescent="0.25">
      <c r="A310" s="1">
        <f t="shared" si="116"/>
        <v>284</v>
      </c>
      <c r="B310" s="19">
        <f t="shared" si="117"/>
        <v>77.352279061447902</v>
      </c>
      <c r="C310" s="18">
        <f t="shared" si="131"/>
        <v>4.2981333445903367</v>
      </c>
      <c r="D310" s="2">
        <f t="shared" si="110"/>
        <v>0.92467980300341723</v>
      </c>
      <c r="E310" s="18">
        <f t="shared" si="118"/>
        <v>4.3135446746403936</v>
      </c>
      <c r="F310" s="21">
        <f t="shared" si="111"/>
        <v>1.3967128914398856</v>
      </c>
      <c r="G310" s="1">
        <f t="shared" si="112"/>
        <v>0</v>
      </c>
      <c r="H310" s="2">
        <f t="shared" si="108"/>
        <v>180.08047752338453</v>
      </c>
      <c r="I310" s="19">
        <f t="shared" si="134"/>
        <v>77.956916676789845</v>
      </c>
      <c r="J310" s="20">
        <f t="shared" si="113"/>
        <v>0.92813168796814727</v>
      </c>
      <c r="K310" s="21">
        <f t="shared" si="114"/>
        <v>57.970246767625476</v>
      </c>
      <c r="L310" s="21">
        <f t="shared" si="109"/>
        <v>1.0906526087022106</v>
      </c>
      <c r="M310" s="2">
        <f t="shared" si="119"/>
        <v>44.747120459984416</v>
      </c>
      <c r="N310" s="19">
        <f t="shared" si="132"/>
        <v>307.27589393528962</v>
      </c>
      <c r="O310" s="1">
        <f t="shared" si="120"/>
        <v>284</v>
      </c>
      <c r="P310" s="19">
        <f t="shared" si="121"/>
        <v>157.20800755994316</v>
      </c>
      <c r="Q310" s="18">
        <f t="shared" si="122"/>
        <v>5.8252874665102352</v>
      </c>
      <c r="R310" s="2">
        <f t="shared" si="123"/>
        <v>0.93788891473074398</v>
      </c>
      <c r="S310" s="18">
        <f t="shared" si="124"/>
        <v>5.8409189484224147</v>
      </c>
      <c r="T310" s="18">
        <f t="shared" si="125"/>
        <v>2.536329099317705</v>
      </c>
      <c r="U310" s="1">
        <f t="shared" si="115"/>
        <v>0</v>
      </c>
      <c r="V310" s="2">
        <f t="shared" si="126"/>
        <v>365.68682656278639</v>
      </c>
      <c r="W310" s="19">
        <f t="shared" si="127"/>
        <v>158.30598552501576</v>
      </c>
      <c r="X310" s="20"/>
      <c r="Y310" s="2">
        <f t="shared" si="128"/>
        <v>138.33779590168649</v>
      </c>
      <c r="Z310" s="21">
        <f t="shared" si="129"/>
        <v>1.9997707022488043</v>
      </c>
      <c r="AA310" s="2">
        <f t="shared" si="130"/>
        <v>107.94673443944176</v>
      </c>
      <c r="AB310" s="19">
        <f t="shared" si="133"/>
        <v>66.425907981212816</v>
      </c>
      <c r="AC310" s="2"/>
      <c r="AD310" s="18"/>
      <c r="AE310" s="118"/>
      <c r="AG310" s="2"/>
      <c r="AH310" s="19"/>
      <c r="AI310" s="20"/>
      <c r="AJ310" s="21"/>
      <c r="AK310" s="21"/>
      <c r="AM310" s="19"/>
      <c r="AN310" s="18"/>
      <c r="AO310" s="2"/>
      <c r="AP310" s="18"/>
      <c r="AQ310" s="118"/>
      <c r="AS310" s="2"/>
      <c r="AT310" s="19"/>
      <c r="AU310" s="20"/>
      <c r="AV310" s="21"/>
      <c r="AW310" s="21"/>
      <c r="AY310" s="19"/>
      <c r="AZ310" s="18"/>
      <c r="BA310" s="2"/>
      <c r="BB310" s="18"/>
      <c r="BC310" s="118"/>
      <c r="BE310" s="2"/>
      <c r="BF310" s="19"/>
      <c r="BG310" s="20"/>
      <c r="BH310" s="21"/>
      <c r="BI310" s="21"/>
      <c r="BK310" s="19"/>
      <c r="BL310" s="18"/>
      <c r="BM310" s="2"/>
      <c r="BN310" s="18"/>
      <c r="BO310" s="118"/>
      <c r="BQ310" s="2"/>
      <c r="BR310" s="19"/>
      <c r="BS310" s="20"/>
      <c r="BT310" s="21"/>
      <c r="BU310" s="21"/>
      <c r="BW310" s="19"/>
      <c r="BX310" s="18"/>
      <c r="BY310" s="2"/>
      <c r="BZ310" s="18"/>
      <c r="CA310" s="118"/>
      <c r="CC310" s="2"/>
      <c r="CD310" s="19"/>
      <c r="CE310" s="20"/>
      <c r="CF310" s="21"/>
      <c r="CG310" s="21"/>
      <c r="CI310" s="19"/>
      <c r="CJ310" s="18"/>
      <c r="CK310" s="2"/>
      <c r="CL310" s="18"/>
      <c r="CM310" s="118"/>
      <c r="CO310" s="2"/>
      <c r="CP310" s="19"/>
      <c r="CQ310" s="20"/>
      <c r="CR310" s="21"/>
      <c r="CS310" s="21"/>
    </row>
    <row r="311" spans="1:97" x14ac:dyDescent="0.25">
      <c r="A311" s="1">
        <f t="shared" si="116"/>
        <v>285</v>
      </c>
      <c r="B311" s="19">
        <f t="shared" si="117"/>
        <v>77.956916676789845</v>
      </c>
      <c r="C311" s="18">
        <f t="shared" si="131"/>
        <v>4.3135446746403936</v>
      </c>
      <c r="D311" s="2">
        <f t="shared" si="110"/>
        <v>0.92482381058734175</v>
      </c>
      <c r="E311" s="18">
        <f t="shared" si="118"/>
        <v>4.3289584048168495</v>
      </c>
      <c r="F311" s="21">
        <f t="shared" si="111"/>
        <v>1.4065498790227959</v>
      </c>
      <c r="G311" s="1">
        <f t="shared" si="112"/>
        <v>0</v>
      </c>
      <c r="H311" s="2">
        <f t="shared" si="108"/>
        <v>181.48702740240736</v>
      </c>
      <c r="I311" s="19">
        <f t="shared" si="134"/>
        <v>78.565812728314867</v>
      </c>
      <c r="J311" s="20">
        <f t="shared" si="113"/>
        <v>0.92807198043982519</v>
      </c>
      <c r="K311" s="21">
        <f t="shared" si="114"/>
        <v>58.579282865242348</v>
      </c>
      <c r="L311" s="21">
        <f t="shared" si="109"/>
        <v>1.098461064155748</v>
      </c>
      <c r="M311" s="2">
        <f t="shared" si="119"/>
        <v>45.222644730181706</v>
      </c>
      <c r="N311" s="19">
        <f t="shared" si="132"/>
        <v>307.44756575782594</v>
      </c>
      <c r="O311" s="1">
        <f t="shared" si="120"/>
        <v>285</v>
      </c>
      <c r="P311" s="19">
        <f t="shared" si="121"/>
        <v>158.30598552501576</v>
      </c>
      <c r="Q311" s="18">
        <f t="shared" si="122"/>
        <v>5.8409189484224147</v>
      </c>
      <c r="R311" s="2">
        <f t="shared" si="123"/>
        <v>0.93801947720563739</v>
      </c>
      <c r="S311" s="18">
        <f t="shared" si="124"/>
        <v>5.8565526063758417</v>
      </c>
      <c r="T311" s="18">
        <f t="shared" si="125"/>
        <v>2.5497112599114082</v>
      </c>
      <c r="U311" s="1">
        <f t="shared" si="115"/>
        <v>0</v>
      </c>
      <c r="V311" s="2">
        <f t="shared" si="126"/>
        <v>368.23653782269781</v>
      </c>
      <c r="W311" s="19">
        <f t="shared" si="127"/>
        <v>159.40975663320251</v>
      </c>
      <c r="X311" s="20"/>
      <c r="Y311" s="2">
        <f t="shared" si="128"/>
        <v>139.44182087722814</v>
      </c>
      <c r="Z311" s="21">
        <f t="shared" si="129"/>
        <v>2.0104901014673624</v>
      </c>
      <c r="AA311" s="2">
        <f t="shared" si="130"/>
        <v>108.81707647470901</v>
      </c>
      <c r="AB311" s="19">
        <f t="shared" si="133"/>
        <v>66.552688387245908</v>
      </c>
      <c r="AC311" s="2"/>
      <c r="AD311" s="18"/>
      <c r="AE311" s="118"/>
      <c r="AG311" s="2"/>
      <c r="AH311" s="19"/>
      <c r="AI311" s="20"/>
      <c r="AJ311" s="21"/>
      <c r="AK311" s="21"/>
      <c r="AM311" s="19"/>
      <c r="AN311" s="18"/>
      <c r="AO311" s="2"/>
      <c r="AP311" s="18"/>
      <c r="AQ311" s="118"/>
      <c r="AS311" s="2"/>
      <c r="AT311" s="19"/>
      <c r="AU311" s="20"/>
      <c r="AV311" s="21"/>
      <c r="AW311" s="21"/>
      <c r="AY311" s="19"/>
      <c r="AZ311" s="18"/>
      <c r="BA311" s="2"/>
      <c r="BB311" s="18"/>
      <c r="BC311" s="118"/>
      <c r="BE311" s="2"/>
      <c r="BF311" s="19"/>
      <c r="BG311" s="20"/>
      <c r="BH311" s="21"/>
      <c r="BI311" s="21"/>
      <c r="BK311" s="19"/>
      <c r="BL311" s="18"/>
      <c r="BM311" s="2"/>
      <c r="BN311" s="18"/>
      <c r="BO311" s="118"/>
      <c r="BQ311" s="2"/>
      <c r="BR311" s="19"/>
      <c r="BS311" s="20"/>
      <c r="BT311" s="21"/>
      <c r="BU311" s="21"/>
      <c r="BW311" s="19"/>
      <c r="BX311" s="18"/>
      <c r="BY311" s="2"/>
      <c r="BZ311" s="18"/>
      <c r="CA311" s="118"/>
      <c r="CC311" s="2"/>
      <c r="CD311" s="19"/>
      <c r="CE311" s="20"/>
      <c r="CF311" s="21"/>
      <c r="CG311" s="21"/>
      <c r="CI311" s="19"/>
      <c r="CJ311" s="18"/>
      <c r="CK311" s="2"/>
      <c r="CL311" s="18"/>
      <c r="CM311" s="118"/>
      <c r="CO311" s="2"/>
      <c r="CP311" s="19"/>
      <c r="CQ311" s="20"/>
      <c r="CR311" s="21"/>
      <c r="CS311" s="21"/>
    </row>
    <row r="312" spans="1:97" x14ac:dyDescent="0.25">
      <c r="A312" s="1">
        <f t="shared" si="116"/>
        <v>286</v>
      </c>
      <c r="B312" s="19">
        <f t="shared" si="117"/>
        <v>78.565812728314867</v>
      </c>
      <c r="C312" s="18">
        <f t="shared" si="131"/>
        <v>4.3289584048168495</v>
      </c>
      <c r="D312" s="2">
        <f t="shared" si="110"/>
        <v>0.92496773044475944</v>
      </c>
      <c r="E312" s="18">
        <f t="shared" si="118"/>
        <v>4.3443745336575956</v>
      </c>
      <c r="F312" s="21">
        <f t="shared" si="111"/>
        <v>1.4164224209970768</v>
      </c>
      <c r="G312" s="1">
        <f t="shared" si="112"/>
        <v>0</v>
      </c>
      <c r="H312" s="2">
        <f t="shared" si="108"/>
        <v>182.9034498234044</v>
      </c>
      <c r="I312" s="19">
        <f t="shared" si="134"/>
        <v>79.178982607534365</v>
      </c>
      <c r="J312" s="20">
        <f t="shared" si="113"/>
        <v>0.9280121842086454</v>
      </c>
      <c r="K312" s="21">
        <f t="shared" si="114"/>
        <v>59.192593773534085</v>
      </c>
      <c r="L312" s="21">
        <f t="shared" si="109"/>
        <v>1.1062985936987351</v>
      </c>
      <c r="M312" s="2">
        <f t="shared" si="119"/>
        <v>45.701561870311032</v>
      </c>
      <c r="N312" s="19">
        <f t="shared" si="132"/>
        <v>307.61862632404979</v>
      </c>
      <c r="O312" s="1">
        <f t="shared" si="120"/>
        <v>286</v>
      </c>
      <c r="P312" s="19">
        <f t="shared" si="121"/>
        <v>159.40975663320251</v>
      </c>
      <c r="Q312" s="18">
        <f t="shared" si="122"/>
        <v>5.8565526063758417</v>
      </c>
      <c r="R312" s="2">
        <f t="shared" si="123"/>
        <v>0.93814983711774835</v>
      </c>
      <c r="S312" s="18">
        <f t="shared" si="124"/>
        <v>5.8721884369944712</v>
      </c>
      <c r="T312" s="18">
        <f t="shared" si="125"/>
        <v>2.5631300033989013</v>
      </c>
      <c r="U312" s="1">
        <f t="shared" si="115"/>
        <v>0</v>
      </c>
      <c r="V312" s="2">
        <f t="shared" si="126"/>
        <v>370.79966782609671</v>
      </c>
      <c r="W312" s="19">
        <f t="shared" si="127"/>
        <v>160.51933672125398</v>
      </c>
      <c r="X312" s="20"/>
      <c r="Y312" s="2">
        <f t="shared" si="128"/>
        <v>140.55165616869985</v>
      </c>
      <c r="Z312" s="21">
        <f t="shared" si="129"/>
        <v>2.0212396493030256</v>
      </c>
      <c r="AA312" s="2">
        <f t="shared" si="130"/>
        <v>109.69207199388781</v>
      </c>
      <c r="AB312" s="19">
        <f t="shared" si="133"/>
        <v>66.679130361843931</v>
      </c>
      <c r="AC312" s="2"/>
      <c r="AD312" s="18"/>
      <c r="AE312" s="118"/>
      <c r="AG312" s="2"/>
      <c r="AH312" s="19"/>
      <c r="AI312" s="20"/>
      <c r="AJ312" s="21"/>
      <c r="AK312" s="21"/>
      <c r="AM312" s="19"/>
      <c r="AN312" s="18"/>
      <c r="AO312" s="2"/>
      <c r="AP312" s="18"/>
      <c r="AQ312" s="118"/>
      <c r="AS312" s="2"/>
      <c r="AT312" s="19"/>
      <c r="AU312" s="20"/>
      <c r="AV312" s="21"/>
      <c r="AW312" s="21"/>
      <c r="AY312" s="19"/>
      <c r="AZ312" s="18"/>
      <c r="BA312" s="2"/>
      <c r="BB312" s="18"/>
      <c r="BC312" s="118"/>
      <c r="BE312" s="2"/>
      <c r="BF312" s="19"/>
      <c r="BG312" s="20"/>
      <c r="BH312" s="21"/>
      <c r="BI312" s="21"/>
      <c r="BK312" s="19"/>
      <c r="BL312" s="18"/>
      <c r="BM312" s="2"/>
      <c r="BN312" s="18"/>
      <c r="BO312" s="118"/>
      <c r="BQ312" s="2"/>
      <c r="BR312" s="19"/>
      <c r="BS312" s="20"/>
      <c r="BT312" s="21"/>
      <c r="BU312" s="21"/>
      <c r="BW312" s="19"/>
      <c r="BX312" s="18"/>
      <c r="BY312" s="2"/>
      <c r="BZ312" s="18"/>
      <c r="CA312" s="118"/>
      <c r="CC312" s="2"/>
      <c r="CD312" s="19"/>
      <c r="CE312" s="20"/>
      <c r="CF312" s="21"/>
      <c r="CG312" s="21"/>
      <c r="CI312" s="19"/>
      <c r="CJ312" s="18"/>
      <c r="CK312" s="2"/>
      <c r="CL312" s="18"/>
      <c r="CM312" s="118"/>
      <c r="CO312" s="2"/>
      <c r="CP312" s="19"/>
      <c r="CQ312" s="20"/>
      <c r="CR312" s="21"/>
      <c r="CS312" s="21"/>
    </row>
    <row r="313" spans="1:97" x14ac:dyDescent="0.25">
      <c r="A313" s="1">
        <f t="shared" si="116"/>
        <v>287</v>
      </c>
      <c r="B313" s="19">
        <f t="shared" si="117"/>
        <v>79.178982607534365</v>
      </c>
      <c r="C313" s="18">
        <f t="shared" si="131"/>
        <v>4.3443745336575956</v>
      </c>
      <c r="D313" s="2">
        <f t="shared" si="110"/>
        <v>0.92511156005307604</v>
      </c>
      <c r="E313" s="18">
        <f t="shared" si="118"/>
        <v>4.3597930596584806</v>
      </c>
      <c r="F313" s="21">
        <f t="shared" si="111"/>
        <v>1.4263305290338872</v>
      </c>
      <c r="G313" s="1">
        <f t="shared" si="112"/>
        <v>0</v>
      </c>
      <c r="H313" s="2">
        <f t="shared" si="108"/>
        <v>184.32978035243829</v>
      </c>
      <c r="I313" s="19">
        <f t="shared" si="134"/>
        <v>79.79644171101225</v>
      </c>
      <c r="J313" s="20">
        <f t="shared" si="113"/>
        <v>0.92795230063440548</v>
      </c>
      <c r="K313" s="21">
        <f t="shared" si="114"/>
        <v>59.810194892605757</v>
      </c>
      <c r="L313" s="21">
        <f t="shared" si="109"/>
        <v>1.1141652095674917</v>
      </c>
      <c r="M313" s="2">
        <f t="shared" si="119"/>
        <v>46.1838844718554</v>
      </c>
      <c r="N313" s="19">
        <f t="shared" si="132"/>
        <v>307.7890798772944</v>
      </c>
      <c r="O313" s="1">
        <f t="shared" si="120"/>
        <v>287</v>
      </c>
      <c r="P313" s="19">
        <f t="shared" si="121"/>
        <v>160.51933672125398</v>
      </c>
      <c r="Q313" s="18">
        <f t="shared" si="122"/>
        <v>5.8721884369944712</v>
      </c>
      <c r="R313" s="2">
        <f t="shared" si="123"/>
        <v>0.93827999455361533</v>
      </c>
      <c r="S313" s="18">
        <f t="shared" si="124"/>
        <v>5.8878264369036986</v>
      </c>
      <c r="T313" s="18">
        <f t="shared" si="125"/>
        <v>2.5765853389554616</v>
      </c>
      <c r="U313" s="1">
        <f t="shared" si="115"/>
        <v>0</v>
      </c>
      <c r="V313" s="2">
        <f t="shared" si="126"/>
        <v>373.37625316505216</v>
      </c>
      <c r="W313" s="19">
        <f t="shared" si="127"/>
        <v>161.63474162989272</v>
      </c>
      <c r="X313" s="20"/>
      <c r="Y313" s="2">
        <f t="shared" si="128"/>
        <v>141.66731762046757</v>
      </c>
      <c r="Z313" s="21">
        <f t="shared" si="129"/>
        <v>2.0320193553741528</v>
      </c>
      <c r="AA313" s="2">
        <f t="shared" si="130"/>
        <v>110.57173405249134</v>
      </c>
      <c r="AB313" s="19">
        <f t="shared" si="133"/>
        <v>66.805235660376624</v>
      </c>
      <c r="AC313" s="2"/>
      <c r="AD313" s="18"/>
      <c r="AE313" s="118"/>
      <c r="AG313" s="2"/>
      <c r="AH313" s="19"/>
      <c r="AI313" s="20"/>
      <c r="AJ313" s="21"/>
      <c r="AK313" s="21"/>
      <c r="AM313" s="19"/>
      <c r="AN313" s="18"/>
      <c r="AO313" s="2"/>
      <c r="AP313" s="18"/>
      <c r="AQ313" s="118"/>
      <c r="AS313" s="2"/>
      <c r="AT313" s="19"/>
      <c r="AU313" s="20"/>
      <c r="AV313" s="21"/>
      <c r="AW313" s="21"/>
      <c r="AY313" s="19"/>
      <c r="AZ313" s="18"/>
      <c r="BA313" s="2"/>
      <c r="BB313" s="18"/>
      <c r="BC313" s="118"/>
      <c r="BE313" s="2"/>
      <c r="BF313" s="19"/>
      <c r="BG313" s="20"/>
      <c r="BH313" s="21"/>
      <c r="BI313" s="21"/>
      <c r="BK313" s="19"/>
      <c r="BL313" s="18"/>
      <c r="BM313" s="2"/>
      <c r="BN313" s="18"/>
      <c r="BO313" s="118"/>
      <c r="BQ313" s="2"/>
      <c r="BR313" s="19"/>
      <c r="BS313" s="20"/>
      <c r="BT313" s="21"/>
      <c r="BU313" s="21"/>
      <c r="BW313" s="19"/>
      <c r="BX313" s="18"/>
      <c r="BY313" s="2"/>
      <c r="BZ313" s="18"/>
      <c r="CA313" s="118"/>
      <c r="CC313" s="2"/>
      <c r="CD313" s="19"/>
      <c r="CE313" s="20"/>
      <c r="CF313" s="21"/>
      <c r="CG313" s="21"/>
      <c r="CI313" s="19"/>
      <c r="CJ313" s="18"/>
      <c r="CK313" s="2"/>
      <c r="CL313" s="18"/>
      <c r="CM313" s="118"/>
      <c r="CO313" s="2"/>
      <c r="CP313" s="19"/>
      <c r="CQ313" s="20"/>
      <c r="CR313" s="21"/>
      <c r="CS313" s="21"/>
    </row>
    <row r="314" spans="1:97" x14ac:dyDescent="0.25">
      <c r="A314" s="1">
        <f t="shared" si="116"/>
        <v>288</v>
      </c>
      <c r="B314" s="19">
        <f t="shared" si="117"/>
        <v>79.79644171101225</v>
      </c>
      <c r="C314" s="18">
        <f t="shared" si="131"/>
        <v>4.3597930596584806</v>
      </c>
      <c r="D314" s="2">
        <f t="shared" si="110"/>
        <v>0.92525529693673858</v>
      </c>
      <c r="E314" s="18">
        <f t="shared" si="118"/>
        <v>4.3752139812740927</v>
      </c>
      <c r="F314" s="21">
        <f t="shared" si="111"/>
        <v>1.4362742147770933</v>
      </c>
      <c r="G314" s="1">
        <f t="shared" si="112"/>
        <v>0</v>
      </c>
      <c r="H314" s="2">
        <f t="shared" si="108"/>
        <v>185.76605456721538</v>
      </c>
      <c r="I314" s="19">
        <f t="shared" si="134"/>
        <v>80.418205440352978</v>
      </c>
      <c r="J314" s="20">
        <f t="shared" si="113"/>
        <v>0.927892331066692</v>
      </c>
      <c r="K314" s="21">
        <f t="shared" si="114"/>
        <v>60.43210162760424</v>
      </c>
      <c r="L314" s="21">
        <f t="shared" si="109"/>
        <v>1.1220609239683219</v>
      </c>
      <c r="M314" s="2">
        <f t="shared" si="119"/>
        <v>46.669625131581945</v>
      </c>
      <c r="N314" s="19">
        <f t="shared" si="132"/>
        <v>307.95893061694062</v>
      </c>
      <c r="O314" s="1">
        <f t="shared" si="120"/>
        <v>288</v>
      </c>
      <c r="P314" s="19">
        <f t="shared" si="121"/>
        <v>161.63474162989272</v>
      </c>
      <c r="Q314" s="18">
        <f t="shared" si="122"/>
        <v>5.8878264369036986</v>
      </c>
      <c r="R314" s="2">
        <f t="shared" si="123"/>
        <v>0.93840994960789692</v>
      </c>
      <c r="S314" s="18">
        <f t="shared" si="124"/>
        <v>5.9034666027304965</v>
      </c>
      <c r="T314" s="18">
        <f t="shared" si="125"/>
        <v>2.5900772757350738</v>
      </c>
      <c r="U314" s="1">
        <f t="shared" si="115"/>
        <v>0</v>
      </c>
      <c r="V314" s="2">
        <f t="shared" si="126"/>
        <v>375.96633044078726</v>
      </c>
      <c r="W314" s="19">
        <f t="shared" si="127"/>
        <v>162.75598720380401</v>
      </c>
      <c r="X314" s="20"/>
      <c r="Y314" s="2">
        <f t="shared" si="128"/>
        <v>142.78882108086086</v>
      </c>
      <c r="Z314" s="21">
        <f t="shared" si="129"/>
        <v>2.0428292292771051</v>
      </c>
      <c r="AA314" s="2">
        <f t="shared" si="130"/>
        <v>111.45607571018705</v>
      </c>
      <c r="AB314" s="19">
        <f t="shared" si="133"/>
        <v>66.931006024673707</v>
      </c>
      <c r="AC314" s="2"/>
      <c r="AD314" s="18"/>
      <c r="AE314" s="118"/>
      <c r="AG314" s="2"/>
      <c r="AH314" s="19"/>
      <c r="AI314" s="20"/>
      <c r="AJ314" s="21"/>
      <c r="AK314" s="21"/>
      <c r="AM314" s="19"/>
      <c r="AN314" s="18"/>
      <c r="AO314" s="2"/>
      <c r="AP314" s="18"/>
      <c r="AQ314" s="118"/>
      <c r="AS314" s="2"/>
      <c r="AT314" s="19"/>
      <c r="AU314" s="20"/>
      <c r="AV314" s="21"/>
      <c r="AW314" s="21"/>
      <c r="AY314" s="19"/>
      <c r="AZ314" s="18"/>
      <c r="BA314" s="2"/>
      <c r="BB314" s="18"/>
      <c r="BC314" s="118"/>
      <c r="BE314" s="2"/>
      <c r="BF314" s="19"/>
      <c r="BG314" s="20"/>
      <c r="BH314" s="21"/>
      <c r="BI314" s="21"/>
      <c r="BK314" s="19"/>
      <c r="BL314" s="18"/>
      <c r="BM314" s="2"/>
      <c r="BN314" s="18"/>
      <c r="BO314" s="118"/>
      <c r="BQ314" s="2"/>
      <c r="BR314" s="19"/>
      <c r="BS314" s="20"/>
      <c r="BT314" s="21"/>
      <c r="BU314" s="21"/>
      <c r="BW314" s="19"/>
      <c r="BX314" s="18"/>
      <c r="BY314" s="2"/>
      <c r="BZ314" s="18"/>
      <c r="CA314" s="118"/>
      <c r="CC314" s="2"/>
      <c r="CD314" s="19"/>
      <c r="CE314" s="20"/>
      <c r="CF314" s="21"/>
      <c r="CG314" s="21"/>
      <c r="CI314" s="19"/>
      <c r="CJ314" s="18"/>
      <c r="CK314" s="2"/>
      <c r="CL314" s="18"/>
      <c r="CM314" s="118"/>
      <c r="CO314" s="2"/>
      <c r="CP314" s="19"/>
      <c r="CQ314" s="20"/>
      <c r="CR314" s="21"/>
      <c r="CS314" s="21"/>
    </row>
    <row r="315" spans="1:97" x14ac:dyDescent="0.25">
      <c r="A315" s="1">
        <f t="shared" si="116"/>
        <v>289</v>
      </c>
      <c r="B315" s="19">
        <f t="shared" si="117"/>
        <v>80.418205440352978</v>
      </c>
      <c r="C315" s="18">
        <f t="shared" si="131"/>
        <v>4.3752139812740927</v>
      </c>
      <c r="D315" s="2">
        <f t="shared" si="110"/>
        <v>0.92539893866664225</v>
      </c>
      <c r="E315" s="18">
        <f t="shared" si="118"/>
        <v>4.3906372969185368</v>
      </c>
      <c r="F315" s="21">
        <f t="shared" si="111"/>
        <v>1.4462534898432302</v>
      </c>
      <c r="G315" s="1">
        <f t="shared" si="112"/>
        <v>0</v>
      </c>
      <c r="H315" s="2">
        <f t="shared" si="108"/>
        <v>187.21230805705861</v>
      </c>
      <c r="I315" s="19">
        <f t="shared" si="134"/>
        <v>81.044289202189873</v>
      </c>
      <c r="J315" s="20">
        <f t="shared" si="113"/>
        <v>0.92783227684488578</v>
      </c>
      <c r="K315" s="21">
        <f t="shared" si="114"/>
        <v>61.058329388706362</v>
      </c>
      <c r="L315" s="21">
        <f t="shared" si="109"/>
        <v>1.1299857490775354</v>
      </c>
      <c r="M315" s="2">
        <f t="shared" si="119"/>
        <v>47.158796451528929</v>
      </c>
      <c r="N315" s="19">
        <f t="shared" si="132"/>
        <v>308.12818269902317</v>
      </c>
      <c r="O315" s="1">
        <f t="shared" si="120"/>
        <v>289</v>
      </c>
      <c r="P315" s="19">
        <f t="shared" si="121"/>
        <v>162.75598720380401</v>
      </c>
      <c r="Q315" s="18">
        <f t="shared" si="122"/>
        <v>5.9034666027304965</v>
      </c>
      <c r="R315" s="2">
        <f t="shared" si="123"/>
        <v>0.93853970238320228</v>
      </c>
      <c r="S315" s="18">
        <f t="shared" si="124"/>
        <v>5.9191089311035503</v>
      </c>
      <c r="T315" s="18">
        <f t="shared" si="125"/>
        <v>2.603605822870521</v>
      </c>
      <c r="U315" s="1">
        <f t="shared" si="115"/>
        <v>0</v>
      </c>
      <c r="V315" s="2">
        <f t="shared" si="126"/>
        <v>378.56993626365778</v>
      </c>
      <c r="W315" s="19">
        <f t="shared" si="127"/>
        <v>163.88308929162673</v>
      </c>
      <c r="X315" s="20"/>
      <c r="Y315" s="2">
        <f t="shared" si="128"/>
        <v>143.9161824021638</v>
      </c>
      <c r="Z315" s="21">
        <f t="shared" si="129"/>
        <v>2.0536692805863428</v>
      </c>
      <c r="AA315" s="2">
        <f t="shared" si="130"/>
        <v>112.3451100307872</v>
      </c>
      <c r="AB315" s="19">
        <f t="shared" si="133"/>
        <v>67.056443183163751</v>
      </c>
      <c r="AC315" s="2"/>
      <c r="AD315" s="18"/>
      <c r="AE315" s="118"/>
      <c r="AG315" s="2"/>
      <c r="AH315" s="19"/>
      <c r="AI315" s="20"/>
      <c r="AJ315" s="21"/>
      <c r="AK315" s="21"/>
      <c r="AM315" s="19"/>
      <c r="AN315" s="18"/>
      <c r="AO315" s="2"/>
      <c r="AP315" s="18"/>
      <c r="AQ315" s="118"/>
      <c r="AS315" s="2"/>
      <c r="AT315" s="19"/>
      <c r="AU315" s="20"/>
      <c r="AV315" s="21"/>
      <c r="AW315" s="21"/>
      <c r="AY315" s="19"/>
      <c r="AZ315" s="18"/>
      <c r="BA315" s="2"/>
      <c r="BB315" s="18"/>
      <c r="BC315" s="118"/>
      <c r="BE315" s="2"/>
      <c r="BF315" s="19"/>
      <c r="BG315" s="20"/>
      <c r="BH315" s="21"/>
      <c r="BI315" s="21"/>
      <c r="BK315" s="19"/>
      <c r="BL315" s="18"/>
      <c r="BM315" s="2"/>
      <c r="BN315" s="18"/>
      <c r="BO315" s="118"/>
      <c r="BQ315" s="2"/>
      <c r="BR315" s="19"/>
      <c r="BS315" s="20"/>
      <c r="BT315" s="21"/>
      <c r="BU315" s="21"/>
      <c r="BW315" s="19"/>
      <c r="BX315" s="18"/>
      <c r="BY315" s="2"/>
      <c r="BZ315" s="18"/>
      <c r="CA315" s="118"/>
      <c r="CC315" s="2"/>
      <c r="CD315" s="19"/>
      <c r="CE315" s="20"/>
      <c r="CF315" s="21"/>
      <c r="CG315" s="21"/>
      <c r="CI315" s="19"/>
      <c r="CJ315" s="18"/>
      <c r="CK315" s="2"/>
      <c r="CL315" s="18"/>
      <c r="CM315" s="118"/>
      <c r="CO315" s="2"/>
      <c r="CP315" s="19"/>
      <c r="CQ315" s="20"/>
      <c r="CR315" s="21"/>
      <c r="CS315" s="21"/>
    </row>
    <row r="316" spans="1:97" x14ac:dyDescent="0.25">
      <c r="A316" s="1">
        <f t="shared" si="116"/>
        <v>290</v>
      </c>
      <c r="B316" s="19">
        <f t="shared" si="117"/>
        <v>81.044289202189873</v>
      </c>
      <c r="C316" s="18">
        <f t="shared" si="131"/>
        <v>4.3906372969185368</v>
      </c>
      <c r="D316" s="2">
        <f t="shared" si="110"/>
        <v>0.92554248285954066</v>
      </c>
      <c r="E316" s="18">
        <f t="shared" si="118"/>
        <v>4.406063004966196</v>
      </c>
      <c r="F316" s="21">
        <f t="shared" si="111"/>
        <v>1.4562683658214708</v>
      </c>
      <c r="G316" s="1">
        <f t="shared" si="112"/>
        <v>0</v>
      </c>
      <c r="H316" s="2">
        <f t="shared" si="108"/>
        <v>188.66857642288008</v>
      </c>
      <c r="I316" s="19">
        <f t="shared" si="134"/>
        <v>81.674708408173188</v>
      </c>
      <c r="J316" s="20">
        <f t="shared" si="113"/>
        <v>0.9277721392981676</v>
      </c>
      <c r="K316" s="21">
        <f t="shared" si="114"/>
        <v>61.68889359110706</v>
      </c>
      <c r="L316" s="21">
        <f t="shared" si="109"/>
        <v>1.1379396970414708</v>
      </c>
      <c r="M316" s="2">
        <f t="shared" si="119"/>
        <v>47.651411038992769</v>
      </c>
      <c r="N316" s="19">
        <f t="shared" si="132"/>
        <v>308.29684023682688</v>
      </c>
      <c r="O316" s="1">
        <f t="shared" si="120"/>
        <v>290</v>
      </c>
      <c r="P316" s="19">
        <f t="shared" si="121"/>
        <v>163.88308929162673</v>
      </c>
      <c r="Q316" s="18">
        <f t="shared" si="122"/>
        <v>5.9191089311035503</v>
      </c>
      <c r="R316" s="2">
        <f t="shared" si="123"/>
        <v>0.93866925298992576</v>
      </c>
      <c r="S316" s="18">
        <f t="shared" si="124"/>
        <v>5.9347534186533828</v>
      </c>
      <c r="T316" s="18">
        <f t="shared" si="125"/>
        <v>2.6171709894734803</v>
      </c>
      <c r="U316" s="1">
        <f t="shared" si="115"/>
        <v>0</v>
      </c>
      <c r="V316" s="2">
        <f t="shared" si="126"/>
        <v>381.18710725313127</v>
      </c>
      <c r="W316" s="19">
        <f t="shared" si="127"/>
        <v>165.01606374594428</v>
      </c>
      <c r="X316" s="20"/>
      <c r="Y316" s="2">
        <f t="shared" si="128"/>
        <v>145.04941744060582</v>
      </c>
      <c r="Z316" s="21">
        <f t="shared" si="129"/>
        <v>2.064539518854525</v>
      </c>
      <c r="AA316" s="2">
        <f t="shared" si="130"/>
        <v>113.23885008223937</v>
      </c>
      <c r="AB316" s="19">
        <f t="shared" si="133"/>
        <v>67.181548851011186</v>
      </c>
      <c r="AC316" s="2"/>
      <c r="AD316" s="18"/>
      <c r="AE316" s="118"/>
      <c r="AG316" s="2"/>
      <c r="AH316" s="19"/>
      <c r="AI316" s="20"/>
      <c r="AJ316" s="21"/>
      <c r="AK316" s="21"/>
      <c r="AM316" s="19"/>
      <c r="AN316" s="18"/>
      <c r="AO316" s="2"/>
      <c r="AP316" s="18"/>
      <c r="AQ316" s="118"/>
      <c r="AS316" s="2"/>
      <c r="AT316" s="19"/>
      <c r="AU316" s="20"/>
      <c r="AV316" s="21"/>
      <c r="AW316" s="21"/>
      <c r="AY316" s="19"/>
      <c r="AZ316" s="18"/>
      <c r="BA316" s="2"/>
      <c r="BB316" s="18"/>
      <c r="BC316" s="118"/>
      <c r="BE316" s="2"/>
      <c r="BF316" s="19"/>
      <c r="BG316" s="20"/>
      <c r="BH316" s="21"/>
      <c r="BI316" s="21"/>
      <c r="BK316" s="19"/>
      <c r="BL316" s="18"/>
      <c r="BM316" s="2"/>
      <c r="BN316" s="18"/>
      <c r="BO316" s="118"/>
      <c r="BQ316" s="2"/>
      <c r="BR316" s="19"/>
      <c r="BS316" s="20"/>
      <c r="BT316" s="21"/>
      <c r="BU316" s="21"/>
      <c r="BW316" s="19"/>
      <c r="BX316" s="18"/>
      <c r="BY316" s="2"/>
      <c r="BZ316" s="18"/>
      <c r="CA316" s="118"/>
      <c r="CC316" s="2"/>
      <c r="CD316" s="19"/>
      <c r="CE316" s="20"/>
      <c r="CF316" s="21"/>
      <c r="CG316" s="21"/>
      <c r="CI316" s="19"/>
      <c r="CJ316" s="18"/>
      <c r="CK316" s="2"/>
      <c r="CL316" s="18"/>
      <c r="CM316" s="118"/>
      <c r="CO316" s="2"/>
      <c r="CP316" s="19"/>
      <c r="CQ316" s="20"/>
      <c r="CR316" s="21"/>
      <c r="CS316" s="21"/>
    </row>
    <row r="317" spans="1:97" x14ac:dyDescent="0.25">
      <c r="A317" s="1">
        <f t="shared" si="116"/>
        <v>291</v>
      </c>
      <c r="B317" s="19">
        <f t="shared" si="117"/>
        <v>81.674708408173188</v>
      </c>
      <c r="C317" s="18">
        <f t="shared" si="131"/>
        <v>4.406063004966196</v>
      </c>
      <c r="D317" s="2">
        <f t="shared" si="110"/>
        <v>0.92568592717745901</v>
      </c>
      <c r="E317" s="18">
        <f t="shared" si="118"/>
        <v>4.4214911037524871</v>
      </c>
      <c r="F317" s="21">
        <f t="shared" si="111"/>
        <v>1.4663188542735965</v>
      </c>
      <c r="G317" s="1">
        <f t="shared" si="112"/>
        <v>0</v>
      </c>
      <c r="H317" s="2">
        <f t="shared" si="108"/>
        <v>190.13489527715367</v>
      </c>
      <c r="I317" s="19">
        <f t="shared" si="134"/>
        <v>82.309478474958297</v>
      </c>
      <c r="J317" s="20">
        <f t="shared" si="113"/>
        <v>0.92771191974552958</v>
      </c>
      <c r="K317" s="21">
        <f t="shared" si="114"/>
        <v>62.32380965500753</v>
      </c>
      <c r="L317" s="21">
        <f t="shared" si="109"/>
        <v>1.1459227799765235</v>
      </c>
      <c r="M317" s="2">
        <f t="shared" si="119"/>
        <v>48.147481506515071</v>
      </c>
      <c r="N317" s="19">
        <f t="shared" si="132"/>
        <v>308.46490730147229</v>
      </c>
      <c r="O317" s="1">
        <f t="shared" si="120"/>
        <v>291</v>
      </c>
      <c r="P317" s="19">
        <f t="shared" si="121"/>
        <v>165.01606374594428</v>
      </c>
      <c r="Q317" s="18">
        <f t="shared" si="122"/>
        <v>5.9347534186533828</v>
      </c>
      <c r="R317" s="2">
        <f t="shared" si="123"/>
        <v>0.93879860154608497</v>
      </c>
      <c r="S317" s="18">
        <f t="shared" si="124"/>
        <v>5.9504000620124842</v>
      </c>
      <c r="T317" s="18">
        <f t="shared" si="125"/>
        <v>2.6307727846346176</v>
      </c>
      <c r="U317" s="1">
        <f t="shared" si="115"/>
        <v>0</v>
      </c>
      <c r="V317" s="2">
        <f t="shared" si="126"/>
        <v>383.81788003776592</v>
      </c>
      <c r="W317" s="19">
        <f t="shared" si="127"/>
        <v>166.1549264232753</v>
      </c>
      <c r="X317" s="20"/>
      <c r="Y317" s="2">
        <f t="shared" si="128"/>
        <v>146.18854205635262</v>
      </c>
      <c r="Z317" s="21">
        <f t="shared" si="129"/>
        <v>2.0754399536126038</v>
      </c>
      <c r="AA317" s="2">
        <f t="shared" si="130"/>
        <v>114.13730893661712</v>
      </c>
      <c r="AB317" s="19">
        <f t="shared" si="133"/>
        <v>67.306324730251575</v>
      </c>
      <c r="AC317" s="2"/>
      <c r="AD317" s="18"/>
      <c r="AE317" s="118"/>
      <c r="AG317" s="2"/>
      <c r="AH317" s="19"/>
      <c r="AI317" s="20"/>
      <c r="AJ317" s="21"/>
      <c r="AK317" s="21"/>
      <c r="AM317" s="19"/>
      <c r="AN317" s="18"/>
      <c r="AO317" s="2"/>
      <c r="AP317" s="18"/>
      <c r="AQ317" s="118"/>
      <c r="AS317" s="2"/>
      <c r="AT317" s="19"/>
      <c r="AU317" s="20"/>
      <c r="AV317" s="21"/>
      <c r="AW317" s="21"/>
      <c r="AY317" s="19"/>
      <c r="AZ317" s="18"/>
      <c r="BA317" s="2"/>
      <c r="BB317" s="18"/>
      <c r="BC317" s="118"/>
      <c r="BE317" s="2"/>
      <c r="BF317" s="19"/>
      <c r="BG317" s="20"/>
      <c r="BH317" s="21"/>
      <c r="BI317" s="21"/>
      <c r="BK317" s="19"/>
      <c r="BL317" s="18"/>
      <c r="BM317" s="2"/>
      <c r="BN317" s="18"/>
      <c r="BO317" s="118"/>
      <c r="BQ317" s="2"/>
      <c r="BR317" s="19"/>
      <c r="BS317" s="20"/>
      <c r="BT317" s="21"/>
      <c r="BU317" s="21"/>
      <c r="BW317" s="19"/>
      <c r="BX317" s="18"/>
      <c r="BY317" s="2"/>
      <c r="BZ317" s="18"/>
      <c r="CA317" s="118"/>
      <c r="CC317" s="2"/>
      <c r="CD317" s="19"/>
      <c r="CE317" s="20"/>
      <c r="CF317" s="21"/>
      <c r="CG317" s="21"/>
      <c r="CI317" s="19"/>
      <c r="CJ317" s="18"/>
      <c r="CK317" s="2"/>
      <c r="CL317" s="18"/>
      <c r="CM317" s="118"/>
      <c r="CO317" s="2"/>
      <c r="CP317" s="19"/>
      <c r="CQ317" s="20"/>
      <c r="CR317" s="21"/>
      <c r="CS317" s="21"/>
    </row>
    <row r="318" spans="1:97" x14ac:dyDescent="0.25">
      <c r="A318" s="1">
        <f t="shared" si="116"/>
        <v>292</v>
      </c>
      <c r="B318" s="19">
        <f t="shared" si="117"/>
        <v>82.309478474958297</v>
      </c>
      <c r="C318" s="18">
        <f t="shared" si="131"/>
        <v>4.4214911037524871</v>
      </c>
      <c r="D318" s="2">
        <f t="shared" si="110"/>
        <v>0.92582926932710918</v>
      </c>
      <c r="E318" s="18">
        <f t="shared" si="118"/>
        <v>4.4369215915746052</v>
      </c>
      <c r="F318" s="21">
        <f t="shared" si="111"/>
        <v>1.4764049667339787</v>
      </c>
      <c r="G318" s="1">
        <f t="shared" si="112"/>
        <v>0</v>
      </c>
      <c r="H318" s="2">
        <f t="shared" si="108"/>
        <v>191.61130024388765</v>
      </c>
      <c r="I318" s="19">
        <f t="shared" si="134"/>
        <v>82.948614824193783</v>
      </c>
      <c r="J318" s="20">
        <f t="shared" si="113"/>
        <v>0.92765161949578545</v>
      </c>
      <c r="K318" s="21">
        <f t="shared" si="114"/>
        <v>62.963093005603341</v>
      </c>
      <c r="L318" s="21">
        <f t="shared" si="109"/>
        <v>1.1539350099691772</v>
      </c>
      <c r="M318" s="2">
        <f t="shared" si="119"/>
        <v>48.647020471869695</v>
      </c>
      <c r="N318" s="19">
        <f t="shared" si="132"/>
        <v>308.63238792249149</v>
      </c>
      <c r="O318" s="1">
        <f t="shared" si="120"/>
        <v>292</v>
      </c>
      <c r="P318" s="19">
        <f t="shared" si="121"/>
        <v>166.1549264232753</v>
      </c>
      <c r="Q318" s="18">
        <f t="shared" si="122"/>
        <v>5.9504000620124842</v>
      </c>
      <c r="R318" s="2">
        <f t="shared" si="123"/>
        <v>0.93892774817715907</v>
      </c>
      <c r="S318" s="18">
        <f t="shared" si="124"/>
        <v>5.9660488578154371</v>
      </c>
      <c r="T318" s="18">
        <f t="shared" si="125"/>
        <v>2.6444112174236833</v>
      </c>
      <c r="U318" s="1">
        <f t="shared" si="115"/>
        <v>0</v>
      </c>
      <c r="V318" s="2">
        <f t="shared" si="126"/>
        <v>386.46229125518965</v>
      </c>
      <c r="W318" s="19">
        <f t="shared" si="127"/>
        <v>167.29969318406478</v>
      </c>
      <c r="X318" s="20"/>
      <c r="Y318" s="2">
        <f t="shared" si="128"/>
        <v>147.33357211349707</v>
      </c>
      <c r="Z318" s="21">
        <f t="shared" si="129"/>
        <v>2.0863705943699253</v>
      </c>
      <c r="AA318" s="2">
        <f t="shared" si="130"/>
        <v>115.04049967011059</v>
      </c>
      <c r="AB318" s="19">
        <f t="shared" si="133"/>
        <v>67.43077250992522</v>
      </c>
      <c r="AC318" s="2"/>
      <c r="AD318" s="18"/>
      <c r="AE318" s="118"/>
      <c r="AG318" s="2"/>
      <c r="AH318" s="19"/>
      <c r="AI318" s="20"/>
      <c r="AJ318" s="21"/>
      <c r="AK318" s="21"/>
      <c r="AM318" s="19"/>
      <c r="AN318" s="18"/>
      <c r="AO318" s="2"/>
      <c r="AP318" s="18"/>
      <c r="AQ318" s="118"/>
      <c r="AS318" s="2"/>
      <c r="AT318" s="19"/>
      <c r="AU318" s="20"/>
      <c r="AV318" s="21"/>
      <c r="AW318" s="21"/>
      <c r="AY318" s="19"/>
      <c r="AZ318" s="18"/>
      <c r="BA318" s="2"/>
      <c r="BB318" s="18"/>
      <c r="BC318" s="118"/>
      <c r="BE318" s="2"/>
      <c r="BF318" s="19"/>
      <c r="BG318" s="20"/>
      <c r="BH318" s="21"/>
      <c r="BI318" s="21"/>
      <c r="BK318" s="19"/>
      <c r="BL318" s="18"/>
      <c r="BM318" s="2"/>
      <c r="BN318" s="18"/>
      <c r="BO318" s="118"/>
      <c r="BQ318" s="2"/>
      <c r="BR318" s="19"/>
      <c r="BS318" s="20"/>
      <c r="BT318" s="21"/>
      <c r="BU318" s="21"/>
      <c r="BW318" s="19"/>
      <c r="BX318" s="18"/>
      <c r="BY318" s="2"/>
      <c r="BZ318" s="18"/>
      <c r="CA318" s="118"/>
      <c r="CC318" s="2"/>
      <c r="CD318" s="19"/>
      <c r="CE318" s="20"/>
      <c r="CF318" s="21"/>
      <c r="CG318" s="21"/>
      <c r="CI318" s="19"/>
      <c r="CJ318" s="18"/>
      <c r="CK318" s="2"/>
      <c r="CL318" s="18"/>
      <c r="CM318" s="118"/>
      <c r="CO318" s="2"/>
      <c r="CP318" s="19"/>
      <c r="CQ318" s="20"/>
      <c r="CR318" s="21"/>
      <c r="CS318" s="21"/>
    </row>
    <row r="319" spans="1:97" x14ac:dyDescent="0.25">
      <c r="A319" s="1">
        <f t="shared" si="116"/>
        <v>293</v>
      </c>
      <c r="B319" s="19">
        <f t="shared" si="117"/>
        <v>82.948614824193783</v>
      </c>
      <c r="C319" s="18">
        <f t="shared" si="131"/>
        <v>4.4369215915746052</v>
      </c>
      <c r="D319" s="2">
        <f t="shared" si="110"/>
        <v>0.92597250705930956</v>
      </c>
      <c r="E319" s="18">
        <f t="shared" si="118"/>
        <v>4.4523544666922605</v>
      </c>
      <c r="F319" s="21">
        <f t="shared" si="111"/>
        <v>1.4865267147095562</v>
      </c>
      <c r="G319" s="1">
        <f t="shared" si="112"/>
        <v>0</v>
      </c>
      <c r="H319" s="2">
        <f t="shared" si="108"/>
        <v>193.09782695859721</v>
      </c>
      <c r="I319" s="19">
        <f t="shared" si="134"/>
        <v>83.592132882509617</v>
      </c>
      <c r="J319" s="20">
        <f t="shared" si="113"/>
        <v>0.92759123984758363</v>
      </c>
      <c r="K319" s="21">
        <f t="shared" si="114"/>
        <v>63.606759073072581</v>
      </c>
      <c r="L319" s="21">
        <f t="shared" si="109"/>
        <v>1.1619763990760363</v>
      </c>
      <c r="M319" s="2">
        <f t="shared" si="119"/>
        <v>49.150040558049795</v>
      </c>
      <c r="N319" s="19">
        <f t="shared" si="132"/>
        <v>308.79928608839407</v>
      </c>
      <c r="O319" s="1">
        <f t="shared" si="120"/>
        <v>293</v>
      </c>
      <c r="P319" s="19">
        <f t="shared" si="121"/>
        <v>167.29969318406478</v>
      </c>
      <c r="Q319" s="18">
        <f t="shared" si="122"/>
        <v>5.9660488578154371</v>
      </c>
      <c r="R319" s="2">
        <f t="shared" si="123"/>
        <v>0.93905669301593309</v>
      </c>
      <c r="S319" s="18">
        <f t="shared" si="124"/>
        <v>5.981699802699036</v>
      </c>
      <c r="T319" s="18">
        <f t="shared" si="125"/>
        <v>2.6580862968895986</v>
      </c>
      <c r="U319" s="1">
        <f t="shared" si="115"/>
        <v>0</v>
      </c>
      <c r="V319" s="2">
        <f t="shared" si="126"/>
        <v>389.12037755207928</v>
      </c>
      <c r="W319" s="19">
        <f t="shared" si="127"/>
        <v>168.45037989267502</v>
      </c>
      <c r="X319" s="20"/>
      <c r="Y319" s="2">
        <f t="shared" si="128"/>
        <v>148.48452348005026</v>
      </c>
      <c r="Z319" s="21">
        <f t="shared" si="129"/>
        <v>2.0973314506143179</v>
      </c>
      <c r="AA319" s="2">
        <f t="shared" si="130"/>
        <v>115.94843536301723</v>
      </c>
      <c r="AB319" s="19">
        <f t="shared" si="133"/>
        <v>67.554893866209014</v>
      </c>
      <c r="AC319" s="2"/>
      <c r="AD319" s="18"/>
      <c r="AE319" s="118"/>
      <c r="AG319" s="2"/>
      <c r="AH319" s="19"/>
      <c r="AI319" s="20"/>
      <c r="AJ319" s="21"/>
      <c r="AK319" s="21"/>
      <c r="AM319" s="19"/>
      <c r="AN319" s="18"/>
      <c r="AO319" s="2"/>
      <c r="AP319" s="18"/>
      <c r="AQ319" s="118"/>
      <c r="AS319" s="2"/>
      <c r="AT319" s="19"/>
      <c r="AU319" s="20"/>
      <c r="AV319" s="21"/>
      <c r="AW319" s="21"/>
      <c r="AY319" s="19"/>
      <c r="AZ319" s="18"/>
      <c r="BA319" s="2"/>
      <c r="BB319" s="18"/>
      <c r="BC319" s="118"/>
      <c r="BE319" s="2"/>
      <c r="BF319" s="19"/>
      <c r="BG319" s="20"/>
      <c r="BH319" s="21"/>
      <c r="BI319" s="21"/>
      <c r="BK319" s="19"/>
      <c r="BL319" s="18"/>
      <c r="BM319" s="2"/>
      <c r="BN319" s="18"/>
      <c r="BO319" s="118"/>
      <c r="BQ319" s="2"/>
      <c r="BR319" s="19"/>
      <c r="BS319" s="20"/>
      <c r="BT319" s="21"/>
      <c r="BU319" s="21"/>
      <c r="BW319" s="19"/>
      <c r="BX319" s="18"/>
      <c r="BY319" s="2"/>
      <c r="BZ319" s="18"/>
      <c r="CA319" s="118"/>
      <c r="CC319" s="2"/>
      <c r="CD319" s="19"/>
      <c r="CE319" s="20"/>
      <c r="CF319" s="21"/>
      <c r="CG319" s="21"/>
      <c r="CI319" s="19"/>
      <c r="CJ319" s="18"/>
      <c r="CK319" s="2"/>
      <c r="CL319" s="18"/>
      <c r="CM319" s="118"/>
      <c r="CO319" s="2"/>
      <c r="CP319" s="19"/>
      <c r="CQ319" s="20"/>
      <c r="CR319" s="21"/>
      <c r="CS319" s="21"/>
    </row>
    <row r="320" spans="1:97" x14ac:dyDescent="0.25">
      <c r="A320" s="1">
        <f t="shared" si="116"/>
        <v>294</v>
      </c>
      <c r="B320" s="19">
        <f t="shared" si="117"/>
        <v>83.592132882509617</v>
      </c>
      <c r="C320" s="18">
        <f t="shared" si="131"/>
        <v>4.4523544666922605</v>
      </c>
      <c r="D320" s="2">
        <f t="shared" si="110"/>
        <v>0.92611563816840714</v>
      </c>
      <c r="E320" s="18">
        <f t="shared" si="118"/>
        <v>4.4677897273284009</v>
      </c>
      <c r="F320" s="21">
        <f t="shared" si="111"/>
        <v>1.4966841096798216</v>
      </c>
      <c r="G320" s="1">
        <f t="shared" si="112"/>
        <v>0</v>
      </c>
      <c r="H320" s="2">
        <f t="shared" si="108"/>
        <v>194.59451106827703</v>
      </c>
      <c r="I320" s="19">
        <f t="shared" si="134"/>
        <v>84.240048081505208</v>
      </c>
      <c r="J320" s="20">
        <f t="shared" si="113"/>
        <v>0.92753078208942263</v>
      </c>
      <c r="K320" s="21">
        <f t="shared" si="114"/>
        <v>64.254823292563941</v>
      </c>
      <c r="L320" s="21">
        <f t="shared" si="109"/>
        <v>1.1700469593238603</v>
      </c>
      <c r="M320" s="2">
        <f t="shared" si="119"/>
        <v>49.656554393254929</v>
      </c>
      <c r="N320" s="19">
        <f t="shared" si="132"/>
        <v>308.96560574722338</v>
      </c>
      <c r="O320" s="1">
        <f t="shared" si="120"/>
        <v>294</v>
      </c>
      <c r="P320" s="19">
        <f t="shared" si="121"/>
        <v>168.45037989267502</v>
      </c>
      <c r="Q320" s="18">
        <f t="shared" si="122"/>
        <v>5.981699802699036</v>
      </c>
      <c r="R320" s="2">
        <f t="shared" si="123"/>
        <v>0.93918543620234207</v>
      </c>
      <c r="S320" s="18">
        <f t="shared" si="124"/>
        <v>5.9973528933024083</v>
      </c>
      <c r="T320" s="18">
        <f t="shared" si="125"/>
        <v>2.6717980320605563</v>
      </c>
      <c r="U320" s="1">
        <f t="shared" si="115"/>
        <v>0</v>
      </c>
      <c r="V320" s="2">
        <f t="shared" si="126"/>
        <v>391.79217558413984</v>
      </c>
      <c r="W320" s="19">
        <f t="shared" si="127"/>
        <v>169.60700241737655</v>
      </c>
      <c r="X320" s="20"/>
      <c r="Y320" s="2">
        <f t="shared" si="128"/>
        <v>149.64141202793249</v>
      </c>
      <c r="Z320" s="21">
        <f t="shared" si="129"/>
        <v>2.1083225318121963</v>
      </c>
      <c r="AA320" s="2">
        <f t="shared" si="130"/>
        <v>116.86112909973247</v>
      </c>
      <c r="AB320" s="19">
        <f t="shared" si="133"/>
        <v>67.678690462546612</v>
      </c>
      <c r="AC320" s="2"/>
      <c r="AD320" s="18"/>
      <c r="AE320" s="118"/>
      <c r="AG320" s="2"/>
      <c r="AH320" s="19"/>
      <c r="AI320" s="20"/>
      <c r="AJ320" s="21"/>
      <c r="AK320" s="21"/>
      <c r="AM320" s="19"/>
      <c r="AN320" s="18"/>
      <c r="AO320" s="2"/>
      <c r="AP320" s="18"/>
      <c r="AQ320" s="118"/>
      <c r="AS320" s="2"/>
      <c r="AT320" s="19"/>
      <c r="AU320" s="20"/>
      <c r="AV320" s="21"/>
      <c r="AW320" s="21"/>
      <c r="AY320" s="19"/>
      <c r="AZ320" s="18"/>
      <c r="BA320" s="2"/>
      <c r="BB320" s="18"/>
      <c r="BC320" s="118"/>
      <c r="BE320" s="2"/>
      <c r="BF320" s="19"/>
      <c r="BG320" s="20"/>
      <c r="BH320" s="21"/>
      <c r="BI320" s="21"/>
      <c r="BK320" s="19"/>
      <c r="BL320" s="18"/>
      <c r="BM320" s="2"/>
      <c r="BN320" s="18"/>
      <c r="BO320" s="118"/>
      <c r="BQ320" s="2"/>
      <c r="BR320" s="19"/>
      <c r="BS320" s="20"/>
      <c r="BT320" s="21"/>
      <c r="BU320" s="21"/>
      <c r="BW320" s="19"/>
      <c r="BX320" s="18"/>
      <c r="BY320" s="2"/>
      <c r="BZ320" s="18"/>
      <c r="CA320" s="118"/>
      <c r="CC320" s="2"/>
      <c r="CD320" s="19"/>
      <c r="CE320" s="20"/>
      <c r="CF320" s="21"/>
      <c r="CG320" s="21"/>
      <c r="CI320" s="19"/>
      <c r="CJ320" s="18"/>
      <c r="CK320" s="2"/>
      <c r="CL320" s="18"/>
      <c r="CM320" s="118"/>
      <c r="CO320" s="2"/>
      <c r="CP320" s="19"/>
      <c r="CQ320" s="20"/>
      <c r="CR320" s="21"/>
      <c r="CS320" s="21"/>
    </row>
    <row r="321" spans="1:97" x14ac:dyDescent="0.25">
      <c r="A321" s="1">
        <f t="shared" si="116"/>
        <v>295</v>
      </c>
      <c r="B321" s="19">
        <f t="shared" si="117"/>
        <v>84.240048081505208</v>
      </c>
      <c r="C321" s="18">
        <f t="shared" si="131"/>
        <v>4.4677897273284009</v>
      </c>
      <c r="D321" s="2">
        <f t="shared" si="110"/>
        <v>0.92625866049170336</v>
      </c>
      <c r="E321" s="18">
        <f t="shared" si="118"/>
        <v>4.4832273716699289</v>
      </c>
      <c r="F321" s="21">
        <f t="shared" si="111"/>
        <v>1.5068771630968125</v>
      </c>
      <c r="G321" s="1">
        <f t="shared" si="112"/>
        <v>0</v>
      </c>
      <c r="H321" s="2">
        <f t="shared" si="108"/>
        <v>196.10138823137385</v>
      </c>
      <c r="I321" s="19">
        <f t="shared" si="134"/>
        <v>84.892375857737591</v>
      </c>
      <c r="J321" s="20">
        <f t="shared" si="113"/>
        <v>0.92747024749966922</v>
      </c>
      <c r="K321" s="21">
        <f t="shared" si="114"/>
        <v>64.907301104184867</v>
      </c>
      <c r="L321" s="21">
        <f t="shared" si="109"/>
        <v>1.1781467027096064</v>
      </c>
      <c r="M321" s="2">
        <f t="shared" si="119"/>
        <v>50.166574610878136</v>
      </c>
      <c r="N321" s="19">
        <f t="shared" si="132"/>
        <v>309.13135080710339</v>
      </c>
      <c r="O321" s="1">
        <f t="shared" si="120"/>
        <v>295</v>
      </c>
      <c r="P321" s="19">
        <f t="shared" si="121"/>
        <v>169.60700241737655</v>
      </c>
      <c r="Q321" s="18">
        <f t="shared" si="122"/>
        <v>5.9973528933024083</v>
      </c>
      <c r="R321" s="2">
        <f t="shared" si="123"/>
        <v>0.93931397788331972</v>
      </c>
      <c r="S321" s="18">
        <f t="shared" si="124"/>
        <v>6.0130081262671302</v>
      </c>
      <c r="T321" s="18">
        <f t="shared" si="125"/>
        <v>2.6855464319441085</v>
      </c>
      <c r="U321" s="1">
        <f t="shared" si="115"/>
        <v>0</v>
      </c>
      <c r="V321" s="2">
        <f t="shared" si="126"/>
        <v>394.47772201608393</v>
      </c>
      <c r="W321" s="19">
        <f t="shared" si="127"/>
        <v>170.76957663033937</v>
      </c>
      <c r="X321" s="20"/>
      <c r="Y321" s="2">
        <f t="shared" si="128"/>
        <v>150.80425363296428</v>
      </c>
      <c r="Z321" s="21">
        <f t="shared" si="129"/>
        <v>2.119343847408651</v>
      </c>
      <c r="AA321" s="2">
        <f t="shared" si="130"/>
        <v>117.77859396874054</v>
      </c>
      <c r="AB321" s="19">
        <f t="shared" si="133"/>
        <v>67.802163949777011</v>
      </c>
      <c r="AC321" s="2"/>
      <c r="AD321" s="18"/>
      <c r="AE321" s="118"/>
      <c r="AG321" s="2"/>
      <c r="AH321" s="19"/>
      <c r="AI321" s="20"/>
      <c r="AJ321" s="21"/>
      <c r="AK321" s="21"/>
      <c r="AM321" s="19"/>
      <c r="AN321" s="18"/>
      <c r="AO321" s="2"/>
      <c r="AP321" s="18"/>
      <c r="AQ321" s="118"/>
      <c r="AS321" s="2"/>
      <c r="AT321" s="19"/>
      <c r="AU321" s="20"/>
      <c r="AV321" s="21"/>
      <c r="AW321" s="21"/>
      <c r="AY321" s="19"/>
      <c r="AZ321" s="18"/>
      <c r="BA321" s="2"/>
      <c r="BB321" s="18"/>
      <c r="BC321" s="118"/>
      <c r="BE321" s="2"/>
      <c r="BF321" s="19"/>
      <c r="BG321" s="20"/>
      <c r="BH321" s="21"/>
      <c r="BI321" s="21"/>
      <c r="BK321" s="19"/>
      <c r="BL321" s="18"/>
      <c r="BM321" s="2"/>
      <c r="BN321" s="18"/>
      <c r="BO321" s="118"/>
      <c r="BQ321" s="2"/>
      <c r="BR321" s="19"/>
      <c r="BS321" s="20"/>
      <c r="BT321" s="21"/>
      <c r="BU321" s="21"/>
      <c r="BW321" s="19"/>
      <c r="BX321" s="18"/>
      <c r="BY321" s="2"/>
      <c r="BZ321" s="18"/>
      <c r="CA321" s="118"/>
      <c r="CC321" s="2"/>
      <c r="CD321" s="19"/>
      <c r="CE321" s="20"/>
      <c r="CF321" s="21"/>
      <c r="CG321" s="21"/>
      <c r="CI321" s="19"/>
      <c r="CJ321" s="18"/>
      <c r="CK321" s="2"/>
      <c r="CL321" s="18"/>
      <c r="CM321" s="118"/>
      <c r="CO321" s="2"/>
      <c r="CP321" s="19"/>
      <c r="CQ321" s="20"/>
      <c r="CR321" s="21"/>
      <c r="CS321" s="21"/>
    </row>
    <row r="322" spans="1:97" x14ac:dyDescent="0.25">
      <c r="A322" s="1">
        <f t="shared" si="116"/>
        <v>296</v>
      </c>
      <c r="B322" s="19">
        <f t="shared" si="117"/>
        <v>84.892375857737591</v>
      </c>
      <c r="C322" s="18">
        <f t="shared" si="131"/>
        <v>4.4832273716699289</v>
      </c>
      <c r="D322" s="2">
        <f t="shared" si="110"/>
        <v>0.92640157190888373</v>
      </c>
      <c r="E322" s="18">
        <f t="shared" si="118"/>
        <v>4.4986673978684104</v>
      </c>
      <c r="F322" s="21">
        <f t="shared" si="111"/>
        <v>1.5171058863851035</v>
      </c>
      <c r="G322" s="1">
        <f t="shared" si="112"/>
        <v>0</v>
      </c>
      <c r="H322" s="2">
        <f t="shared" si="108"/>
        <v>197.61849411775896</v>
      </c>
      <c r="I322" s="19">
        <f t="shared" si="134"/>
        <v>85.549131652709505</v>
      </c>
      <c r="J322" s="20">
        <f t="shared" si="113"/>
        <v>0.92740963734657467</v>
      </c>
      <c r="K322" s="21">
        <f t="shared" si="114"/>
        <v>65.564207952989619</v>
      </c>
      <c r="L322" s="21">
        <f t="shared" si="109"/>
        <v>1.1862756412004671</v>
      </c>
      <c r="M322" s="2">
        <f t="shared" si="119"/>
        <v>50.680113849493054</v>
      </c>
      <c r="N322" s="19">
        <f t="shared" si="132"/>
        <v>309.29652513677644</v>
      </c>
      <c r="O322" s="1">
        <f t="shared" si="120"/>
        <v>296</v>
      </c>
      <c r="P322" s="19">
        <f t="shared" si="121"/>
        <v>170.76957663033937</v>
      </c>
      <c r="Q322" s="18">
        <f t="shared" si="122"/>
        <v>6.0130081262671302</v>
      </c>
      <c r="R322" s="2">
        <f t="shared" si="123"/>
        <v>0.9394423182126489</v>
      </c>
      <c r="S322" s="18">
        <f t="shared" si="124"/>
        <v>6.0286654982373413</v>
      </c>
      <c r="T322" s="18">
        <f t="shared" si="125"/>
        <v>2.6993315055272604</v>
      </c>
      <c r="U322" s="1">
        <f t="shared" si="115"/>
        <v>0</v>
      </c>
      <c r="V322" s="2">
        <f t="shared" si="126"/>
        <v>397.17705352161124</v>
      </c>
      <c r="W322" s="19">
        <f t="shared" si="127"/>
        <v>171.9381184076239</v>
      </c>
      <c r="X322" s="20"/>
      <c r="Y322" s="2">
        <f t="shared" si="128"/>
        <v>151.97306417485757</v>
      </c>
      <c r="Z322" s="21">
        <f t="shared" si="129"/>
        <v>2.1303954068275455</v>
      </c>
      <c r="AA322" s="2">
        <f t="shared" si="130"/>
        <v>118.70084306260527</v>
      </c>
      <c r="AB322" s="19">
        <f t="shared" si="133"/>
        <v>67.925315966261493</v>
      </c>
      <c r="AC322" s="2"/>
      <c r="AD322" s="18"/>
      <c r="AE322" s="118"/>
      <c r="AG322" s="2"/>
      <c r="AH322" s="19"/>
      <c r="AI322" s="20"/>
      <c r="AJ322" s="21"/>
      <c r="AK322" s="21"/>
      <c r="AM322" s="19"/>
      <c r="AN322" s="18"/>
      <c r="AO322" s="2"/>
      <c r="AP322" s="18"/>
      <c r="AQ322" s="118"/>
      <c r="AS322" s="2"/>
      <c r="AT322" s="19"/>
      <c r="AU322" s="20"/>
      <c r="AV322" s="21"/>
      <c r="AW322" s="21"/>
      <c r="AY322" s="19"/>
      <c r="AZ322" s="18"/>
      <c r="BA322" s="2"/>
      <c r="BB322" s="18"/>
      <c r="BC322" s="118"/>
      <c r="BE322" s="2"/>
      <c r="BF322" s="19"/>
      <c r="BG322" s="20"/>
      <c r="BH322" s="21"/>
      <c r="BI322" s="21"/>
      <c r="BK322" s="19"/>
      <c r="BL322" s="18"/>
      <c r="BM322" s="2"/>
      <c r="BN322" s="18"/>
      <c r="BO322" s="118"/>
      <c r="BQ322" s="2"/>
      <c r="BR322" s="19"/>
      <c r="BS322" s="20"/>
      <c r="BT322" s="21"/>
      <c r="BU322" s="21"/>
      <c r="BW322" s="19"/>
      <c r="BX322" s="18"/>
      <c r="BY322" s="2"/>
      <c r="BZ322" s="18"/>
      <c r="CA322" s="118"/>
      <c r="CC322" s="2"/>
      <c r="CD322" s="19"/>
      <c r="CE322" s="20"/>
      <c r="CF322" s="21"/>
      <c r="CG322" s="21"/>
      <c r="CI322" s="19"/>
      <c r="CJ322" s="18"/>
      <c r="CK322" s="2"/>
      <c r="CL322" s="18"/>
      <c r="CM322" s="118"/>
      <c r="CO322" s="2"/>
      <c r="CP322" s="19"/>
      <c r="CQ322" s="20"/>
      <c r="CR322" s="21"/>
      <c r="CS322" s="21"/>
    </row>
    <row r="323" spans="1:97" x14ac:dyDescent="0.25">
      <c r="A323" s="1">
        <f t="shared" si="116"/>
        <v>297</v>
      </c>
      <c r="B323" s="19">
        <f t="shared" si="117"/>
        <v>85.549131652709505</v>
      </c>
      <c r="C323" s="18">
        <f t="shared" si="131"/>
        <v>4.4986673978684104</v>
      </c>
      <c r="D323" s="2">
        <f t="shared" si="110"/>
        <v>0.92654437034145087</v>
      </c>
      <c r="E323" s="18">
        <f t="shared" si="118"/>
        <v>4.5141098040407677</v>
      </c>
      <c r="F323" s="21">
        <f t="shared" si="111"/>
        <v>1.5273702909418032</v>
      </c>
      <c r="G323" s="1">
        <f t="shared" si="112"/>
        <v>0</v>
      </c>
      <c r="H323" s="2">
        <f t="shared" si="108"/>
        <v>199.14586440870076</v>
      </c>
      <c r="I323" s="19">
        <f t="shared" si="134"/>
        <v>86.210330912857472</v>
      </c>
      <c r="J323" s="20">
        <f t="shared" si="113"/>
        <v>0.92734895288829688</v>
      </c>
      <c r="K323" s="21">
        <f t="shared" si="114"/>
        <v>66.225559288967418</v>
      </c>
      <c r="L323" s="21">
        <f t="shared" si="109"/>
        <v>1.1944337867339161</v>
      </c>
      <c r="M323" s="2">
        <f t="shared" si="119"/>
        <v>51.197184752841068</v>
      </c>
      <c r="N323" s="19">
        <f t="shared" si="132"/>
        <v>309.46113256613171</v>
      </c>
      <c r="O323" s="1">
        <f t="shared" si="120"/>
        <v>297</v>
      </c>
      <c r="P323" s="19">
        <f t="shared" si="121"/>
        <v>171.9381184076239</v>
      </c>
      <c r="Q323" s="18">
        <f t="shared" si="122"/>
        <v>6.0286654982373413</v>
      </c>
      <c r="R323" s="2">
        <f t="shared" si="123"/>
        <v>0.93957045735081457</v>
      </c>
      <c r="S323" s="18">
        <f t="shared" si="124"/>
        <v>6.0443250058598545</v>
      </c>
      <c r="T323" s="18">
        <f t="shared" si="125"/>
        <v>2.7131532617765619</v>
      </c>
      <c r="U323" s="1">
        <f t="shared" si="115"/>
        <v>0</v>
      </c>
      <c r="V323" s="2">
        <f t="shared" si="126"/>
        <v>399.89020678338778</v>
      </c>
      <c r="W323" s="19">
        <f t="shared" si="127"/>
        <v>173.1126436291722</v>
      </c>
      <c r="X323" s="20"/>
      <c r="Y323" s="2">
        <f t="shared" si="128"/>
        <v>153.14785953720681</v>
      </c>
      <c r="Z323" s="21">
        <f t="shared" si="129"/>
        <v>2.1414772194716098</v>
      </c>
      <c r="AA323" s="2">
        <f t="shared" si="130"/>
        <v>119.62788947796095</v>
      </c>
      <c r="AB323" s="19">
        <f t="shared" si="133"/>
        <v>68.048148138008941</v>
      </c>
      <c r="AC323" s="2"/>
      <c r="AD323" s="18"/>
      <c r="AE323" s="118"/>
      <c r="AG323" s="2"/>
      <c r="AH323" s="19"/>
      <c r="AI323" s="20"/>
      <c r="AJ323" s="21"/>
      <c r="AK323" s="21"/>
      <c r="AM323" s="19"/>
      <c r="AN323" s="18"/>
      <c r="AO323" s="2"/>
      <c r="AP323" s="18"/>
      <c r="AQ323" s="118"/>
      <c r="AS323" s="2"/>
      <c r="AT323" s="19"/>
      <c r="AU323" s="20"/>
      <c r="AV323" s="21"/>
      <c r="AW323" s="21"/>
      <c r="AY323" s="19"/>
      <c r="AZ323" s="18"/>
      <c r="BA323" s="2"/>
      <c r="BB323" s="18"/>
      <c r="BC323" s="118"/>
      <c r="BE323" s="2"/>
      <c r="BF323" s="19"/>
      <c r="BG323" s="20"/>
      <c r="BH323" s="21"/>
      <c r="BI323" s="21"/>
      <c r="BK323" s="19"/>
      <c r="BL323" s="18"/>
      <c r="BM323" s="2"/>
      <c r="BN323" s="18"/>
      <c r="BO323" s="118"/>
      <c r="BQ323" s="2"/>
      <c r="BR323" s="19"/>
      <c r="BS323" s="20"/>
      <c r="BT323" s="21"/>
      <c r="BU323" s="21"/>
      <c r="BW323" s="19"/>
      <c r="BX323" s="18"/>
      <c r="BY323" s="2"/>
      <c r="BZ323" s="18"/>
      <c r="CA323" s="118"/>
      <c r="CC323" s="2"/>
      <c r="CD323" s="19"/>
      <c r="CE323" s="20"/>
      <c r="CF323" s="21"/>
      <c r="CG323" s="21"/>
      <c r="CI323" s="19"/>
      <c r="CJ323" s="18"/>
      <c r="CK323" s="2"/>
      <c r="CL323" s="18"/>
      <c r="CM323" s="118"/>
      <c r="CO323" s="2"/>
      <c r="CP323" s="19"/>
      <c r="CQ323" s="20"/>
      <c r="CR323" s="21"/>
      <c r="CS323" s="21"/>
    </row>
    <row r="324" spans="1:97" x14ac:dyDescent="0.25">
      <c r="A324" s="1">
        <f t="shared" si="116"/>
        <v>298</v>
      </c>
      <c r="B324" s="19">
        <f t="shared" si="117"/>
        <v>86.210330912857472</v>
      </c>
      <c r="C324" s="18">
        <f t="shared" si="131"/>
        <v>4.5141098040407677</v>
      </c>
      <c r="D324" s="2">
        <f t="shared" si="110"/>
        <v>0.92668705375216165</v>
      </c>
      <c r="E324" s="18">
        <f t="shared" si="118"/>
        <v>4.5295545882699706</v>
      </c>
      <c r="F324" s="21">
        <f t="shared" si="111"/>
        <v>1.5376703881365565</v>
      </c>
      <c r="G324" s="1">
        <f t="shared" si="112"/>
        <v>0</v>
      </c>
      <c r="H324" s="2">
        <f t="shared" si="108"/>
        <v>200.68353479683731</v>
      </c>
      <c r="I324" s="19">
        <f t="shared" si="134"/>
        <v>86.875989089539956</v>
      </c>
      <c r="J324" s="20">
        <f t="shared" si="113"/>
        <v>0.92728819537292229</v>
      </c>
      <c r="K324" s="21">
        <f t="shared" si="114"/>
        <v>66.891370567030549</v>
      </c>
      <c r="L324" s="21">
        <f t="shared" si="109"/>
        <v>1.2026211512177547</v>
      </c>
      <c r="M324" s="2">
        <f t="shared" si="119"/>
        <v>51.717799969818451</v>
      </c>
      <c r="N324" s="19">
        <f t="shared" si="132"/>
        <v>309.625176886725</v>
      </c>
      <c r="O324" s="1">
        <f t="shared" si="120"/>
        <v>298</v>
      </c>
      <c r="P324" s="19">
        <f t="shared" si="121"/>
        <v>173.1126436291722</v>
      </c>
      <c r="Q324" s="18">
        <f t="shared" si="122"/>
        <v>6.0443250058598545</v>
      </c>
      <c r="R324" s="2">
        <f t="shared" si="123"/>
        <v>0.93969839546485967</v>
      </c>
      <c r="S324" s="18">
        <f t="shared" si="124"/>
        <v>6.059986645784269</v>
      </c>
      <c r="T324" s="18">
        <f t="shared" si="125"/>
        <v>2.7270117096382003</v>
      </c>
      <c r="U324" s="1">
        <f t="shared" si="115"/>
        <v>0</v>
      </c>
      <c r="V324" s="2">
        <f t="shared" si="126"/>
        <v>402.61721849302597</v>
      </c>
      <c r="W324" s="19">
        <f t="shared" si="127"/>
        <v>174.29316817879911</v>
      </c>
      <c r="X324" s="20"/>
      <c r="Y324" s="2">
        <f t="shared" si="128"/>
        <v>154.32865560748016</v>
      </c>
      <c r="Z324" s="21">
        <f t="shared" si="129"/>
        <v>2.1525892947225351</v>
      </c>
      <c r="AA324" s="2">
        <f t="shared" si="130"/>
        <v>120.55974631550318</v>
      </c>
      <c r="AB324" s="19">
        <f t="shared" si="133"/>
        <v>68.170662078799594</v>
      </c>
      <c r="AC324" s="2"/>
      <c r="AD324" s="18"/>
      <c r="AE324" s="118"/>
      <c r="AG324" s="2"/>
      <c r="AH324" s="19"/>
      <c r="AI324" s="20"/>
      <c r="AJ324" s="21"/>
      <c r="AK324" s="21"/>
      <c r="AM324" s="19"/>
      <c r="AN324" s="18"/>
      <c r="AO324" s="2"/>
      <c r="AP324" s="18"/>
      <c r="AQ324" s="118"/>
      <c r="AS324" s="2"/>
      <c r="AT324" s="19"/>
      <c r="AU324" s="20"/>
      <c r="AV324" s="21"/>
      <c r="AW324" s="21"/>
      <c r="AY324" s="19"/>
      <c r="AZ324" s="18"/>
      <c r="BA324" s="2"/>
      <c r="BB324" s="18"/>
      <c r="BC324" s="118"/>
      <c r="BE324" s="2"/>
      <c r="BF324" s="19"/>
      <c r="BG324" s="20"/>
      <c r="BH324" s="21"/>
      <c r="BI324" s="21"/>
      <c r="BK324" s="19"/>
      <c r="BL324" s="18"/>
      <c r="BM324" s="2"/>
      <c r="BN324" s="18"/>
      <c r="BO324" s="118"/>
      <c r="BQ324" s="2"/>
      <c r="BR324" s="19"/>
      <c r="BS324" s="20"/>
      <c r="BT324" s="21"/>
      <c r="BU324" s="21"/>
      <c r="BW324" s="19"/>
      <c r="BX324" s="18"/>
      <c r="BY324" s="2"/>
      <c r="BZ324" s="18"/>
      <c r="CA324" s="118"/>
      <c r="CC324" s="2"/>
      <c r="CD324" s="19"/>
      <c r="CE324" s="20"/>
      <c r="CF324" s="21"/>
      <c r="CG324" s="21"/>
      <c r="CI324" s="19"/>
      <c r="CJ324" s="18"/>
      <c r="CK324" s="2"/>
      <c r="CL324" s="18"/>
      <c r="CM324" s="118"/>
      <c r="CO324" s="2"/>
      <c r="CP324" s="19"/>
      <c r="CQ324" s="20"/>
      <c r="CR324" s="21"/>
      <c r="CS324" s="21"/>
    </row>
    <row r="325" spans="1:97" x14ac:dyDescent="0.25">
      <c r="A325" s="1">
        <f t="shared" si="116"/>
        <v>299</v>
      </c>
      <c r="B325" s="19">
        <f t="shared" si="117"/>
        <v>86.875989089539956</v>
      </c>
      <c r="C325" s="18">
        <f t="shared" si="131"/>
        <v>4.5295545882699706</v>
      </c>
      <c r="D325" s="2">
        <f t="shared" si="110"/>
        <v>0.92682962014446812</v>
      </c>
      <c r="E325" s="18">
        <f t="shared" si="118"/>
        <v>4.5450017486057117</v>
      </c>
      <c r="F325" s="21">
        <f t="shared" si="111"/>
        <v>1.5480061893115475</v>
      </c>
      <c r="G325" s="1">
        <f t="shared" si="112"/>
        <v>0</v>
      </c>
      <c r="H325" s="2">
        <f t="shared" si="108"/>
        <v>202.23154098614884</v>
      </c>
      <c r="I325" s="19">
        <f t="shared" si="134"/>
        <v>87.546121639025472</v>
      </c>
      <c r="J325" s="20">
        <f t="shared" si="113"/>
        <v>0.92722736603848899</v>
      </c>
      <c r="K325" s="21">
        <f t="shared" si="114"/>
        <v>67.561657247002444</v>
      </c>
      <c r="L325" s="21">
        <f t="shared" si="109"/>
        <v>1.2108377465301592</v>
      </c>
      <c r="M325" s="2">
        <f t="shared" si="119"/>
        <v>52.241972154463539</v>
      </c>
      <c r="N325" s="19">
        <f t="shared" si="132"/>
        <v>309.78866185228986</v>
      </c>
      <c r="O325" s="1">
        <f t="shared" si="120"/>
        <v>299</v>
      </c>
      <c r="P325" s="19">
        <f t="shared" si="121"/>
        <v>174.29316817879911</v>
      </c>
      <c r="Q325" s="18">
        <f t="shared" si="122"/>
        <v>6.059986645784269</v>
      </c>
      <c r="R325" s="2">
        <f t="shared" si="123"/>
        <v>0.939826132728243</v>
      </c>
      <c r="S325" s="18">
        <f t="shared" si="124"/>
        <v>6.0756504146630732</v>
      </c>
      <c r="T325" s="18">
        <f t="shared" si="125"/>
        <v>2.7409068580380884</v>
      </c>
      <c r="U325" s="1">
        <f t="shared" si="115"/>
        <v>0</v>
      </c>
      <c r="V325" s="2">
        <f t="shared" si="126"/>
        <v>405.35812535106407</v>
      </c>
      <c r="W325" s="19">
        <f t="shared" si="127"/>
        <v>175.47970794418359</v>
      </c>
      <c r="X325" s="20"/>
      <c r="Y325" s="2">
        <f t="shared" si="128"/>
        <v>155.51546827701065</v>
      </c>
      <c r="Z325" s="21">
        <f t="shared" si="129"/>
        <v>2.1637316419410664</v>
      </c>
      <c r="AA325" s="2">
        <f t="shared" si="130"/>
        <v>121.49642667997983</v>
      </c>
      <c r="AB325" s="19">
        <f t="shared" si="133"/>
        <v>68.292859390307299</v>
      </c>
      <c r="AC325" s="2"/>
      <c r="AD325" s="18"/>
      <c r="AE325" s="118"/>
      <c r="AG325" s="2"/>
      <c r="AH325" s="19"/>
      <c r="AI325" s="20"/>
      <c r="AJ325" s="21"/>
      <c r="AK325" s="21"/>
      <c r="AM325" s="19"/>
      <c r="AN325" s="18"/>
      <c r="AO325" s="2"/>
      <c r="AP325" s="18"/>
      <c r="AQ325" s="118"/>
      <c r="AS325" s="2"/>
      <c r="AT325" s="19"/>
      <c r="AU325" s="20"/>
      <c r="AV325" s="21"/>
      <c r="AW325" s="21"/>
      <c r="AY325" s="19"/>
      <c r="AZ325" s="18"/>
      <c r="BA325" s="2"/>
      <c r="BB325" s="18"/>
      <c r="BC325" s="118"/>
      <c r="BE325" s="2"/>
      <c r="BF325" s="19"/>
      <c r="BG325" s="20"/>
      <c r="BH325" s="21"/>
      <c r="BI325" s="21"/>
      <c r="BK325" s="19"/>
      <c r="BL325" s="18"/>
      <c r="BM325" s="2"/>
      <c r="BN325" s="18"/>
      <c r="BO325" s="118"/>
      <c r="BQ325" s="2"/>
      <c r="BR325" s="19"/>
      <c r="BS325" s="20"/>
      <c r="BT325" s="21"/>
      <c r="BU325" s="21"/>
      <c r="BW325" s="19"/>
      <c r="BX325" s="18"/>
      <c r="BY325" s="2"/>
      <c r="BZ325" s="18"/>
      <c r="CA325" s="118"/>
      <c r="CC325" s="2"/>
      <c r="CD325" s="19"/>
      <c r="CE325" s="20"/>
      <c r="CF325" s="21"/>
      <c r="CG325" s="21"/>
      <c r="CI325" s="19"/>
      <c r="CJ325" s="18"/>
      <c r="CK325" s="2"/>
      <c r="CL325" s="18"/>
      <c r="CM325" s="118"/>
      <c r="CO325" s="2"/>
      <c r="CP325" s="19"/>
      <c r="CQ325" s="20"/>
      <c r="CR325" s="21"/>
      <c r="CS325" s="21"/>
    </row>
    <row r="326" spans="1:97" x14ac:dyDescent="0.25">
      <c r="A326" s="1">
        <f t="shared" si="116"/>
        <v>300</v>
      </c>
      <c r="B326" s="19">
        <f t="shared" si="117"/>
        <v>87.546121639025472</v>
      </c>
      <c r="C326" s="18">
        <f t="shared" si="131"/>
        <v>4.5450017486057117</v>
      </c>
      <c r="D326" s="2">
        <f t="shared" si="110"/>
        <v>0.92697206756196293</v>
      </c>
      <c r="E326" s="18">
        <f t="shared" si="118"/>
        <v>4.5604512830650776</v>
      </c>
      <c r="F326" s="21">
        <f t="shared" si="111"/>
        <v>1.5583777057815076</v>
      </c>
      <c r="G326" s="1">
        <f t="shared" si="112"/>
        <v>0</v>
      </c>
      <c r="H326" s="2">
        <f t="shared" si="108"/>
        <v>203.78991869193035</v>
      </c>
      <c r="I326" s="19">
        <f t="shared" si="134"/>
        <v>88.220744022480673</v>
      </c>
      <c r="J326" s="20">
        <f t="shared" si="113"/>
        <v>0.92716646611301234</v>
      </c>
      <c r="K326" s="21">
        <f t="shared" si="114"/>
        <v>68.236434793605838</v>
      </c>
      <c r="L326" s="21">
        <f t="shared" si="109"/>
        <v>1.2190835845197325</v>
      </c>
      <c r="M326" s="2">
        <f t="shared" si="119"/>
        <v>52.769713965943943</v>
      </c>
      <c r="N326" s="19">
        <f t="shared" si="132"/>
        <v>309.95159117923998</v>
      </c>
      <c r="O326" s="1">
        <f t="shared" si="120"/>
        <v>300</v>
      </c>
      <c r="P326" s="19">
        <f t="shared" si="121"/>
        <v>175.47970794418359</v>
      </c>
      <c r="Q326" s="18">
        <f t="shared" si="122"/>
        <v>6.0756504146630732</v>
      </c>
      <c r="R326" s="2">
        <f t="shared" si="123"/>
        <v>0.9399536693206999</v>
      </c>
      <c r="S326" s="18">
        <f t="shared" si="124"/>
        <v>6.0913163091517513</v>
      </c>
      <c r="T326" s="18">
        <f t="shared" si="125"/>
        <v>2.7548387158819576</v>
      </c>
      <c r="U326" s="1">
        <f t="shared" si="115"/>
        <v>0</v>
      </c>
      <c r="V326" s="2">
        <f t="shared" si="126"/>
        <v>408.11296406694601</v>
      </c>
      <c r="W326" s="19">
        <f t="shared" si="127"/>
        <v>176.67227881685974</v>
      </c>
      <c r="X326" s="20"/>
      <c r="Y326" s="2">
        <f t="shared" si="128"/>
        <v>156.70831344098755</v>
      </c>
      <c r="Z326" s="21">
        <f t="shared" si="129"/>
        <v>2.1749042704670951</v>
      </c>
      <c r="AA326" s="2">
        <f t="shared" si="130"/>
        <v>122.43794368018204</v>
      </c>
      <c r="AB326" s="19">
        <f t="shared" si="133"/>
        <v>68.414741662220152</v>
      </c>
      <c r="AC326" s="2"/>
      <c r="AD326" s="18"/>
      <c r="AE326" s="118"/>
      <c r="AG326" s="2"/>
      <c r="AH326" s="19"/>
      <c r="AI326" s="20"/>
      <c r="AJ326" s="21"/>
      <c r="AK326" s="21"/>
      <c r="AM326" s="19"/>
      <c r="AN326" s="18"/>
      <c r="AO326" s="2"/>
      <c r="AP326" s="18"/>
      <c r="AQ326" s="118"/>
      <c r="AS326" s="2"/>
      <c r="AT326" s="19"/>
      <c r="AU326" s="20"/>
      <c r="AV326" s="21"/>
      <c r="AW326" s="21"/>
      <c r="AY326" s="19"/>
      <c r="AZ326" s="18"/>
      <c r="BA326" s="2"/>
      <c r="BB326" s="18"/>
      <c r="BC326" s="118"/>
      <c r="BE326" s="2"/>
      <c r="BF326" s="19"/>
      <c r="BG326" s="20"/>
      <c r="BH326" s="21"/>
      <c r="BI326" s="21"/>
      <c r="BK326" s="19"/>
      <c r="BL326" s="18"/>
      <c r="BM326" s="2"/>
      <c r="BN326" s="18"/>
      <c r="BO326" s="118"/>
      <c r="BQ326" s="2"/>
      <c r="BR326" s="19"/>
      <c r="BS326" s="20"/>
      <c r="BT326" s="21"/>
      <c r="BU326" s="21"/>
      <c r="BW326" s="19"/>
      <c r="BX326" s="18"/>
      <c r="BY326" s="2"/>
      <c r="BZ326" s="18"/>
      <c r="CA326" s="118"/>
      <c r="CC326" s="2"/>
      <c r="CD326" s="19"/>
      <c r="CE326" s="20"/>
      <c r="CF326" s="21"/>
      <c r="CG326" s="21"/>
      <c r="CI326" s="19"/>
      <c r="CJ326" s="18"/>
      <c r="CK326" s="2"/>
      <c r="CL326" s="18"/>
      <c r="CM326" s="118"/>
      <c r="CO326" s="2"/>
      <c r="CP326" s="19"/>
      <c r="CQ326" s="20"/>
      <c r="CR326" s="21"/>
      <c r="CS326" s="21"/>
    </row>
    <row r="327" spans="1:97" x14ac:dyDescent="0.25">
      <c r="A327" s="1">
        <f t="shared" si="116"/>
        <v>301</v>
      </c>
      <c r="B327" s="19">
        <f t="shared" si="117"/>
        <v>88.220744022480673</v>
      </c>
      <c r="C327" s="18">
        <f t="shared" si="131"/>
        <v>4.5604512830650776</v>
      </c>
      <c r="D327" s="2">
        <f t="shared" si="110"/>
        <v>0.92711439408782781</v>
      </c>
      <c r="E327" s="18">
        <f t="shared" si="118"/>
        <v>4.5759031896332081</v>
      </c>
      <c r="F327" s="21">
        <f t="shared" si="111"/>
        <v>1.5687849488337298</v>
      </c>
      <c r="G327" s="1">
        <f t="shared" si="112"/>
        <v>0</v>
      </c>
      <c r="H327" s="2">
        <f t="shared" si="108"/>
        <v>205.35870364076408</v>
      </c>
      <c r="I327" s="19">
        <f t="shared" si="134"/>
        <v>88.899871705958475</v>
      </c>
      <c r="J327" s="20">
        <f t="shared" si="113"/>
        <v>0.92710549681451093</v>
      </c>
      <c r="K327" s="21">
        <f t="shared" si="114"/>
        <v>68.915718676450837</v>
      </c>
      <c r="L327" s="21">
        <f t="shared" si="109"/>
        <v>1.2273586770055593</v>
      </c>
      <c r="M327" s="2">
        <f t="shared" si="119"/>
        <v>53.301038068543754</v>
      </c>
      <c r="N327" s="19">
        <f t="shared" si="132"/>
        <v>310.11396854716349</v>
      </c>
      <c r="O327" s="1">
        <f t="shared" si="120"/>
        <v>301</v>
      </c>
      <c r="P327" s="19">
        <f t="shared" si="121"/>
        <v>176.67227881685974</v>
      </c>
      <c r="Q327" s="18">
        <f t="shared" si="122"/>
        <v>6.0913163091517513</v>
      </c>
      <c r="R327" s="2">
        <f t="shared" si="123"/>
        <v>0.94008100542810558</v>
      </c>
      <c r="S327" s="18">
        <f t="shared" si="124"/>
        <v>6.1069843259088863</v>
      </c>
      <c r="T327" s="18">
        <f t="shared" si="125"/>
        <v>2.7688072920554463</v>
      </c>
      <c r="U327" s="1">
        <f t="shared" si="115"/>
        <v>0</v>
      </c>
      <c r="V327" s="2">
        <f t="shared" si="126"/>
        <v>410.88177135900145</v>
      </c>
      <c r="W327" s="19">
        <f t="shared" si="127"/>
        <v>177.87089669220842</v>
      </c>
      <c r="X327" s="20"/>
      <c r="Y327" s="2">
        <f t="shared" si="128"/>
        <v>157.90720699844755</v>
      </c>
      <c r="Z327" s="21">
        <f t="shared" si="129"/>
        <v>2.1861071896197508</v>
      </c>
      <c r="AA327" s="2">
        <f t="shared" si="130"/>
        <v>123.38431042893518</v>
      </c>
      <c r="AB327" s="19">
        <f t="shared" si="133"/>
        <v>68.53631047235973</v>
      </c>
      <c r="AC327" s="2"/>
      <c r="AD327" s="18"/>
      <c r="AE327" s="118"/>
      <c r="AG327" s="2"/>
      <c r="AH327" s="19"/>
      <c r="AI327" s="20"/>
      <c r="AJ327" s="21"/>
      <c r="AK327" s="21"/>
      <c r="AM327" s="19"/>
      <c r="AN327" s="18"/>
      <c r="AO327" s="2"/>
      <c r="AP327" s="18"/>
      <c r="AQ327" s="118"/>
      <c r="AS327" s="2"/>
      <c r="AT327" s="19"/>
      <c r="AU327" s="20"/>
      <c r="AV327" s="21"/>
      <c r="AW327" s="21"/>
      <c r="AY327" s="19"/>
      <c r="AZ327" s="18"/>
      <c r="BA327" s="2"/>
      <c r="BB327" s="18"/>
      <c r="BC327" s="118"/>
      <c r="BE327" s="2"/>
      <c r="BF327" s="19"/>
      <c r="BG327" s="20"/>
      <c r="BH327" s="21"/>
      <c r="BI327" s="21"/>
      <c r="BK327" s="19"/>
      <c r="BL327" s="18"/>
      <c r="BM327" s="2"/>
      <c r="BN327" s="18"/>
      <c r="BO327" s="118"/>
      <c r="BQ327" s="2"/>
      <c r="BR327" s="19"/>
      <c r="BS327" s="20"/>
      <c r="BT327" s="21"/>
      <c r="BU327" s="21"/>
      <c r="BW327" s="19"/>
      <c r="BX327" s="18"/>
      <c r="BY327" s="2"/>
      <c r="BZ327" s="18"/>
      <c r="CA327" s="118"/>
      <c r="CC327" s="2"/>
      <c r="CD327" s="19"/>
      <c r="CE327" s="20"/>
      <c r="CF327" s="21"/>
      <c r="CG327" s="21"/>
      <c r="CI327" s="19"/>
      <c r="CJ327" s="18"/>
      <c r="CK327" s="2"/>
      <c r="CL327" s="18"/>
      <c r="CM327" s="118"/>
      <c r="CO327" s="2"/>
      <c r="CP327" s="19"/>
      <c r="CQ327" s="20"/>
      <c r="CR327" s="21"/>
      <c r="CS327" s="21"/>
    </row>
    <row r="328" spans="1:97" x14ac:dyDescent="0.25">
      <c r="A328" s="1">
        <f t="shared" si="116"/>
        <v>302</v>
      </c>
      <c r="B328" s="19">
        <f t="shared" si="117"/>
        <v>88.899871705958475</v>
      </c>
      <c r="C328" s="18">
        <f t="shared" si="131"/>
        <v>4.5759031896332081</v>
      </c>
      <c r="D328" s="2">
        <f t="shared" si="110"/>
        <v>0.92725659784428793</v>
      </c>
      <c r="E328" s="18">
        <f t="shared" si="118"/>
        <v>4.591357466263946</v>
      </c>
      <c r="F328" s="21">
        <f t="shared" si="111"/>
        <v>1.5792279297280774</v>
      </c>
      <c r="G328" s="1">
        <f t="shared" si="112"/>
        <v>0</v>
      </c>
      <c r="H328" s="2">
        <f t="shared" si="108"/>
        <v>206.93793157049217</v>
      </c>
      <c r="I328" s="19">
        <f t="shared" si="134"/>
        <v>89.583520160386215</v>
      </c>
      <c r="J328" s="20">
        <f t="shared" si="113"/>
        <v>0.92704445935103552</v>
      </c>
      <c r="K328" s="21">
        <f t="shared" si="114"/>
        <v>69.59952437002309</v>
      </c>
      <c r="L328" s="21">
        <f t="shared" si="109"/>
        <v>1.2356630357772571</v>
      </c>
      <c r="M328" s="2">
        <f t="shared" si="119"/>
        <v>53.835957131650794</v>
      </c>
      <c r="N328" s="19">
        <f t="shared" si="132"/>
        <v>310.27579759930887</v>
      </c>
      <c r="O328" s="1">
        <f t="shared" si="120"/>
        <v>302</v>
      </c>
      <c r="P328" s="19">
        <f t="shared" si="121"/>
        <v>177.87089669220842</v>
      </c>
      <c r="Q328" s="18">
        <f t="shared" si="122"/>
        <v>6.1069843259088863</v>
      </c>
      <c r="R328" s="2">
        <f t="shared" si="123"/>
        <v>0.94020814124233953</v>
      </c>
      <c r="S328" s="18">
        <f t="shared" si="124"/>
        <v>6.1226544615962588</v>
      </c>
      <c r="T328" s="18">
        <f t="shared" si="125"/>
        <v>2.7828125954241907</v>
      </c>
      <c r="U328" s="1">
        <f t="shared" si="115"/>
        <v>0</v>
      </c>
      <c r="V328" s="2">
        <f t="shared" si="126"/>
        <v>413.66458395442567</v>
      </c>
      <c r="W328" s="19">
        <f t="shared" si="127"/>
        <v>179.07557746944835</v>
      </c>
      <c r="X328" s="20"/>
      <c r="Y328" s="2">
        <f t="shared" si="128"/>
        <v>159.11216485226623</v>
      </c>
      <c r="Z328" s="21">
        <f t="shared" si="129"/>
        <v>2.1973404086974959</v>
      </c>
      <c r="AA328" s="2">
        <f t="shared" si="130"/>
        <v>124.33554004308994</v>
      </c>
      <c r="AB328" s="19">
        <f t="shared" si="133"/>
        <v>68.657567386798789</v>
      </c>
      <c r="AC328" s="2"/>
      <c r="AD328" s="18"/>
      <c r="AE328" s="118"/>
      <c r="AG328" s="2"/>
      <c r="AH328" s="19"/>
      <c r="AI328" s="20"/>
      <c r="AJ328" s="21"/>
      <c r="AK328" s="21"/>
      <c r="AM328" s="19"/>
      <c r="AN328" s="18"/>
      <c r="AO328" s="2"/>
      <c r="AP328" s="18"/>
      <c r="AQ328" s="118"/>
      <c r="AS328" s="2"/>
      <c r="AT328" s="19"/>
      <c r="AU328" s="20"/>
      <c r="AV328" s="21"/>
      <c r="AW328" s="21"/>
      <c r="AY328" s="19"/>
      <c r="AZ328" s="18"/>
      <c r="BA328" s="2"/>
      <c r="BB328" s="18"/>
      <c r="BC328" s="118"/>
      <c r="BE328" s="2"/>
      <c r="BF328" s="19"/>
      <c r="BG328" s="20"/>
      <c r="BH328" s="21"/>
      <c r="BI328" s="21"/>
      <c r="BK328" s="19"/>
      <c r="BL328" s="18"/>
      <c r="BM328" s="2"/>
      <c r="BN328" s="18"/>
      <c r="BO328" s="118"/>
      <c r="BQ328" s="2"/>
      <c r="BR328" s="19"/>
      <c r="BS328" s="20"/>
      <c r="BT328" s="21"/>
      <c r="BU328" s="21"/>
      <c r="BW328" s="19"/>
      <c r="BX328" s="18"/>
      <c r="BY328" s="2"/>
      <c r="BZ328" s="18"/>
      <c r="CA328" s="118"/>
      <c r="CC328" s="2"/>
      <c r="CD328" s="19"/>
      <c r="CE328" s="20"/>
      <c r="CF328" s="21"/>
      <c r="CG328" s="21"/>
      <c r="CI328" s="19"/>
      <c r="CJ328" s="18"/>
      <c r="CK328" s="2"/>
      <c r="CL328" s="18"/>
      <c r="CM328" s="118"/>
      <c r="CO328" s="2"/>
      <c r="CP328" s="19"/>
      <c r="CQ328" s="20"/>
      <c r="CR328" s="21"/>
      <c r="CS328" s="21"/>
    </row>
    <row r="329" spans="1:97" x14ac:dyDescent="0.25">
      <c r="A329" s="1">
        <f t="shared" si="116"/>
        <v>303</v>
      </c>
      <c r="B329" s="19">
        <f t="shared" si="117"/>
        <v>89.583520160386215</v>
      </c>
      <c r="C329" s="18">
        <f t="shared" si="131"/>
        <v>4.591357466263946</v>
      </c>
      <c r="D329" s="2">
        <f t="shared" si="110"/>
        <v>0.92739867699206879</v>
      </c>
      <c r="E329" s="18">
        <f t="shared" si="118"/>
        <v>4.6068141108804808</v>
      </c>
      <c r="F329" s="21">
        <f t="shared" si="111"/>
        <v>1.5897066596970064</v>
      </c>
      <c r="G329" s="1">
        <f t="shared" si="112"/>
        <v>0</v>
      </c>
      <c r="H329" s="2">
        <f t="shared" si="108"/>
        <v>208.52763823018918</v>
      </c>
      <c r="I329" s="19">
        <f t="shared" si="134"/>
        <v>90.271704861553758</v>
      </c>
      <c r="J329" s="20">
        <f t="shared" si="113"/>
        <v>0.92698335492069805</v>
      </c>
      <c r="K329" s="21">
        <f t="shared" si="114"/>
        <v>70.287867353671899</v>
      </c>
      <c r="L329" s="21">
        <f t="shared" si="109"/>
        <v>1.2439966725950373</v>
      </c>
      <c r="M329" s="2">
        <f t="shared" si="119"/>
        <v>54.37448382974388</v>
      </c>
      <c r="N329" s="19">
        <f t="shared" si="132"/>
        <v>310.43708194306311</v>
      </c>
      <c r="O329" s="1">
        <f t="shared" si="120"/>
        <v>303</v>
      </c>
      <c r="P329" s="19">
        <f t="shared" si="121"/>
        <v>179.07557746944835</v>
      </c>
      <c r="Q329" s="18">
        <f t="shared" si="122"/>
        <v>6.1226544615962588</v>
      </c>
      <c r="R329" s="2">
        <f t="shared" si="123"/>
        <v>0.94033507696115448</v>
      </c>
      <c r="S329" s="18">
        <f t="shared" si="124"/>
        <v>6.1383267128789445</v>
      </c>
      <c r="T329" s="18">
        <f t="shared" si="125"/>
        <v>2.7968546348339101</v>
      </c>
      <c r="U329" s="1">
        <f t="shared" si="115"/>
        <v>0</v>
      </c>
      <c r="V329" s="2">
        <f t="shared" si="126"/>
        <v>416.46143858925956</v>
      </c>
      <c r="W329" s="19">
        <f t="shared" si="127"/>
        <v>180.2863370516275</v>
      </c>
      <c r="X329" s="20"/>
      <c r="Y329" s="2">
        <f t="shared" si="128"/>
        <v>160.3232029091493</v>
      </c>
      <c r="Z329" s="21">
        <f t="shared" si="129"/>
        <v>2.2086039369782116</v>
      </c>
      <c r="AA329" s="2">
        <f t="shared" si="130"/>
        <v>125.29164564351341</v>
      </c>
      <c r="AB329" s="19">
        <f t="shared" si="133"/>
        <v>68.778513959977502</v>
      </c>
      <c r="AC329" s="2"/>
      <c r="AD329" s="18"/>
      <c r="AE329" s="118"/>
      <c r="AG329" s="2"/>
      <c r="AH329" s="19"/>
      <c r="AI329" s="20"/>
      <c r="AJ329" s="21"/>
      <c r="AK329" s="21"/>
      <c r="AM329" s="19"/>
      <c r="AN329" s="18"/>
      <c r="AO329" s="2"/>
      <c r="AP329" s="18"/>
      <c r="AQ329" s="118"/>
      <c r="AS329" s="2"/>
      <c r="AT329" s="19"/>
      <c r="AU329" s="20"/>
      <c r="AV329" s="21"/>
      <c r="AW329" s="21"/>
      <c r="AY329" s="19"/>
      <c r="AZ329" s="18"/>
      <c r="BA329" s="2"/>
      <c r="BB329" s="18"/>
      <c r="BC329" s="118"/>
      <c r="BE329" s="2"/>
      <c r="BF329" s="19"/>
      <c r="BG329" s="20"/>
      <c r="BH329" s="21"/>
      <c r="BI329" s="21"/>
      <c r="BK329" s="19"/>
      <c r="BL329" s="18"/>
      <c r="BM329" s="2"/>
      <c r="BN329" s="18"/>
      <c r="BO329" s="118"/>
      <c r="BQ329" s="2"/>
      <c r="BR329" s="19"/>
      <c r="BS329" s="20"/>
      <c r="BT329" s="21"/>
      <c r="BU329" s="21"/>
      <c r="BW329" s="19"/>
      <c r="BX329" s="18"/>
      <c r="BY329" s="2"/>
      <c r="BZ329" s="18"/>
      <c r="CA329" s="118"/>
      <c r="CC329" s="2"/>
      <c r="CD329" s="19"/>
      <c r="CE329" s="20"/>
      <c r="CF329" s="21"/>
      <c r="CG329" s="21"/>
      <c r="CI329" s="19"/>
      <c r="CJ329" s="18"/>
      <c r="CK329" s="2"/>
      <c r="CL329" s="18"/>
      <c r="CM329" s="118"/>
      <c r="CO329" s="2"/>
      <c r="CP329" s="19"/>
      <c r="CQ329" s="20"/>
      <c r="CR329" s="21"/>
      <c r="CS329" s="21"/>
    </row>
    <row r="330" spans="1:97" x14ac:dyDescent="0.25">
      <c r="A330" s="1">
        <f t="shared" si="116"/>
        <v>304</v>
      </c>
      <c r="B330" s="19">
        <f t="shared" si="117"/>
        <v>90.271704861553758</v>
      </c>
      <c r="C330" s="18">
        <f t="shared" si="131"/>
        <v>4.6068141108804808</v>
      </c>
      <c r="D330" s="2">
        <f t="shared" si="110"/>
        <v>0.9275406297298594</v>
      </c>
      <c r="E330" s="18">
        <f t="shared" si="118"/>
        <v>4.6222731213759785</v>
      </c>
      <c r="F330" s="21">
        <f t="shared" si="111"/>
        <v>1.6002211499455847</v>
      </c>
      <c r="G330" s="1">
        <f t="shared" si="112"/>
        <v>0</v>
      </c>
      <c r="H330" s="2">
        <f t="shared" si="108"/>
        <v>210.12785938013477</v>
      </c>
      <c r="I330" s="19">
        <f t="shared" si="134"/>
        <v>90.964441290101632</v>
      </c>
      <c r="J330" s="20">
        <f t="shared" si="113"/>
        <v>0.92692218471170218</v>
      </c>
      <c r="K330" s="21">
        <f t="shared" si="114"/>
        <v>70.980763111598336</v>
      </c>
      <c r="L330" s="21">
        <f t="shared" si="109"/>
        <v>1.2523595991897638</v>
      </c>
      <c r="M330" s="2">
        <f t="shared" si="119"/>
        <v>54.916630842380144</v>
      </c>
      <c r="N330" s="19">
        <f t="shared" si="132"/>
        <v>310.59782515042161</v>
      </c>
      <c r="O330" s="1">
        <f t="shared" si="120"/>
        <v>304</v>
      </c>
      <c r="P330" s="19">
        <f t="shared" si="121"/>
        <v>180.2863370516275</v>
      </c>
      <c r="Q330" s="18">
        <f t="shared" si="122"/>
        <v>6.1383267128789445</v>
      </c>
      <c r="R330" s="2">
        <f t="shared" si="123"/>
        <v>0.94046181278804541</v>
      </c>
      <c r="S330" s="18">
        <f t="shared" si="124"/>
        <v>6.1540010764254118</v>
      </c>
      <c r="T330" s="18">
        <f t="shared" si="125"/>
        <v>2.8109334191105084</v>
      </c>
      <c r="U330" s="1">
        <f t="shared" si="115"/>
        <v>0</v>
      </c>
      <c r="V330" s="2">
        <f t="shared" si="126"/>
        <v>419.27237200837004</v>
      </c>
      <c r="W330" s="19">
        <f t="shared" si="127"/>
        <v>181.50319134561474</v>
      </c>
      <c r="X330" s="20"/>
      <c r="Y330" s="2">
        <f t="shared" si="128"/>
        <v>161.54033707962415</v>
      </c>
      <c r="Z330" s="21">
        <f t="shared" si="129"/>
        <v>2.2198977837193001</v>
      </c>
      <c r="AA330" s="2">
        <f t="shared" si="130"/>
        <v>126.2526403550802</v>
      </c>
      <c r="AB330" s="19">
        <f t="shared" si="133"/>
        <v>68.899151734818275</v>
      </c>
      <c r="AC330" s="2"/>
      <c r="AD330" s="18"/>
      <c r="AE330" s="118"/>
      <c r="AG330" s="2"/>
      <c r="AH330" s="19"/>
      <c r="AI330" s="20"/>
      <c r="AJ330" s="21"/>
      <c r="AK330" s="21"/>
      <c r="AM330" s="19"/>
      <c r="AN330" s="18"/>
      <c r="AO330" s="2"/>
      <c r="AP330" s="18"/>
      <c r="AQ330" s="118"/>
      <c r="AS330" s="2"/>
      <c r="AT330" s="19"/>
      <c r="AU330" s="20"/>
      <c r="AV330" s="21"/>
      <c r="AW330" s="21"/>
      <c r="AY330" s="19"/>
      <c r="AZ330" s="18"/>
      <c r="BA330" s="2"/>
      <c r="BB330" s="18"/>
      <c r="BC330" s="118"/>
      <c r="BE330" s="2"/>
      <c r="BF330" s="19"/>
      <c r="BG330" s="20"/>
      <c r="BH330" s="21"/>
      <c r="BI330" s="21"/>
      <c r="BK330" s="19"/>
      <c r="BL330" s="18"/>
      <c r="BM330" s="2"/>
      <c r="BN330" s="18"/>
      <c r="BO330" s="118"/>
      <c r="BQ330" s="2"/>
      <c r="BR330" s="19"/>
      <c r="BS330" s="20"/>
      <c r="BT330" s="21"/>
      <c r="BU330" s="21"/>
      <c r="BW330" s="19"/>
      <c r="BX330" s="18"/>
      <c r="BY330" s="2"/>
      <c r="BZ330" s="18"/>
      <c r="CA330" s="118"/>
      <c r="CC330" s="2"/>
      <c r="CD330" s="19"/>
      <c r="CE330" s="20"/>
      <c r="CF330" s="21"/>
      <c r="CG330" s="21"/>
      <c r="CI330" s="19"/>
      <c r="CJ330" s="18"/>
      <c r="CK330" s="2"/>
      <c r="CL330" s="18"/>
      <c r="CM330" s="118"/>
      <c r="CO330" s="2"/>
      <c r="CP330" s="19"/>
      <c r="CQ330" s="20"/>
      <c r="CR330" s="21"/>
      <c r="CS330" s="21"/>
    </row>
    <row r="331" spans="1:97" x14ac:dyDescent="0.25">
      <c r="A331" s="1">
        <f t="shared" si="116"/>
        <v>305</v>
      </c>
      <c r="B331" s="19">
        <f t="shared" si="117"/>
        <v>90.964441290101632</v>
      </c>
      <c r="C331" s="18">
        <f t="shared" si="131"/>
        <v>4.6222731213759785</v>
      </c>
      <c r="D331" s="2">
        <f t="shared" si="110"/>
        <v>0.92768245429377794</v>
      </c>
      <c r="E331" s="18">
        <f t="shared" si="118"/>
        <v>4.6377344956142084</v>
      </c>
      <c r="F331" s="21">
        <f t="shared" si="111"/>
        <v>1.6107714116515153</v>
      </c>
      <c r="G331" s="1">
        <f t="shared" si="112"/>
        <v>0</v>
      </c>
      <c r="H331" s="2">
        <f t="shared" si="108"/>
        <v>211.73863079178628</v>
      </c>
      <c r="I331" s="19">
        <f t="shared" si="134"/>
        <v>91.661744931509205</v>
      </c>
      <c r="J331" s="20">
        <f t="shared" si="113"/>
        <v>0.92686094990237589</v>
      </c>
      <c r="K331" s="21">
        <f t="shared" si="114"/>
        <v>71.678227132843446</v>
      </c>
      <c r="L331" s="21">
        <f t="shared" si="109"/>
        <v>1.2607518272630127</v>
      </c>
      <c r="M331" s="2">
        <f t="shared" si="119"/>
        <v>55.462410854182316</v>
      </c>
      <c r="N331" s="19">
        <f t="shared" si="132"/>
        <v>310.7580307584509</v>
      </c>
      <c r="O331" s="1">
        <f t="shared" si="120"/>
        <v>305</v>
      </c>
      <c r="P331" s="19">
        <f t="shared" si="121"/>
        <v>181.50319134561474</v>
      </c>
      <c r="Q331" s="18">
        <f t="shared" si="122"/>
        <v>6.1540010764254118</v>
      </c>
      <c r="R331" s="2">
        <f t="shared" si="123"/>
        <v>0.94058834893212206</v>
      </c>
      <c r="S331" s="18">
        <f t="shared" si="124"/>
        <v>6.1696775489076137</v>
      </c>
      <c r="T331" s="18">
        <f t="shared" si="125"/>
        <v>2.8250489570601434</v>
      </c>
      <c r="U331" s="1">
        <f t="shared" si="115"/>
        <v>0</v>
      </c>
      <c r="V331" s="2">
        <f t="shared" si="126"/>
        <v>422.09742096543016</v>
      </c>
      <c r="W331" s="19">
        <f t="shared" si="127"/>
        <v>182.72615626209097</v>
      </c>
      <c r="X331" s="20"/>
      <c r="Y331" s="2">
        <f t="shared" si="128"/>
        <v>162.76358327803121</v>
      </c>
      <c r="Z331" s="21">
        <f t="shared" si="129"/>
        <v>2.2312219581577599</v>
      </c>
      <c r="AA331" s="2">
        <f t="shared" si="130"/>
        <v>127.21853730666365</v>
      </c>
      <c r="AB331" s="19">
        <f t="shared" si="133"/>
        <v>69.019482242839175</v>
      </c>
      <c r="AC331" s="2"/>
      <c r="AD331" s="18"/>
      <c r="AE331" s="118"/>
      <c r="AG331" s="2"/>
      <c r="AH331" s="19"/>
      <c r="AI331" s="20"/>
      <c r="AJ331" s="21"/>
      <c r="AK331" s="21"/>
      <c r="AM331" s="19"/>
      <c r="AN331" s="18"/>
      <c r="AO331" s="2"/>
      <c r="AP331" s="18"/>
      <c r="AQ331" s="118"/>
      <c r="AS331" s="2"/>
      <c r="AT331" s="19"/>
      <c r="AU331" s="20"/>
      <c r="AV331" s="21"/>
      <c r="AW331" s="21"/>
      <c r="AY331" s="19"/>
      <c r="AZ331" s="18"/>
      <c r="BA331" s="2"/>
      <c r="BB331" s="18"/>
      <c r="BC331" s="118"/>
      <c r="BE331" s="2"/>
      <c r="BF331" s="19"/>
      <c r="BG331" s="20"/>
      <c r="BH331" s="21"/>
      <c r="BI331" s="21"/>
      <c r="BK331" s="19"/>
      <c r="BL331" s="18"/>
      <c r="BM331" s="2"/>
      <c r="BN331" s="18"/>
      <c r="BO331" s="118"/>
      <c r="BQ331" s="2"/>
      <c r="BR331" s="19"/>
      <c r="BS331" s="20"/>
      <c r="BT331" s="21"/>
      <c r="BU331" s="21"/>
      <c r="BW331" s="19"/>
      <c r="BX331" s="18"/>
      <c r="BY331" s="2"/>
      <c r="BZ331" s="18"/>
      <c r="CA331" s="118"/>
      <c r="CC331" s="2"/>
      <c r="CD331" s="19"/>
      <c r="CE331" s="20"/>
      <c r="CF331" s="21"/>
      <c r="CG331" s="21"/>
      <c r="CI331" s="19"/>
      <c r="CJ331" s="18"/>
      <c r="CK331" s="2"/>
      <c r="CL331" s="18"/>
      <c r="CM331" s="118"/>
      <c r="CO331" s="2"/>
      <c r="CP331" s="19"/>
      <c r="CQ331" s="20"/>
      <c r="CR331" s="21"/>
      <c r="CS331" s="21"/>
    </row>
    <row r="332" spans="1:97" x14ac:dyDescent="0.25">
      <c r="A332" s="1">
        <f t="shared" si="116"/>
        <v>306</v>
      </c>
      <c r="B332" s="19">
        <f t="shared" si="117"/>
        <v>91.661744931509205</v>
      </c>
      <c r="C332" s="18">
        <f t="shared" si="131"/>
        <v>4.6377344956142084</v>
      </c>
      <c r="D332" s="2">
        <f t="shared" si="110"/>
        <v>0.92782414895684406</v>
      </c>
      <c r="E332" s="18">
        <f t="shared" si="118"/>
        <v>4.6531982314301557</v>
      </c>
      <c r="F332" s="21">
        <f t="shared" si="111"/>
        <v>1.621357455965164</v>
      </c>
      <c r="G332" s="1">
        <f t="shared" si="112"/>
        <v>0</v>
      </c>
      <c r="H332" s="2">
        <f t="shared" si="108"/>
        <v>213.35998824775143</v>
      </c>
      <c r="I332" s="19">
        <f t="shared" si="134"/>
        <v>92.36363127608287</v>
      </c>
      <c r="J332" s="20">
        <f t="shared" si="113"/>
        <v>0.92679965166120437</v>
      </c>
      <c r="K332" s="21">
        <f t="shared" si="114"/>
        <v>72.380274911276359</v>
      </c>
      <c r="L332" s="21">
        <f t="shared" si="109"/>
        <v>1.2691733684871385</v>
      </c>
      <c r="M332" s="2">
        <f t="shared" si="119"/>
        <v>56.011836554826097</v>
      </c>
      <c r="N332" s="19">
        <f t="shared" si="132"/>
        <v>310.91770226974324</v>
      </c>
      <c r="O332" s="1">
        <f t="shared" si="120"/>
        <v>306</v>
      </c>
      <c r="P332" s="19">
        <f t="shared" si="121"/>
        <v>182.72615626209097</v>
      </c>
      <c r="Q332" s="18">
        <f t="shared" si="122"/>
        <v>6.1696775489076137</v>
      </c>
      <c r="R332" s="2">
        <f t="shared" si="123"/>
        <v>0.94071468560798299</v>
      </c>
      <c r="S332" s="18">
        <f t="shared" si="124"/>
        <v>6.1853561270010804</v>
      </c>
      <c r="T332" s="18">
        <f t="shared" si="125"/>
        <v>2.8392012574693335</v>
      </c>
      <c r="U332" s="1">
        <f t="shared" si="115"/>
        <v>0</v>
      </c>
      <c r="V332" s="2">
        <f t="shared" si="126"/>
        <v>424.93662222289947</v>
      </c>
      <c r="W332" s="19">
        <f t="shared" si="127"/>
        <v>183.95524771554091</v>
      </c>
      <c r="X332" s="20"/>
      <c r="Y332" s="2">
        <f t="shared" si="128"/>
        <v>163.99295742251542</v>
      </c>
      <c r="Z332" s="21">
        <f t="shared" si="129"/>
        <v>2.2425764695102899</v>
      </c>
      <c r="AA332" s="2">
        <f t="shared" si="130"/>
        <v>128.18934963112699</v>
      </c>
      <c r="AB332" s="19">
        <f t="shared" si="133"/>
        <v>69.139507004265894</v>
      </c>
      <c r="AC332" s="2"/>
      <c r="AD332" s="18"/>
      <c r="AE332" s="118"/>
      <c r="AG332" s="2"/>
      <c r="AH332" s="19"/>
      <c r="AI332" s="20"/>
      <c r="AJ332" s="21"/>
      <c r="AK332" s="21"/>
      <c r="AM332" s="19"/>
      <c r="AN332" s="18"/>
      <c r="AO332" s="2"/>
      <c r="AP332" s="18"/>
      <c r="AQ332" s="118"/>
      <c r="AS332" s="2"/>
      <c r="AT332" s="19"/>
      <c r="AU332" s="20"/>
      <c r="AV332" s="21"/>
      <c r="AW332" s="21"/>
      <c r="AY332" s="19"/>
      <c r="AZ332" s="18"/>
      <c r="BA332" s="2"/>
      <c r="BB332" s="18"/>
      <c r="BC332" s="118"/>
      <c r="BE332" s="2"/>
      <c r="BF332" s="19"/>
      <c r="BG332" s="20"/>
      <c r="BH332" s="21"/>
      <c r="BI332" s="21"/>
      <c r="BK332" s="19"/>
      <c r="BL332" s="18"/>
      <c r="BM332" s="2"/>
      <c r="BN332" s="18"/>
      <c r="BO332" s="118"/>
      <c r="BQ332" s="2"/>
      <c r="BR332" s="19"/>
      <c r="BS332" s="20"/>
      <c r="BT332" s="21"/>
      <c r="BU332" s="21"/>
      <c r="BW332" s="19"/>
      <c r="BX332" s="18"/>
      <c r="BY332" s="2"/>
      <c r="BZ332" s="18"/>
      <c r="CA332" s="118"/>
      <c r="CC332" s="2"/>
      <c r="CD332" s="19"/>
      <c r="CE332" s="20"/>
      <c r="CF332" s="21"/>
      <c r="CG332" s="21"/>
      <c r="CI332" s="19"/>
      <c r="CJ332" s="18"/>
      <c r="CK332" s="2"/>
      <c r="CL332" s="18"/>
      <c r="CM332" s="118"/>
      <c r="CO332" s="2"/>
      <c r="CP332" s="19"/>
      <c r="CQ332" s="20"/>
      <c r="CR332" s="21"/>
      <c r="CS332" s="21"/>
    </row>
    <row r="333" spans="1:97" x14ac:dyDescent="0.25">
      <c r="A333" s="1">
        <f t="shared" si="116"/>
        <v>307</v>
      </c>
      <c r="B333" s="19">
        <f t="shared" si="117"/>
        <v>92.36363127608287</v>
      </c>
      <c r="C333" s="18">
        <f t="shared" si="131"/>
        <v>4.6531982314301557</v>
      </c>
      <c r="D333" s="2">
        <f t="shared" si="110"/>
        <v>0.92796571202845357</v>
      </c>
      <c r="E333" s="18">
        <f t="shared" si="118"/>
        <v>4.6686643266306298</v>
      </c>
      <c r="F333" s="21">
        <f t="shared" si="111"/>
        <v>1.6319792940095863</v>
      </c>
      <c r="G333" s="1">
        <f t="shared" si="112"/>
        <v>0</v>
      </c>
      <c r="H333" s="2">
        <f t="shared" si="108"/>
        <v>214.99196754176103</v>
      </c>
      <c r="I333" s="19">
        <f t="shared" si="134"/>
        <v>93.07011581894416</v>
      </c>
      <c r="J333" s="20">
        <f t="shared" si="113"/>
        <v>0.92673829114686546</v>
      </c>
      <c r="K333" s="21">
        <f t="shared" si="114"/>
        <v>73.086921945582503</v>
      </c>
      <c r="L333" s="21">
        <f t="shared" si="109"/>
        <v>1.2776242345053352</v>
      </c>
      <c r="M333" s="2">
        <f t="shared" si="119"/>
        <v>56.564920639027541</v>
      </c>
      <c r="N333" s="19">
        <f t="shared" si="132"/>
        <v>311.07684315286434</v>
      </c>
      <c r="O333" s="1">
        <f t="shared" si="120"/>
        <v>307</v>
      </c>
      <c r="P333" s="19">
        <f t="shared" si="121"/>
        <v>183.95524771554091</v>
      </c>
      <c r="Q333" s="18">
        <f t="shared" si="122"/>
        <v>6.1853561270010804</v>
      </c>
      <c r="R333" s="2">
        <f t="shared" si="123"/>
        <v>0.94084082303559324</v>
      </c>
      <c r="S333" s="18">
        <f t="shared" si="124"/>
        <v>6.2010368073850071</v>
      </c>
      <c r="T333" s="18">
        <f t="shared" si="125"/>
        <v>2.8533903291050304</v>
      </c>
      <c r="U333" s="1">
        <f t="shared" si="115"/>
        <v>0</v>
      </c>
      <c r="V333" s="2">
        <f t="shared" si="126"/>
        <v>427.79001255200455</v>
      </c>
      <c r="W333" s="19">
        <f t="shared" si="127"/>
        <v>185.1904816242444</v>
      </c>
      <c r="X333" s="20"/>
      <c r="Y333" s="2">
        <f t="shared" si="128"/>
        <v>165.22847543501788</v>
      </c>
      <c r="Z333" s="21">
        <f t="shared" si="129"/>
        <v>2.2539613269733683</v>
      </c>
      <c r="AA333" s="2">
        <f t="shared" si="130"/>
        <v>129.16509046531459</v>
      </c>
      <c r="AB333" s="19">
        <f t="shared" si="133"/>
        <v>69.259227528142418</v>
      </c>
      <c r="AC333" s="2"/>
      <c r="AD333" s="18"/>
      <c r="AE333" s="118"/>
      <c r="AG333" s="2"/>
      <c r="AH333" s="19"/>
      <c r="AI333" s="20"/>
      <c r="AJ333" s="21"/>
      <c r="AK333" s="21"/>
      <c r="AM333" s="19"/>
      <c r="AN333" s="18"/>
      <c r="AO333" s="2"/>
      <c r="AP333" s="18"/>
      <c r="AQ333" s="118"/>
      <c r="AS333" s="2"/>
      <c r="AT333" s="19"/>
      <c r="AU333" s="20"/>
      <c r="AV333" s="21"/>
      <c r="AW333" s="21"/>
      <c r="AY333" s="19"/>
      <c r="AZ333" s="18"/>
      <c r="BA333" s="2"/>
      <c r="BB333" s="18"/>
      <c r="BC333" s="118"/>
      <c r="BE333" s="2"/>
      <c r="BF333" s="19"/>
      <c r="BG333" s="20"/>
      <c r="BH333" s="21"/>
      <c r="BI333" s="21"/>
      <c r="BK333" s="19"/>
      <c r="BL333" s="18"/>
      <c r="BM333" s="2"/>
      <c r="BN333" s="18"/>
      <c r="BO333" s="118"/>
      <c r="BQ333" s="2"/>
      <c r="BR333" s="19"/>
      <c r="BS333" s="20"/>
      <c r="BT333" s="21"/>
      <c r="BU333" s="21"/>
      <c r="BW333" s="19"/>
      <c r="BX333" s="18"/>
      <c r="BY333" s="2"/>
      <c r="BZ333" s="18"/>
      <c r="CA333" s="118"/>
      <c r="CC333" s="2"/>
      <c r="CD333" s="19"/>
      <c r="CE333" s="20"/>
      <c r="CF333" s="21"/>
      <c r="CG333" s="21"/>
      <c r="CI333" s="19"/>
      <c r="CJ333" s="18"/>
      <c r="CK333" s="2"/>
      <c r="CL333" s="18"/>
      <c r="CM333" s="118"/>
      <c r="CO333" s="2"/>
      <c r="CP333" s="19"/>
      <c r="CQ333" s="20"/>
      <c r="CR333" s="21"/>
      <c r="CS333" s="21"/>
    </row>
    <row r="334" spans="1:97" x14ac:dyDescent="0.25">
      <c r="A334" s="1">
        <f t="shared" si="116"/>
        <v>308</v>
      </c>
      <c r="B334" s="19">
        <f t="shared" si="117"/>
        <v>93.07011581894416</v>
      </c>
      <c r="C334" s="18">
        <f t="shared" si="131"/>
        <v>4.6686643266306298</v>
      </c>
      <c r="D334" s="2">
        <f t="shared" si="110"/>
        <v>0.92810714185386034</v>
      </c>
      <c r="E334" s="18">
        <f t="shared" si="118"/>
        <v>4.6841327789948606</v>
      </c>
      <c r="F334" s="21">
        <f t="shared" si="111"/>
        <v>1.6426369368805618</v>
      </c>
      <c r="G334" s="1">
        <f t="shared" si="112"/>
        <v>0</v>
      </c>
      <c r="H334" s="2">
        <f t="shared" si="108"/>
        <v>216.63460447864159</v>
      </c>
      <c r="I334" s="19">
        <f t="shared" si="134"/>
        <v>93.781214060018002</v>
      </c>
      <c r="J334" s="20">
        <f t="shared" si="113"/>
        <v>0.92667686950826367</v>
      </c>
      <c r="K334" s="21">
        <f t="shared" si="114"/>
        <v>73.798183739251783</v>
      </c>
      <c r="L334" s="21">
        <f t="shared" si="109"/>
        <v>1.2861044369317061</v>
      </c>
      <c r="M334" s="2">
        <f t="shared" si="119"/>
        <v>57.121675806530448</v>
      </c>
      <c r="N334" s="19">
        <f t="shared" si="132"/>
        <v>311.2354568427935</v>
      </c>
      <c r="O334" s="1">
        <f t="shared" si="120"/>
        <v>308</v>
      </c>
      <c r="P334" s="19">
        <f t="shared" si="121"/>
        <v>185.1904816242444</v>
      </c>
      <c r="Q334" s="18">
        <f t="shared" si="122"/>
        <v>6.2010368073850071</v>
      </c>
      <c r="R334" s="2">
        <f t="shared" si="123"/>
        <v>0.94096676144016167</v>
      </c>
      <c r="S334" s="18">
        <f t="shared" si="124"/>
        <v>6.216719586742343</v>
      </c>
      <c r="T334" s="18">
        <f t="shared" si="125"/>
        <v>2.8676161807147169</v>
      </c>
      <c r="U334" s="1">
        <f t="shared" si="115"/>
        <v>0</v>
      </c>
      <c r="V334" s="2">
        <f t="shared" si="126"/>
        <v>430.65762873271927</v>
      </c>
      <c r="W334" s="19">
        <f t="shared" si="127"/>
        <v>186.43187391026808</v>
      </c>
      <c r="X334" s="20"/>
      <c r="Y334" s="2">
        <f t="shared" si="128"/>
        <v>166.47015324126735</v>
      </c>
      <c r="Z334" s="21">
        <f t="shared" si="129"/>
        <v>2.2653765397233498</v>
      </c>
      <c r="AA334" s="2">
        <f t="shared" si="130"/>
        <v>130.14577295004332</v>
      </c>
      <c r="AB334" s="19">
        <f t="shared" si="133"/>
        <v>69.378645312440284</v>
      </c>
      <c r="AC334" s="2"/>
      <c r="AD334" s="18"/>
      <c r="AE334" s="118"/>
      <c r="AG334" s="2"/>
      <c r="AH334" s="19"/>
      <c r="AI334" s="20"/>
      <c r="AJ334" s="21"/>
      <c r="AK334" s="21"/>
      <c r="AM334" s="19"/>
      <c r="AN334" s="18"/>
      <c r="AO334" s="2"/>
      <c r="AP334" s="18"/>
      <c r="AQ334" s="118"/>
      <c r="AS334" s="2"/>
      <c r="AT334" s="19"/>
      <c r="AU334" s="20"/>
      <c r="AV334" s="21"/>
      <c r="AW334" s="21"/>
      <c r="AY334" s="19"/>
      <c r="AZ334" s="18"/>
      <c r="BA334" s="2"/>
      <c r="BB334" s="18"/>
      <c r="BC334" s="118"/>
      <c r="BE334" s="2"/>
      <c r="BF334" s="19"/>
      <c r="BG334" s="20"/>
      <c r="BH334" s="21"/>
      <c r="BI334" s="21"/>
      <c r="BK334" s="19"/>
      <c r="BL334" s="18"/>
      <c r="BM334" s="2"/>
      <c r="BN334" s="18"/>
      <c r="BO334" s="118"/>
      <c r="BQ334" s="2"/>
      <c r="BR334" s="19"/>
      <c r="BS334" s="20"/>
      <c r="BT334" s="21"/>
      <c r="BU334" s="21"/>
      <c r="BW334" s="19"/>
      <c r="BX334" s="18"/>
      <c r="BY334" s="2"/>
      <c r="BZ334" s="18"/>
      <c r="CA334" s="118"/>
      <c r="CC334" s="2"/>
      <c r="CD334" s="19"/>
      <c r="CE334" s="20"/>
      <c r="CF334" s="21"/>
      <c r="CG334" s="21"/>
      <c r="CI334" s="19"/>
      <c r="CJ334" s="18"/>
      <c r="CK334" s="2"/>
      <c r="CL334" s="18"/>
      <c r="CM334" s="118"/>
      <c r="CO334" s="2"/>
      <c r="CP334" s="19"/>
      <c r="CQ334" s="20"/>
      <c r="CR334" s="21"/>
      <c r="CS334" s="21"/>
    </row>
    <row r="335" spans="1:97" x14ac:dyDescent="0.25">
      <c r="A335" s="1">
        <f t="shared" si="116"/>
        <v>309</v>
      </c>
      <c r="B335" s="19">
        <f t="shared" si="117"/>
        <v>93.781214060018002</v>
      </c>
      <c r="C335" s="18">
        <f t="shared" si="131"/>
        <v>4.6841327789948606</v>
      </c>
      <c r="D335" s="2">
        <f t="shared" si="110"/>
        <v>0.92824843681366065</v>
      </c>
      <c r="E335" s="18">
        <f t="shared" si="118"/>
        <v>4.6996035862750887</v>
      </c>
      <c r="F335" s="21">
        <f t="shared" si="111"/>
        <v>1.6533303956466285</v>
      </c>
      <c r="G335" s="1">
        <f t="shared" si="112"/>
        <v>0</v>
      </c>
      <c r="H335" s="2">
        <f t="shared" si="108"/>
        <v>218.28793487428823</v>
      </c>
      <c r="I335" s="19">
        <f t="shared" si="134"/>
        <v>94.496941504020882</v>
      </c>
      <c r="J335" s="20">
        <f t="shared" si="113"/>
        <v>0.92661538788456843</v>
      </c>
      <c r="K335" s="21">
        <f t="shared" si="114"/>
        <v>74.514075800566772</v>
      </c>
      <c r="L335" s="21">
        <f t="shared" si="109"/>
        <v>1.2946139873513323</v>
      </c>
      <c r="M335" s="2">
        <f t="shared" si="119"/>
        <v>57.682114762093796</v>
      </c>
      <c r="N335" s="19">
        <f t="shared" si="132"/>
        <v>311.3935467413566</v>
      </c>
      <c r="O335" s="1">
        <f t="shared" si="120"/>
        <v>309</v>
      </c>
      <c r="P335" s="19">
        <f t="shared" si="121"/>
        <v>186.43187391026808</v>
      </c>
      <c r="Q335" s="18">
        <f t="shared" si="122"/>
        <v>6.216719586742343</v>
      </c>
      <c r="R335" s="2">
        <f t="shared" si="123"/>
        <v>0.9410925010520228</v>
      </c>
      <c r="S335" s="18">
        <f t="shared" si="124"/>
        <v>6.2324044617598764</v>
      </c>
      <c r="T335" s="18">
        <f t="shared" si="125"/>
        <v>2.8818788210264876</v>
      </c>
      <c r="U335" s="1">
        <f t="shared" si="115"/>
        <v>0</v>
      </c>
      <c r="V335" s="2">
        <f t="shared" si="126"/>
        <v>433.53950755374575</v>
      </c>
      <c r="W335" s="19">
        <f t="shared" si="127"/>
        <v>187.67944049945703</v>
      </c>
      <c r="X335" s="20"/>
      <c r="Y335" s="2">
        <f t="shared" si="128"/>
        <v>167.71800677077184</v>
      </c>
      <c r="Z335" s="21">
        <f t="shared" si="129"/>
        <v>2.2768221169165499</v>
      </c>
      <c r="AA335" s="2">
        <f t="shared" si="130"/>
        <v>131.13141023009376</v>
      </c>
      <c r="AB335" s="19">
        <f t="shared" si="133"/>
        <v>69.497761844166533</v>
      </c>
      <c r="AC335" s="2"/>
      <c r="AD335" s="18"/>
      <c r="AE335" s="118"/>
      <c r="AG335" s="2"/>
      <c r="AH335" s="19"/>
      <c r="AI335" s="20"/>
      <c r="AJ335" s="21"/>
      <c r="AK335" s="21"/>
      <c r="AM335" s="19"/>
      <c r="AN335" s="18"/>
      <c r="AO335" s="2"/>
      <c r="AP335" s="18"/>
      <c r="AQ335" s="118"/>
      <c r="AS335" s="2"/>
      <c r="AT335" s="19"/>
      <c r="AU335" s="20"/>
      <c r="AV335" s="21"/>
      <c r="AW335" s="21"/>
      <c r="AY335" s="19"/>
      <c r="AZ335" s="18"/>
      <c r="BA335" s="2"/>
      <c r="BB335" s="18"/>
      <c r="BC335" s="118"/>
      <c r="BE335" s="2"/>
      <c r="BF335" s="19"/>
      <c r="BG335" s="20"/>
      <c r="BH335" s="21"/>
      <c r="BI335" s="21"/>
      <c r="BK335" s="19"/>
      <c r="BL335" s="18"/>
      <c r="BM335" s="2"/>
      <c r="BN335" s="18"/>
      <c r="BO335" s="118"/>
      <c r="BQ335" s="2"/>
      <c r="BR335" s="19"/>
      <c r="BS335" s="20"/>
      <c r="BT335" s="21"/>
      <c r="BU335" s="21"/>
      <c r="BW335" s="19"/>
      <c r="BX335" s="18"/>
      <c r="BY335" s="2"/>
      <c r="BZ335" s="18"/>
      <c r="CA335" s="118"/>
      <c r="CC335" s="2"/>
      <c r="CD335" s="19"/>
      <c r="CE335" s="20"/>
      <c r="CF335" s="21"/>
      <c r="CG335" s="21"/>
      <c r="CI335" s="19"/>
      <c r="CJ335" s="18"/>
      <c r="CK335" s="2"/>
      <c r="CL335" s="18"/>
      <c r="CM335" s="118"/>
      <c r="CO335" s="2"/>
      <c r="CP335" s="19"/>
      <c r="CQ335" s="20"/>
      <c r="CR335" s="21"/>
      <c r="CS335" s="21"/>
    </row>
    <row r="336" spans="1:97" x14ac:dyDescent="0.25">
      <c r="A336" s="1">
        <f t="shared" si="116"/>
        <v>310</v>
      </c>
      <c r="B336" s="19">
        <f t="shared" si="117"/>
        <v>94.496941504020882</v>
      </c>
      <c r="C336" s="18">
        <f t="shared" si="131"/>
        <v>4.6996035862750887</v>
      </c>
      <c r="D336" s="2">
        <f t="shared" si="110"/>
        <v>0.92838959532328302</v>
      </c>
      <c r="E336" s="18">
        <f t="shared" si="118"/>
        <v>4.715076746197143</v>
      </c>
      <c r="F336" s="21">
        <f t="shared" si="111"/>
        <v>1.6640596813491171</v>
      </c>
      <c r="G336" s="1">
        <f t="shared" si="112"/>
        <v>0</v>
      </c>
      <c r="H336" s="2">
        <f t="shared" si="108"/>
        <v>219.95199455563738</v>
      </c>
      <c r="I336" s="19">
        <f t="shared" si="134"/>
        <v>95.217313660449079</v>
      </c>
      <c r="J336" s="20">
        <f t="shared" si="113"/>
        <v>0.92655384740525215</v>
      </c>
      <c r="K336" s="21">
        <f t="shared" si="114"/>
        <v>75.234613642590944</v>
      </c>
      <c r="L336" s="21">
        <f t="shared" si="109"/>
        <v>1.3031528973203388</v>
      </c>
      <c r="M336" s="2">
        <f t="shared" si="119"/>
        <v>58.246250215479222</v>
      </c>
      <c r="N336" s="19">
        <f t="shared" si="132"/>
        <v>311.55111621765246</v>
      </c>
      <c r="O336" s="1">
        <f t="shared" si="120"/>
        <v>310</v>
      </c>
      <c r="P336" s="19">
        <f t="shared" si="121"/>
        <v>187.67944049945703</v>
      </c>
      <c r="Q336" s="18">
        <f t="shared" si="122"/>
        <v>6.2324044617598764</v>
      </c>
      <c r="R336" s="2">
        <f t="shared" si="123"/>
        <v>0.94121804210651983</v>
      </c>
      <c r="S336" s="18">
        <f t="shared" si="124"/>
        <v>6.2480914291283183</v>
      </c>
      <c r="T336" s="18">
        <f t="shared" si="125"/>
        <v>2.8961782587491394</v>
      </c>
      <c r="U336" s="1">
        <f t="shared" si="115"/>
        <v>0</v>
      </c>
      <c r="V336" s="2">
        <f t="shared" si="126"/>
        <v>436.43568581249491</v>
      </c>
      <c r="W336" s="19">
        <f t="shared" si="127"/>
        <v>188.93319732142638</v>
      </c>
      <c r="X336" s="20"/>
      <c r="Y336" s="2">
        <f t="shared" si="128"/>
        <v>168.97205195681022</v>
      </c>
      <c r="Z336" s="21">
        <f t="shared" si="129"/>
        <v>2.2882980676893343</v>
      </c>
      <c r="AA336" s="2">
        <f t="shared" si="130"/>
        <v>132.12201545420169</v>
      </c>
      <c r="AB336" s="19">
        <f t="shared" si="133"/>
        <v>69.616578599470358</v>
      </c>
      <c r="AC336" s="2"/>
      <c r="AD336" s="18"/>
      <c r="AE336" s="118"/>
      <c r="AG336" s="2"/>
      <c r="AH336" s="19"/>
      <c r="AI336" s="20"/>
      <c r="AJ336" s="21"/>
      <c r="AK336" s="21"/>
      <c r="AM336" s="19"/>
      <c r="AN336" s="18"/>
      <c r="AO336" s="2"/>
      <c r="AP336" s="18"/>
      <c r="AQ336" s="118"/>
      <c r="AS336" s="2"/>
      <c r="AT336" s="19"/>
      <c r="AU336" s="20"/>
      <c r="AV336" s="21"/>
      <c r="AW336" s="21"/>
      <c r="AY336" s="19"/>
      <c r="AZ336" s="18"/>
      <c r="BA336" s="2"/>
      <c r="BB336" s="18"/>
      <c r="BC336" s="118"/>
      <c r="BE336" s="2"/>
      <c r="BF336" s="19"/>
      <c r="BG336" s="20"/>
      <c r="BH336" s="21"/>
      <c r="BI336" s="21"/>
      <c r="BK336" s="19"/>
      <c r="BL336" s="18"/>
      <c r="BM336" s="2"/>
      <c r="BN336" s="18"/>
      <c r="BO336" s="118"/>
      <c r="BQ336" s="2"/>
      <c r="BR336" s="19"/>
      <c r="BS336" s="20"/>
      <c r="BT336" s="21"/>
      <c r="BU336" s="21"/>
      <c r="BW336" s="19"/>
      <c r="BX336" s="18"/>
      <c r="BY336" s="2"/>
      <c r="BZ336" s="18"/>
      <c r="CA336" s="118"/>
      <c r="CC336" s="2"/>
      <c r="CD336" s="19"/>
      <c r="CE336" s="20"/>
      <c r="CF336" s="21"/>
      <c r="CG336" s="21"/>
      <c r="CI336" s="19"/>
      <c r="CJ336" s="18"/>
      <c r="CK336" s="2"/>
      <c r="CL336" s="18"/>
      <c r="CM336" s="118"/>
      <c r="CO336" s="2"/>
      <c r="CP336" s="19"/>
      <c r="CQ336" s="20"/>
      <c r="CR336" s="21"/>
      <c r="CS336" s="21"/>
    </row>
    <row r="337" spans="1:97" x14ac:dyDescent="0.25">
      <c r="A337" s="1">
        <f t="shared" si="116"/>
        <v>311</v>
      </c>
      <c r="B337" s="19">
        <f t="shared" si="117"/>
        <v>95.217313660449079</v>
      </c>
      <c r="C337" s="18">
        <f t="shared" si="131"/>
        <v>4.715076746197143</v>
      </c>
      <c r="D337" s="2">
        <f t="shared" si="110"/>
        <v>0.92853061583248431</v>
      </c>
      <c r="E337" s="18">
        <f t="shared" si="118"/>
        <v>4.7305522564610181</v>
      </c>
      <c r="F337" s="21">
        <f t="shared" si="111"/>
        <v>1.674824805002195</v>
      </c>
      <c r="G337" s="1">
        <f t="shared" si="112"/>
        <v>0</v>
      </c>
      <c r="H337" s="2">
        <f t="shared" si="108"/>
        <v>221.62681936063959</v>
      </c>
      <c r="I337" s="19">
        <f t="shared" si="134"/>
        <v>95.942346043566914</v>
      </c>
      <c r="J337" s="20">
        <f t="shared" si="113"/>
        <v>0.9264922491901274</v>
      </c>
      <c r="K337" s="21">
        <f t="shared" si="114"/>
        <v>75.959812783156892</v>
      </c>
      <c r="L337" s="21">
        <f t="shared" si="109"/>
        <v>1.3117211783659719</v>
      </c>
      <c r="M337" s="2">
        <f t="shared" si="119"/>
        <v>58.814094881438514</v>
      </c>
      <c r="N337" s="19">
        <f t="shared" si="132"/>
        <v>311.70816860847191</v>
      </c>
      <c r="O337" s="1">
        <f t="shared" si="120"/>
        <v>311</v>
      </c>
      <c r="P337" s="19">
        <f t="shared" si="121"/>
        <v>188.93319732142638</v>
      </c>
      <c r="Q337" s="18">
        <f t="shared" si="122"/>
        <v>6.2480914291283183</v>
      </c>
      <c r="R337" s="2">
        <f t="shared" si="123"/>
        <v>0.94134338484388902</v>
      </c>
      <c r="S337" s="18">
        <f t="shared" si="124"/>
        <v>6.2637804855423829</v>
      </c>
      <c r="T337" s="18">
        <f t="shared" si="125"/>
        <v>2.9105145025722523</v>
      </c>
      <c r="U337" s="1">
        <f t="shared" si="115"/>
        <v>0</v>
      </c>
      <c r="V337" s="2">
        <f t="shared" si="126"/>
        <v>439.34620031506722</v>
      </c>
      <c r="W337" s="19">
        <f t="shared" si="127"/>
        <v>190.19316030955289</v>
      </c>
      <c r="X337" s="20"/>
      <c r="Y337" s="2">
        <f t="shared" si="128"/>
        <v>170.232304736424</v>
      </c>
      <c r="Z337" s="21">
        <f t="shared" si="129"/>
        <v>2.2998044011582062</v>
      </c>
      <c r="AA337" s="2">
        <f t="shared" si="130"/>
        <v>133.11760177504939</v>
      </c>
      <c r="AB337" s="19">
        <f t="shared" si="133"/>
        <v>69.735097043748425</v>
      </c>
      <c r="AC337" s="2"/>
      <c r="AD337" s="18"/>
      <c r="AE337" s="118"/>
      <c r="AG337" s="2"/>
      <c r="AH337" s="19"/>
      <c r="AI337" s="20"/>
      <c r="AJ337" s="21"/>
      <c r="AK337" s="21"/>
      <c r="AM337" s="19"/>
      <c r="AN337" s="18"/>
      <c r="AO337" s="2"/>
      <c r="AP337" s="18"/>
      <c r="AQ337" s="118"/>
      <c r="AS337" s="2"/>
      <c r="AT337" s="19"/>
      <c r="AU337" s="20"/>
      <c r="AV337" s="21"/>
      <c r="AW337" s="21"/>
      <c r="AY337" s="19"/>
      <c r="AZ337" s="18"/>
      <c r="BA337" s="2"/>
      <c r="BB337" s="18"/>
      <c r="BC337" s="118"/>
      <c r="BE337" s="2"/>
      <c r="BF337" s="19"/>
      <c r="BG337" s="20"/>
      <c r="BH337" s="21"/>
      <c r="BI337" s="21"/>
      <c r="BK337" s="19"/>
      <c r="BL337" s="18"/>
      <c r="BM337" s="2"/>
      <c r="BN337" s="18"/>
      <c r="BO337" s="118"/>
      <c r="BQ337" s="2"/>
      <c r="BR337" s="19"/>
      <c r="BS337" s="20"/>
      <c r="BT337" s="21"/>
      <c r="BU337" s="21"/>
      <c r="BW337" s="19"/>
      <c r="BX337" s="18"/>
      <c r="BY337" s="2"/>
      <c r="BZ337" s="18"/>
      <c r="CA337" s="118"/>
      <c r="CC337" s="2"/>
      <c r="CD337" s="19"/>
      <c r="CE337" s="20"/>
      <c r="CF337" s="21"/>
      <c r="CG337" s="21"/>
      <c r="CI337" s="19"/>
      <c r="CJ337" s="18"/>
      <c r="CK337" s="2"/>
      <c r="CL337" s="18"/>
      <c r="CM337" s="118"/>
      <c r="CO337" s="2"/>
      <c r="CP337" s="19"/>
      <c r="CQ337" s="20"/>
      <c r="CR337" s="21"/>
      <c r="CS337" s="21"/>
    </row>
    <row r="338" spans="1:97" x14ac:dyDescent="0.25">
      <c r="A338" s="1">
        <f t="shared" si="116"/>
        <v>312</v>
      </c>
      <c r="B338" s="19">
        <f t="shared" si="117"/>
        <v>95.942346043566914</v>
      </c>
      <c r="C338" s="18">
        <f t="shared" si="131"/>
        <v>4.7305522564610181</v>
      </c>
      <c r="D338" s="2">
        <f t="shared" si="110"/>
        <v>0.92867149682484784</v>
      </c>
      <c r="E338" s="18">
        <f t="shared" si="118"/>
        <v>4.7460301147414325</v>
      </c>
      <c r="F338" s="21">
        <f t="shared" si="111"/>
        <v>1.6856257775929027</v>
      </c>
      <c r="G338" s="1">
        <f t="shared" si="112"/>
        <v>0</v>
      </c>
      <c r="H338" s="2">
        <f t="shared" si="108"/>
        <v>223.31244513823248</v>
      </c>
      <c r="I338" s="19">
        <f t="shared" si="134"/>
        <v>96.672054172395008</v>
      </c>
      <c r="J338" s="20">
        <f t="shared" si="113"/>
        <v>0.92643059434938813</v>
      </c>
      <c r="K338" s="21">
        <f t="shared" si="114"/>
        <v>76.689688744854621</v>
      </c>
      <c r="L338" s="21">
        <f t="shared" si="109"/>
        <v>1.320318841986666</v>
      </c>
      <c r="M338" s="2">
        <f t="shared" si="119"/>
        <v>59.385661479701142</v>
      </c>
      <c r="N338" s="19">
        <f t="shared" si="132"/>
        <v>311.86470721871046</v>
      </c>
      <c r="O338" s="1">
        <f t="shared" si="120"/>
        <v>312</v>
      </c>
      <c r="P338" s="19">
        <f t="shared" si="121"/>
        <v>190.19316030955289</v>
      </c>
      <c r="Q338" s="18">
        <f t="shared" si="122"/>
        <v>6.2637804855423829</v>
      </c>
      <c r="R338" s="2">
        <f t="shared" si="123"/>
        <v>0.94146852950914683</v>
      </c>
      <c r="S338" s="18">
        <f t="shared" si="124"/>
        <v>6.2794716277008691</v>
      </c>
      <c r="T338" s="18">
        <f t="shared" si="125"/>
        <v>2.9248875611662823</v>
      </c>
      <c r="U338" s="1">
        <f t="shared" si="115"/>
        <v>0</v>
      </c>
      <c r="V338" s="2">
        <f t="shared" si="126"/>
        <v>442.27108787623348</v>
      </c>
      <c r="W338" s="19">
        <f t="shared" si="127"/>
        <v>191.45934540096687</v>
      </c>
      <c r="X338" s="20"/>
      <c r="Y338" s="2">
        <f t="shared" si="128"/>
        <v>171.49878105040901</v>
      </c>
      <c r="Z338" s="21">
        <f t="shared" si="129"/>
        <v>2.311341126419896</v>
      </c>
      <c r="AA338" s="2">
        <f t="shared" si="130"/>
        <v>134.11818234925715</v>
      </c>
      <c r="AB338" s="19">
        <f t="shared" si="133"/>
        <v>69.853318631748934</v>
      </c>
      <c r="AC338" s="2"/>
      <c r="AD338" s="18"/>
      <c r="AE338" s="118"/>
      <c r="AG338" s="2"/>
      <c r="AH338" s="19"/>
      <c r="AI338" s="20"/>
      <c r="AJ338" s="21"/>
      <c r="AK338" s="21"/>
      <c r="AM338" s="19"/>
      <c r="AN338" s="18"/>
      <c r="AO338" s="2"/>
      <c r="AP338" s="18"/>
      <c r="AQ338" s="118"/>
      <c r="AS338" s="2"/>
      <c r="AT338" s="19"/>
      <c r="AU338" s="20"/>
      <c r="AV338" s="21"/>
      <c r="AW338" s="21"/>
      <c r="AY338" s="19"/>
      <c r="AZ338" s="18"/>
      <c r="BA338" s="2"/>
      <c r="BB338" s="18"/>
      <c r="BC338" s="118"/>
      <c r="BE338" s="2"/>
      <c r="BF338" s="19"/>
      <c r="BG338" s="20"/>
      <c r="BH338" s="21"/>
      <c r="BI338" s="21"/>
      <c r="BK338" s="19"/>
      <c r="BL338" s="18"/>
      <c r="BM338" s="2"/>
      <c r="BN338" s="18"/>
      <c r="BO338" s="118"/>
      <c r="BQ338" s="2"/>
      <c r="BR338" s="19"/>
      <c r="BS338" s="20"/>
      <c r="BT338" s="21"/>
      <c r="BU338" s="21"/>
      <c r="BW338" s="19"/>
      <c r="BX338" s="18"/>
      <c r="BY338" s="2"/>
      <c r="BZ338" s="18"/>
      <c r="CA338" s="118"/>
      <c r="CC338" s="2"/>
      <c r="CD338" s="19"/>
      <c r="CE338" s="20"/>
      <c r="CF338" s="21"/>
      <c r="CG338" s="21"/>
      <c r="CI338" s="19"/>
      <c r="CJ338" s="18"/>
      <c r="CK338" s="2"/>
      <c r="CL338" s="18"/>
      <c r="CM338" s="118"/>
      <c r="CO338" s="2"/>
      <c r="CP338" s="19"/>
      <c r="CQ338" s="20"/>
      <c r="CR338" s="21"/>
      <c r="CS338" s="21"/>
    </row>
    <row r="339" spans="1:97" x14ac:dyDescent="0.25">
      <c r="A339" s="1">
        <f t="shared" si="116"/>
        <v>313</v>
      </c>
      <c r="B339" s="19">
        <f t="shared" si="117"/>
        <v>96.672054172395008</v>
      </c>
      <c r="C339" s="18">
        <f t="shared" si="131"/>
        <v>4.7460301147414325</v>
      </c>
      <c r="D339" s="2">
        <f t="shared" si="110"/>
        <v>0.92881223681728931</v>
      </c>
      <c r="E339" s="18">
        <f t="shared" si="118"/>
        <v>4.7615103186883871</v>
      </c>
      <c r="F339" s="21">
        <f t="shared" si="111"/>
        <v>1.6964626100812017</v>
      </c>
      <c r="G339" s="1">
        <f t="shared" si="112"/>
        <v>0</v>
      </c>
      <c r="H339" s="2">
        <f t="shared" si="108"/>
        <v>225.00890774831367</v>
      </c>
      <c r="I339" s="19">
        <f t="shared" si="134"/>
        <v>97.406453570698559</v>
      </c>
      <c r="J339" s="20">
        <f t="shared" si="113"/>
        <v>0.92636888398365114</v>
      </c>
      <c r="K339" s="21">
        <f t="shared" si="114"/>
        <v>77.42425705501978</v>
      </c>
      <c r="L339" s="21">
        <f t="shared" si="109"/>
        <v>1.3289458996521231</v>
      </c>
      <c r="M339" s="2">
        <f t="shared" si="119"/>
        <v>59.960962734961804</v>
      </c>
      <c r="N339" s="19">
        <f t="shared" si="132"/>
        <v>312.0207353217744</v>
      </c>
      <c r="O339" s="1">
        <f t="shared" si="120"/>
        <v>313</v>
      </c>
      <c r="P339" s="19">
        <f t="shared" si="121"/>
        <v>191.45934540096687</v>
      </c>
      <c r="Q339" s="18">
        <f t="shared" si="122"/>
        <v>6.2794716277008691</v>
      </c>
      <c r="R339" s="2">
        <f t="shared" si="123"/>
        <v>0.94159347635197965</v>
      </c>
      <c r="S339" s="18">
        <f t="shared" si="124"/>
        <v>6.2951648523067352</v>
      </c>
      <c r="T339" s="18">
        <f t="shared" si="125"/>
        <v>2.9392974431826389</v>
      </c>
      <c r="U339" s="1">
        <f t="shared" si="115"/>
        <v>0</v>
      </c>
      <c r="V339" s="2">
        <f t="shared" si="126"/>
        <v>445.2103853194161</v>
      </c>
      <c r="W339" s="19">
        <f t="shared" si="127"/>
        <v>192.73176853654377</v>
      </c>
      <c r="X339" s="20"/>
      <c r="Y339" s="2">
        <f t="shared" si="128"/>
        <v>172.77149684330709</v>
      </c>
      <c r="Z339" s="21">
        <f t="shared" si="129"/>
        <v>2.3229082525514455</v>
      </c>
      <c r="AA339" s="2">
        <f t="shared" si="130"/>
        <v>135.12377033737465</v>
      </c>
      <c r="AB339" s="19">
        <f t="shared" si="133"/>
        <v>69.971244807674424</v>
      </c>
      <c r="AC339" s="2"/>
      <c r="AD339" s="18"/>
      <c r="AE339" s="118"/>
      <c r="AG339" s="2"/>
      <c r="AH339" s="19"/>
      <c r="AI339" s="20"/>
      <c r="AJ339" s="21"/>
      <c r="AK339" s="21"/>
      <c r="AM339" s="19"/>
      <c r="AN339" s="18"/>
      <c r="AO339" s="2"/>
      <c r="AP339" s="18"/>
      <c r="AQ339" s="118"/>
      <c r="AS339" s="2"/>
      <c r="AT339" s="19"/>
      <c r="AU339" s="20"/>
      <c r="AV339" s="21"/>
      <c r="AW339" s="21"/>
      <c r="AY339" s="19"/>
      <c r="AZ339" s="18"/>
      <c r="BA339" s="2"/>
      <c r="BB339" s="18"/>
      <c r="BC339" s="118"/>
      <c r="BE339" s="2"/>
      <c r="BF339" s="19"/>
      <c r="BG339" s="20"/>
      <c r="BH339" s="21"/>
      <c r="BI339" s="21"/>
      <c r="BK339" s="19"/>
      <c r="BL339" s="18"/>
      <c r="BM339" s="2"/>
      <c r="BN339" s="18"/>
      <c r="BO339" s="118"/>
      <c r="BQ339" s="2"/>
      <c r="BR339" s="19"/>
      <c r="BS339" s="20"/>
      <c r="BT339" s="21"/>
      <c r="BU339" s="21"/>
      <c r="BW339" s="19"/>
      <c r="BX339" s="18"/>
      <c r="BY339" s="2"/>
      <c r="BZ339" s="18"/>
      <c r="CA339" s="118"/>
      <c r="CC339" s="2"/>
      <c r="CD339" s="19"/>
      <c r="CE339" s="20"/>
      <c r="CF339" s="21"/>
      <c r="CG339" s="21"/>
      <c r="CI339" s="19"/>
      <c r="CJ339" s="18"/>
      <c r="CK339" s="2"/>
      <c r="CL339" s="18"/>
      <c r="CM339" s="118"/>
      <c r="CO339" s="2"/>
      <c r="CP339" s="19"/>
      <c r="CQ339" s="20"/>
      <c r="CR339" s="21"/>
      <c r="CS339" s="21"/>
    </row>
    <row r="340" spans="1:97" x14ac:dyDescent="0.25">
      <c r="A340" s="1">
        <f t="shared" si="116"/>
        <v>314</v>
      </c>
      <c r="B340" s="19">
        <f t="shared" si="117"/>
        <v>97.406453570698559</v>
      </c>
      <c r="C340" s="18">
        <f t="shared" si="131"/>
        <v>4.7615103186883871</v>
      </c>
      <c r="D340" s="2">
        <f t="shared" si="110"/>
        <v>0.92895283435956599</v>
      </c>
      <c r="E340" s="18">
        <f t="shared" si="118"/>
        <v>4.7769928659277134</v>
      </c>
      <c r="F340" s="21">
        <f t="shared" si="111"/>
        <v>1.7073353134000215</v>
      </c>
      <c r="G340" s="1">
        <f t="shared" si="112"/>
        <v>0</v>
      </c>
      <c r="H340" s="2">
        <f t="shared" si="108"/>
        <v>226.7162430617137</v>
      </c>
      <c r="I340" s="19">
        <f t="shared" si="134"/>
        <v>98.145559766975623</v>
      </c>
      <c r="J340" s="20">
        <f t="shared" si="113"/>
        <v>0.92630711918399589</v>
      </c>
      <c r="K340" s="21">
        <f t="shared" si="114"/>
        <v>78.163533245721993</v>
      </c>
      <c r="L340" s="21">
        <f t="shared" si="109"/>
        <v>1.3376023628033866</v>
      </c>
      <c r="M340" s="2">
        <f t="shared" si="119"/>
        <v>60.54001137686803</v>
      </c>
      <c r="N340" s="19">
        <f t="shared" si="132"/>
        <v>312.17625615998008</v>
      </c>
      <c r="O340" s="1">
        <f t="shared" si="120"/>
        <v>314</v>
      </c>
      <c r="P340" s="19">
        <f t="shared" si="121"/>
        <v>192.73176853654377</v>
      </c>
      <c r="Q340" s="18">
        <f t="shared" si="122"/>
        <v>6.2951648523067352</v>
      </c>
      <c r="R340" s="2">
        <f t="shared" si="123"/>
        <v>0.94171822562663343</v>
      </c>
      <c r="S340" s="18">
        <f t="shared" si="124"/>
        <v>6.3108601560671787</v>
      </c>
      <c r="T340" s="18">
        <f t="shared" si="125"/>
        <v>2.9537441572537722</v>
      </c>
      <c r="U340" s="1">
        <f t="shared" si="115"/>
        <v>0</v>
      </c>
      <c r="V340" s="2">
        <f t="shared" si="126"/>
        <v>448.16412947666987</v>
      </c>
      <c r="W340" s="19">
        <f t="shared" si="127"/>
        <v>194.01044566089604</v>
      </c>
      <c r="X340" s="20"/>
      <c r="Y340" s="2">
        <f t="shared" si="128"/>
        <v>174.05046806339797</v>
      </c>
      <c r="Z340" s="21">
        <f t="shared" si="129"/>
        <v>2.3345057886102931</v>
      </c>
      <c r="AA340" s="2">
        <f t="shared" si="130"/>
        <v>136.1343789038726</v>
      </c>
      <c r="AB340" s="19">
        <f t="shared" si="133"/>
        <v>70.088877005283365</v>
      </c>
      <c r="AC340" s="2"/>
      <c r="AD340" s="18"/>
      <c r="AE340" s="118"/>
      <c r="AG340" s="2"/>
      <c r="AH340" s="19"/>
      <c r="AI340" s="20"/>
      <c r="AJ340" s="21"/>
      <c r="AK340" s="21"/>
      <c r="AM340" s="19"/>
      <c r="AN340" s="18"/>
      <c r="AO340" s="2"/>
      <c r="AP340" s="18"/>
      <c r="AQ340" s="118"/>
      <c r="AS340" s="2"/>
      <c r="AT340" s="19"/>
      <c r="AU340" s="20"/>
      <c r="AV340" s="21"/>
      <c r="AW340" s="21"/>
      <c r="AY340" s="19"/>
      <c r="AZ340" s="18"/>
      <c r="BA340" s="2"/>
      <c r="BB340" s="18"/>
      <c r="BC340" s="118"/>
      <c r="BE340" s="2"/>
      <c r="BF340" s="19"/>
      <c r="BG340" s="20"/>
      <c r="BH340" s="21"/>
      <c r="BI340" s="21"/>
      <c r="BK340" s="19"/>
      <c r="BL340" s="18"/>
      <c r="BM340" s="2"/>
      <c r="BN340" s="18"/>
      <c r="BO340" s="118"/>
      <c r="BQ340" s="2"/>
      <c r="BR340" s="19"/>
      <c r="BS340" s="20"/>
      <c r="BT340" s="21"/>
      <c r="BU340" s="21"/>
      <c r="BW340" s="19"/>
      <c r="BX340" s="18"/>
      <c r="BY340" s="2"/>
      <c r="BZ340" s="18"/>
      <c r="CA340" s="118"/>
      <c r="CC340" s="2"/>
      <c r="CD340" s="19"/>
      <c r="CE340" s="20"/>
      <c r="CF340" s="21"/>
      <c r="CG340" s="21"/>
      <c r="CI340" s="19"/>
      <c r="CJ340" s="18"/>
      <c r="CK340" s="2"/>
      <c r="CL340" s="18"/>
      <c r="CM340" s="118"/>
      <c r="CO340" s="2"/>
      <c r="CP340" s="19"/>
      <c r="CQ340" s="20"/>
      <c r="CR340" s="21"/>
      <c r="CS340" s="21"/>
    </row>
    <row r="341" spans="1:97" x14ac:dyDescent="0.25">
      <c r="A341" s="1">
        <f t="shared" si="116"/>
        <v>315</v>
      </c>
      <c r="B341" s="19">
        <f t="shared" si="117"/>
        <v>98.145559766975623</v>
      </c>
      <c r="C341" s="18">
        <f t="shared" si="131"/>
        <v>4.7769928659277134</v>
      </c>
      <c r="D341" s="2">
        <f t="shared" si="110"/>
        <v>0.9290932880337911</v>
      </c>
      <c r="E341" s="18">
        <f t="shared" si="118"/>
        <v>4.7924777540616104</v>
      </c>
      <c r="F341" s="21">
        <f t="shared" si="111"/>
        <v>1.7182438984553035</v>
      </c>
      <c r="G341" s="1">
        <f t="shared" si="112"/>
        <v>0</v>
      </c>
      <c r="H341" s="2">
        <f t="shared" si="108"/>
        <v>228.43448696016901</v>
      </c>
      <c r="I341" s="19">
        <f t="shared" si="134"/>
        <v>98.889388294445453</v>
      </c>
      <c r="J341" s="20">
        <f t="shared" si="113"/>
        <v>0.92624530103200864</v>
      </c>
      <c r="K341" s="21">
        <f t="shared" si="114"/>
        <v>78.907532853753139</v>
      </c>
      <c r="L341" s="21">
        <f t="shared" si="109"/>
        <v>1.3462882428529173</v>
      </c>
      <c r="M341" s="2">
        <f t="shared" si="119"/>
        <v>61.122820140007818</v>
      </c>
      <c r="N341" s="19">
        <f t="shared" si="132"/>
        <v>312.33127294494727</v>
      </c>
      <c r="O341" s="1">
        <f t="shared" si="120"/>
        <v>315</v>
      </c>
      <c r="P341" s="19">
        <f t="shared" si="121"/>
        <v>194.01044566089604</v>
      </c>
      <c r="Q341" s="18">
        <f t="shared" si="122"/>
        <v>6.3108601560671787</v>
      </c>
      <c r="R341" s="2">
        <f t="shared" si="123"/>
        <v>0.94184277759180801</v>
      </c>
      <c r="S341" s="18">
        <f t="shared" si="124"/>
        <v>6.3265575356937092</v>
      </c>
      <c r="T341" s="18">
        <f t="shared" si="125"/>
        <v>2.9682277119932636</v>
      </c>
      <c r="U341" s="1">
        <f t="shared" si="115"/>
        <v>0</v>
      </c>
      <c r="V341" s="2">
        <f t="shared" si="126"/>
        <v>451.13235718866315</v>
      </c>
      <c r="W341" s="19">
        <f t="shared" si="127"/>
        <v>195.29539272236499</v>
      </c>
      <c r="X341" s="20"/>
      <c r="Y341" s="2">
        <f t="shared" si="128"/>
        <v>175.33571066269104</v>
      </c>
      <c r="Z341" s="21">
        <f t="shared" si="129"/>
        <v>2.346133743634367</v>
      </c>
      <c r="AA341" s="2">
        <f t="shared" si="130"/>
        <v>137.15002121713422</v>
      </c>
      <c r="AB341" s="19">
        <f t="shared" si="133"/>
        <v>70.206216647990459</v>
      </c>
      <c r="AC341" s="2"/>
      <c r="AD341" s="18"/>
      <c r="AE341" s="118"/>
      <c r="AG341" s="2"/>
      <c r="AH341" s="19"/>
      <c r="AI341" s="20"/>
      <c r="AJ341" s="21"/>
      <c r="AK341" s="21"/>
      <c r="AM341" s="19"/>
      <c r="AN341" s="18"/>
      <c r="AO341" s="2"/>
      <c r="AP341" s="18"/>
      <c r="AQ341" s="118"/>
      <c r="AS341" s="2"/>
      <c r="AT341" s="19"/>
      <c r="AU341" s="20"/>
      <c r="AV341" s="21"/>
      <c r="AW341" s="21"/>
      <c r="AY341" s="19"/>
      <c r="AZ341" s="18"/>
      <c r="BA341" s="2"/>
      <c r="BB341" s="18"/>
      <c r="BC341" s="118"/>
      <c r="BE341" s="2"/>
      <c r="BF341" s="19"/>
      <c r="BG341" s="20"/>
      <c r="BH341" s="21"/>
      <c r="BI341" s="21"/>
      <c r="BK341" s="19"/>
      <c r="BL341" s="18"/>
      <c r="BM341" s="2"/>
      <c r="BN341" s="18"/>
      <c r="BO341" s="118"/>
      <c r="BQ341" s="2"/>
      <c r="BR341" s="19"/>
      <c r="BS341" s="20"/>
      <c r="BT341" s="21"/>
      <c r="BU341" s="21"/>
      <c r="BW341" s="19"/>
      <c r="BX341" s="18"/>
      <c r="BY341" s="2"/>
      <c r="BZ341" s="18"/>
      <c r="CA341" s="118"/>
      <c r="CC341" s="2"/>
      <c r="CD341" s="19"/>
      <c r="CE341" s="20"/>
      <c r="CF341" s="21"/>
      <c r="CG341" s="21"/>
      <c r="CI341" s="19"/>
      <c r="CJ341" s="18"/>
      <c r="CK341" s="2"/>
      <c r="CL341" s="18"/>
      <c r="CM341" s="118"/>
      <c r="CO341" s="2"/>
      <c r="CP341" s="19"/>
      <c r="CQ341" s="20"/>
      <c r="CR341" s="21"/>
      <c r="CS341" s="21"/>
    </row>
    <row r="342" spans="1:97" x14ac:dyDescent="0.25">
      <c r="A342" s="1">
        <f t="shared" si="116"/>
        <v>316</v>
      </c>
      <c r="B342" s="19">
        <f t="shared" si="117"/>
        <v>98.889388294445453</v>
      </c>
      <c r="C342" s="18">
        <f t="shared" si="131"/>
        <v>4.7924777540616104</v>
      </c>
      <c r="D342" s="2">
        <f t="shared" si="110"/>
        <v>0.92923359645395287</v>
      </c>
      <c r="E342" s="18">
        <f t="shared" si="118"/>
        <v>4.8079649806691762</v>
      </c>
      <c r="F342" s="21">
        <f t="shared" si="111"/>
        <v>1.7291883761260547</v>
      </c>
      <c r="G342" s="1">
        <f t="shared" si="112"/>
        <v>0</v>
      </c>
      <c r="H342" s="2">
        <f t="shared" si="108"/>
        <v>230.16367533629506</v>
      </c>
      <c r="I342" s="19">
        <f t="shared" si="134"/>
        <v>99.637954691036825</v>
      </c>
      <c r="J342" s="20">
        <f t="shared" si="113"/>
        <v>0.92618343059982522</v>
      </c>
      <c r="K342" s="21">
        <f t="shared" si="114"/>
        <v>79.656271420615724</v>
      </c>
      <c r="L342" s="21">
        <f t="shared" si="109"/>
        <v>1.3550035511846734</v>
      </c>
      <c r="M342" s="2">
        <f t="shared" si="119"/>
        <v>61.70940176389729</v>
      </c>
      <c r="N342" s="19">
        <f t="shared" si="132"/>
        <v>312.48578885798617</v>
      </c>
      <c r="O342" s="1">
        <f t="shared" si="120"/>
        <v>316</v>
      </c>
      <c r="P342" s="19">
        <f t="shared" si="121"/>
        <v>195.29539272236499</v>
      </c>
      <c r="Q342" s="18">
        <f t="shared" si="122"/>
        <v>6.3265575356937092</v>
      </c>
      <c r="R342" s="2">
        <f t="shared" si="123"/>
        <v>0.94196713251055064</v>
      </c>
      <c r="S342" s="18">
        <f t="shared" si="124"/>
        <v>6.3422569879022186</v>
      </c>
      <c r="T342" s="18">
        <f t="shared" si="125"/>
        <v>2.9827481159958973</v>
      </c>
      <c r="U342" s="1">
        <f t="shared" si="115"/>
        <v>0</v>
      </c>
      <c r="V342" s="2">
        <f t="shared" si="126"/>
        <v>454.11510530465904</v>
      </c>
      <c r="W342" s="19">
        <f t="shared" si="127"/>
        <v>196.58662567301258</v>
      </c>
      <c r="X342" s="20"/>
      <c r="Y342" s="2">
        <f t="shared" si="128"/>
        <v>176.62724059691726</v>
      </c>
      <c r="Z342" s="21">
        <f t="shared" si="129"/>
        <v>2.3577921266421598</v>
      </c>
      <c r="AA342" s="2">
        <f t="shared" si="130"/>
        <v>138.17071044944686</v>
      </c>
      <c r="AB342" s="19">
        <f t="shared" si="133"/>
        <v>70.323265148965831</v>
      </c>
      <c r="AC342" s="2"/>
      <c r="AD342" s="18"/>
      <c r="AE342" s="118"/>
      <c r="AG342" s="2"/>
      <c r="AH342" s="19"/>
      <c r="AI342" s="20"/>
      <c r="AJ342" s="21"/>
      <c r="AK342" s="21"/>
      <c r="AM342" s="19"/>
      <c r="AN342" s="18"/>
      <c r="AO342" s="2"/>
      <c r="AP342" s="18"/>
      <c r="AQ342" s="118"/>
      <c r="AS342" s="2"/>
      <c r="AT342" s="19"/>
      <c r="AU342" s="20"/>
      <c r="AV342" s="21"/>
      <c r="AW342" s="21"/>
      <c r="AY342" s="19"/>
      <c r="AZ342" s="18"/>
      <c r="BA342" s="2"/>
      <c r="BB342" s="18"/>
      <c r="BC342" s="118"/>
      <c r="BE342" s="2"/>
      <c r="BF342" s="19"/>
      <c r="BG342" s="20"/>
      <c r="BH342" s="21"/>
      <c r="BI342" s="21"/>
      <c r="BK342" s="19"/>
      <c r="BL342" s="18"/>
      <c r="BM342" s="2"/>
      <c r="BN342" s="18"/>
      <c r="BO342" s="118"/>
      <c r="BQ342" s="2"/>
      <c r="BR342" s="19"/>
      <c r="BS342" s="20"/>
      <c r="BT342" s="21"/>
      <c r="BU342" s="21"/>
      <c r="BW342" s="19"/>
      <c r="BX342" s="18"/>
      <c r="BY342" s="2"/>
      <c r="BZ342" s="18"/>
      <c r="CA342" s="118"/>
      <c r="CC342" s="2"/>
      <c r="CD342" s="19"/>
      <c r="CE342" s="20"/>
      <c r="CF342" s="21"/>
      <c r="CG342" s="21"/>
      <c r="CI342" s="19"/>
      <c r="CJ342" s="18"/>
      <c r="CK342" s="2"/>
      <c r="CL342" s="18"/>
      <c r="CM342" s="118"/>
      <c r="CO342" s="2"/>
      <c r="CP342" s="19"/>
      <c r="CQ342" s="20"/>
      <c r="CR342" s="21"/>
      <c r="CS342" s="21"/>
    </row>
    <row r="343" spans="1:97" x14ac:dyDescent="0.25">
      <c r="A343" s="1">
        <f t="shared" si="116"/>
        <v>317</v>
      </c>
      <c r="B343" s="19">
        <f t="shared" si="117"/>
        <v>99.637954691036825</v>
      </c>
      <c r="C343" s="18">
        <f t="shared" si="131"/>
        <v>4.8079649806691762</v>
      </c>
      <c r="D343" s="2">
        <f t="shared" si="110"/>
        <v>0.92937375826544011</v>
      </c>
      <c r="E343" s="18">
        <f t="shared" si="118"/>
        <v>4.8234545433069336</v>
      </c>
      <c r="F343" s="21">
        <f t="shared" si="111"/>
        <v>1.7401687572643996</v>
      </c>
      <c r="G343" s="1">
        <f t="shared" si="112"/>
        <v>0</v>
      </c>
      <c r="H343" s="2">
        <f t="shared" si="108"/>
        <v>231.90384409355946</v>
      </c>
      <c r="I343" s="19">
        <f t="shared" si="134"/>
        <v>100.39127449937638</v>
      </c>
      <c r="J343" s="20">
        <f t="shared" si="113"/>
        <v>0.92612150895017631</v>
      </c>
      <c r="K343" s="21">
        <f t="shared" si="114"/>
        <v>80.409764492511215</v>
      </c>
      <c r="L343" s="21">
        <f t="shared" si="109"/>
        <v>1.3637482991541894</v>
      </c>
      <c r="M343" s="2">
        <f t="shared" si="119"/>
        <v>62.299768992968367</v>
      </c>
      <c r="N343" s="19">
        <f t="shared" si="132"/>
        <v>312.63980705047817</v>
      </c>
      <c r="O343" s="1">
        <f t="shared" si="120"/>
        <v>317</v>
      </c>
      <c r="P343" s="19">
        <f t="shared" si="121"/>
        <v>196.58662567301258</v>
      </c>
      <c r="Q343" s="18">
        <f t="shared" si="122"/>
        <v>6.3422569879022186</v>
      </c>
      <c r="R343" s="2">
        <f t="shared" si="123"/>
        <v>0.9420912906501534</v>
      </c>
      <c r="S343" s="18">
        <f t="shared" si="124"/>
        <v>6.3579585094130548</v>
      </c>
      <c r="T343" s="18">
        <f t="shared" si="125"/>
        <v>2.9973053778377565</v>
      </c>
      <c r="U343" s="1">
        <f t="shared" si="115"/>
        <v>0</v>
      </c>
      <c r="V343" s="2">
        <f t="shared" si="126"/>
        <v>457.11241068249677</v>
      </c>
      <c r="W343" s="19">
        <f t="shared" si="127"/>
        <v>197.88416046861332</v>
      </c>
      <c r="X343" s="20"/>
      <c r="Y343" s="2">
        <f t="shared" si="128"/>
        <v>177.925073825521</v>
      </c>
      <c r="Z343" s="21">
        <f t="shared" si="129"/>
        <v>2.3694809466328257</v>
      </c>
      <c r="AA343" s="2">
        <f t="shared" si="130"/>
        <v>139.19645977699355</v>
      </c>
      <c r="AB343" s="19">
        <f t="shared" si="133"/>
        <v>70.440023911232942</v>
      </c>
      <c r="AC343" s="2"/>
      <c r="AD343" s="18"/>
      <c r="AE343" s="118"/>
      <c r="AG343" s="2"/>
      <c r="AH343" s="19"/>
      <c r="AI343" s="20"/>
      <c r="AJ343" s="21"/>
      <c r="AK343" s="21"/>
      <c r="AM343" s="19"/>
      <c r="AN343" s="18"/>
      <c r="AO343" s="2"/>
      <c r="AP343" s="18"/>
      <c r="AQ343" s="118"/>
      <c r="AS343" s="2"/>
      <c r="AT343" s="19"/>
      <c r="AU343" s="20"/>
      <c r="AV343" s="21"/>
      <c r="AW343" s="21"/>
      <c r="AY343" s="19"/>
      <c r="AZ343" s="18"/>
      <c r="BA343" s="2"/>
      <c r="BB343" s="18"/>
      <c r="BC343" s="118"/>
      <c r="BE343" s="2"/>
      <c r="BF343" s="19"/>
      <c r="BG343" s="20"/>
      <c r="BH343" s="21"/>
      <c r="BI343" s="21"/>
      <c r="BK343" s="19"/>
      <c r="BL343" s="18"/>
      <c r="BM343" s="2"/>
      <c r="BN343" s="18"/>
      <c r="BO343" s="118"/>
      <c r="BQ343" s="2"/>
      <c r="BR343" s="19"/>
      <c r="BS343" s="20"/>
      <c r="BT343" s="21"/>
      <c r="BU343" s="21"/>
      <c r="BW343" s="19"/>
      <c r="BX343" s="18"/>
      <c r="BY343" s="2"/>
      <c r="BZ343" s="18"/>
      <c r="CA343" s="118"/>
      <c r="CC343" s="2"/>
      <c r="CD343" s="19"/>
      <c r="CE343" s="20"/>
      <c r="CF343" s="21"/>
      <c r="CG343" s="21"/>
      <c r="CI343" s="19"/>
      <c r="CJ343" s="18"/>
      <c r="CK343" s="2"/>
      <c r="CL343" s="18"/>
      <c r="CM343" s="118"/>
      <c r="CO343" s="2"/>
      <c r="CP343" s="19"/>
      <c r="CQ343" s="20"/>
      <c r="CR343" s="21"/>
      <c r="CS343" s="21"/>
    </row>
    <row r="344" spans="1:97" x14ac:dyDescent="0.25">
      <c r="A344" s="1">
        <f t="shared" si="116"/>
        <v>318</v>
      </c>
      <c r="B344" s="19">
        <f t="shared" si="117"/>
        <v>100.39127449937638</v>
      </c>
      <c r="C344" s="18">
        <f t="shared" si="131"/>
        <v>4.8234545433069336</v>
      </c>
      <c r="D344" s="2">
        <f t="shared" si="110"/>
        <v>0.92951377214457087</v>
      </c>
      <c r="E344" s="18">
        <f t="shared" si="118"/>
        <v>4.8389464395093427</v>
      </c>
      <c r="F344" s="21">
        <f t="shared" si="111"/>
        <v>1.7511850526956343</v>
      </c>
      <c r="G344" s="1">
        <f t="shared" si="112"/>
        <v>0</v>
      </c>
      <c r="H344" s="2">
        <f t="shared" si="108"/>
        <v>233.65502914625506</v>
      </c>
      <c r="I344" s="19">
        <f t="shared" si="134"/>
        <v>101.14936326677709</v>
      </c>
      <c r="J344" s="20">
        <f t="shared" si="113"/>
        <v>0.92605953713643063</v>
      </c>
      <c r="K344" s="21">
        <f t="shared" si="114"/>
        <v>81.168027620328431</v>
      </c>
      <c r="L344" s="21">
        <f t="shared" si="109"/>
        <v>1.3725224980886583</v>
      </c>
      <c r="M344" s="2">
        <f t="shared" si="119"/>
        <v>62.893934576556532</v>
      </c>
      <c r="N344" s="19">
        <f t="shared" si="132"/>
        <v>312.79333064425077</v>
      </c>
      <c r="O344" s="1">
        <f t="shared" si="120"/>
        <v>318</v>
      </c>
      <c r="P344" s="19">
        <f t="shared" si="121"/>
        <v>197.88416046861332</v>
      </c>
      <c r="Q344" s="18">
        <f t="shared" si="122"/>
        <v>6.3579585094130548</v>
      </c>
      <c r="R344" s="2">
        <f t="shared" si="123"/>
        <v>0.9422152522820515</v>
      </c>
      <c r="S344" s="18">
        <f t="shared" si="124"/>
        <v>6.3736620969510893</v>
      </c>
      <c r="T344" s="18">
        <f t="shared" si="125"/>
        <v>3.0118995060762961</v>
      </c>
      <c r="U344" s="1">
        <f t="shared" si="115"/>
        <v>0</v>
      </c>
      <c r="V344" s="2">
        <f t="shared" si="126"/>
        <v>460.12431018857308</v>
      </c>
      <c r="W344" s="19">
        <f t="shared" si="127"/>
        <v>199.18801306864634</v>
      </c>
      <c r="X344" s="20"/>
      <c r="Y344" s="2">
        <f t="shared" si="128"/>
        <v>179.22922631165204</v>
      </c>
      <c r="Z344" s="21">
        <f t="shared" si="129"/>
        <v>2.3812002125862533</v>
      </c>
      <c r="AA344" s="2">
        <f t="shared" si="130"/>
        <v>140.22728237984475</v>
      </c>
      <c r="AB344" s="19">
        <f t="shared" si="133"/>
        <v>70.556494327765392</v>
      </c>
      <c r="AC344" s="2"/>
      <c r="AD344" s="18"/>
      <c r="AE344" s="118"/>
      <c r="AG344" s="2"/>
      <c r="AH344" s="19"/>
      <c r="AI344" s="20"/>
      <c r="AJ344" s="21"/>
      <c r="AK344" s="21"/>
      <c r="AM344" s="19"/>
      <c r="AN344" s="18"/>
      <c r="AO344" s="2"/>
      <c r="AP344" s="18"/>
      <c r="AQ344" s="118"/>
      <c r="AS344" s="2"/>
      <c r="AT344" s="19"/>
      <c r="AU344" s="20"/>
      <c r="AV344" s="21"/>
      <c r="AW344" s="21"/>
      <c r="AY344" s="19"/>
      <c r="AZ344" s="18"/>
      <c r="BA344" s="2"/>
      <c r="BB344" s="18"/>
      <c r="BC344" s="118"/>
      <c r="BE344" s="2"/>
      <c r="BF344" s="19"/>
      <c r="BG344" s="20"/>
      <c r="BH344" s="21"/>
      <c r="BI344" s="21"/>
      <c r="BK344" s="19"/>
      <c r="BL344" s="18"/>
      <c r="BM344" s="2"/>
      <c r="BN344" s="18"/>
      <c r="BO344" s="118"/>
      <c r="BQ344" s="2"/>
      <c r="BR344" s="19"/>
      <c r="BS344" s="20"/>
      <c r="BT344" s="21"/>
      <c r="BU344" s="21"/>
      <c r="BW344" s="19"/>
      <c r="BX344" s="18"/>
      <c r="BY344" s="2"/>
      <c r="BZ344" s="18"/>
      <c r="CA344" s="118"/>
      <c r="CC344" s="2"/>
      <c r="CD344" s="19"/>
      <c r="CE344" s="20"/>
      <c r="CF344" s="21"/>
      <c r="CG344" s="21"/>
      <c r="CI344" s="19"/>
      <c r="CJ344" s="18"/>
      <c r="CK344" s="2"/>
      <c r="CL344" s="18"/>
      <c r="CM344" s="118"/>
      <c r="CO344" s="2"/>
      <c r="CP344" s="19"/>
      <c r="CQ344" s="20"/>
      <c r="CR344" s="21"/>
      <c r="CS344" s="21"/>
    </row>
    <row r="345" spans="1:97" x14ac:dyDescent="0.25">
      <c r="A345" s="1">
        <f t="shared" si="116"/>
        <v>319</v>
      </c>
      <c r="B345" s="19">
        <f t="shared" si="117"/>
        <v>101.14936326677709</v>
      </c>
      <c r="C345" s="18">
        <f t="shared" si="131"/>
        <v>4.8389464395093427</v>
      </c>
      <c r="D345" s="2">
        <f t="shared" si="110"/>
        <v>0.92965363679812718</v>
      </c>
      <c r="E345" s="18">
        <f t="shared" si="118"/>
        <v>4.8544406667893112</v>
      </c>
      <c r="F345" s="21">
        <f t="shared" si="111"/>
        <v>1.7622372732182812</v>
      </c>
      <c r="G345" s="1">
        <f t="shared" si="112"/>
        <v>0</v>
      </c>
      <c r="H345" s="2">
        <f t="shared" si="108"/>
        <v>235.41726641947338</v>
      </c>
      <c r="I345" s="19">
        <f t="shared" si="134"/>
        <v>101.91223654522656</v>
      </c>
      <c r="J345" s="20">
        <f t="shared" si="113"/>
        <v>0.92599751620264226</v>
      </c>
      <c r="K345" s="21">
        <f t="shared" si="114"/>
        <v>81.931076359631945</v>
      </c>
      <c r="L345" s="21">
        <f t="shared" si="109"/>
        <v>1.3813261592870101</v>
      </c>
      <c r="M345" s="2">
        <f t="shared" si="119"/>
        <v>63.491911268888572</v>
      </c>
      <c r="N345" s="19">
        <f t="shared" si="132"/>
        <v>312.94636273194681</v>
      </c>
      <c r="O345" s="1">
        <f t="shared" si="120"/>
        <v>319</v>
      </c>
      <c r="P345" s="19">
        <f t="shared" si="121"/>
        <v>199.18801306864634</v>
      </c>
      <c r="Q345" s="18">
        <f t="shared" si="122"/>
        <v>6.3736620969510893</v>
      </c>
      <c r="R345" s="2">
        <f t="shared" si="123"/>
        <v>0.94233901768172279</v>
      </c>
      <c r="S345" s="18">
        <f t="shared" si="124"/>
        <v>6.3893677472457844</v>
      </c>
      <c r="T345" s="18">
        <f t="shared" si="125"/>
        <v>3.0265305092504318</v>
      </c>
      <c r="U345" s="1">
        <f t="shared" si="115"/>
        <v>0</v>
      </c>
      <c r="V345" s="2">
        <f t="shared" si="126"/>
        <v>463.15084069782353</v>
      </c>
      <c r="W345" s="19">
        <f t="shared" si="127"/>
        <v>200.49819943628722</v>
      </c>
      <c r="X345" s="20"/>
      <c r="Y345" s="2">
        <f t="shared" si="128"/>
        <v>180.53971402215748</v>
      </c>
      <c r="Z345" s="21">
        <f t="shared" si="129"/>
        <v>2.3929499334631585</v>
      </c>
      <c r="AA345" s="2">
        <f t="shared" si="130"/>
        <v>141.26319144195003</v>
      </c>
      <c r="AB345" s="19">
        <f t="shared" si="133"/>
        <v>70.672677781582564</v>
      </c>
      <c r="AC345" s="2"/>
      <c r="AD345" s="18"/>
      <c r="AE345" s="118"/>
      <c r="AG345" s="2"/>
      <c r="AH345" s="19"/>
      <c r="AI345" s="20"/>
      <c r="AJ345" s="21"/>
      <c r="AK345" s="21"/>
      <c r="AM345" s="19"/>
      <c r="AN345" s="18"/>
      <c r="AO345" s="2"/>
      <c r="AP345" s="18"/>
      <c r="AQ345" s="118"/>
      <c r="AS345" s="2"/>
      <c r="AT345" s="19"/>
      <c r="AU345" s="20"/>
      <c r="AV345" s="21"/>
      <c r="AW345" s="21"/>
      <c r="AY345" s="19"/>
      <c r="AZ345" s="18"/>
      <c r="BA345" s="2"/>
      <c r="BB345" s="18"/>
      <c r="BC345" s="118"/>
      <c r="BE345" s="2"/>
      <c r="BF345" s="19"/>
      <c r="BG345" s="20"/>
      <c r="BH345" s="21"/>
      <c r="BI345" s="21"/>
      <c r="BK345" s="19"/>
      <c r="BL345" s="18"/>
      <c r="BM345" s="2"/>
      <c r="BN345" s="18"/>
      <c r="BO345" s="118"/>
      <c r="BQ345" s="2"/>
      <c r="BR345" s="19"/>
      <c r="BS345" s="20"/>
      <c r="BT345" s="21"/>
      <c r="BU345" s="21"/>
      <c r="BW345" s="19"/>
      <c r="BX345" s="18"/>
      <c r="BY345" s="2"/>
      <c r="BZ345" s="18"/>
      <c r="CA345" s="118"/>
      <c r="CC345" s="2"/>
      <c r="CD345" s="19"/>
      <c r="CE345" s="20"/>
      <c r="CF345" s="21"/>
      <c r="CG345" s="21"/>
      <c r="CI345" s="19"/>
      <c r="CJ345" s="18"/>
      <c r="CK345" s="2"/>
      <c r="CL345" s="18"/>
      <c r="CM345" s="118"/>
      <c r="CO345" s="2"/>
      <c r="CP345" s="19"/>
      <c r="CQ345" s="20"/>
      <c r="CR345" s="21"/>
      <c r="CS345" s="21"/>
    </row>
    <row r="346" spans="1:97" x14ac:dyDescent="0.25">
      <c r="A346" s="1">
        <f t="shared" si="116"/>
        <v>320</v>
      </c>
      <c r="B346" s="19">
        <f t="shared" si="117"/>
        <v>101.91223654522656</v>
      </c>
      <c r="C346" s="18">
        <f t="shared" si="131"/>
        <v>4.8544406667893112</v>
      </c>
      <c r="D346" s="2">
        <f t="shared" si="110"/>
        <v>0.92979335096289484</v>
      </c>
      <c r="E346" s="18">
        <f t="shared" si="118"/>
        <v>4.8699372226386926</v>
      </c>
      <c r="F346" s="21">
        <f t="shared" si="111"/>
        <v>1.7733254296041507</v>
      </c>
      <c r="G346" s="1">
        <f t="shared" si="112"/>
        <v>0</v>
      </c>
      <c r="H346" s="2">
        <f t="shared" ref="H346:H409" si="135">(B346*2.31)+F346-G346</f>
        <v>237.19059184907752</v>
      </c>
      <c r="I346" s="19">
        <f t="shared" si="134"/>
        <v>102.67990989137554</v>
      </c>
      <c r="J346" s="20">
        <f t="shared" si="113"/>
        <v>0.92593544718359677</v>
      </c>
      <c r="K346" s="21">
        <f t="shared" si="114"/>
        <v>82.698926270650546</v>
      </c>
      <c r="L346" s="21">
        <f t="shared" ref="L346:L409" si="136">($C$11*((0.4085*E346/$C$5^2))^2)/64.4</f>
        <v>1.3901592940199998</v>
      </c>
      <c r="M346" s="2">
        <f t="shared" si="119"/>
        <v>64.093711829070386</v>
      </c>
      <c r="N346" s="19">
        <f t="shared" si="132"/>
        <v>313.09890637738744</v>
      </c>
      <c r="O346" s="1">
        <f t="shared" si="120"/>
        <v>320</v>
      </c>
      <c r="P346" s="19">
        <f t="shared" si="121"/>
        <v>200.49819943628722</v>
      </c>
      <c r="Q346" s="18">
        <f t="shared" si="122"/>
        <v>6.3893677472457844</v>
      </c>
      <c r="R346" s="2">
        <f t="shared" si="123"/>
        <v>0.94246258712859077</v>
      </c>
      <c r="S346" s="18">
        <f t="shared" si="124"/>
        <v>6.4050754570312609</v>
      </c>
      <c r="T346" s="18">
        <f t="shared" si="125"/>
        <v>3.0411983958806186</v>
      </c>
      <c r="U346" s="1">
        <f t="shared" si="115"/>
        <v>0</v>
      </c>
      <c r="V346" s="2">
        <f t="shared" si="126"/>
        <v>466.19203909370407</v>
      </c>
      <c r="W346" s="19">
        <f t="shared" si="127"/>
        <v>201.81473553840002</v>
      </c>
      <c r="X346" s="20"/>
      <c r="Y346" s="2">
        <f t="shared" si="128"/>
        <v>181.8565529275738</v>
      </c>
      <c r="Z346" s="21">
        <f t="shared" si="129"/>
        <v>2.4047301182051641</v>
      </c>
      <c r="AA346" s="2">
        <f t="shared" si="130"/>
        <v>142.30420015112975</v>
      </c>
      <c r="AB346" s="19">
        <f t="shared" si="133"/>
        <v>70.788575645844105</v>
      </c>
      <c r="AC346" s="2"/>
      <c r="AD346" s="18"/>
      <c r="AE346" s="118"/>
      <c r="AG346" s="2"/>
      <c r="AH346" s="19"/>
      <c r="AI346" s="20"/>
      <c r="AJ346" s="21"/>
      <c r="AK346" s="21"/>
      <c r="AM346" s="19"/>
      <c r="AN346" s="18"/>
      <c r="AO346" s="2"/>
      <c r="AP346" s="18"/>
      <c r="AQ346" s="118"/>
      <c r="AS346" s="2"/>
      <c r="AT346" s="19"/>
      <c r="AU346" s="20"/>
      <c r="AV346" s="21"/>
      <c r="AW346" s="21"/>
      <c r="AY346" s="19"/>
      <c r="AZ346" s="18"/>
      <c r="BA346" s="2"/>
      <c r="BB346" s="18"/>
      <c r="BC346" s="118"/>
      <c r="BE346" s="2"/>
      <c r="BF346" s="19"/>
      <c r="BG346" s="20"/>
      <c r="BH346" s="21"/>
      <c r="BI346" s="21"/>
      <c r="BK346" s="19"/>
      <c r="BL346" s="18"/>
      <c r="BM346" s="2"/>
      <c r="BN346" s="18"/>
      <c r="BO346" s="118"/>
      <c r="BQ346" s="2"/>
      <c r="BR346" s="19"/>
      <c r="BS346" s="20"/>
      <c r="BT346" s="21"/>
      <c r="BU346" s="21"/>
      <c r="BW346" s="19"/>
      <c r="BX346" s="18"/>
      <c r="BY346" s="2"/>
      <c r="BZ346" s="18"/>
      <c r="CA346" s="118"/>
      <c r="CC346" s="2"/>
      <c r="CD346" s="19"/>
      <c r="CE346" s="20"/>
      <c r="CF346" s="21"/>
      <c r="CG346" s="21"/>
      <c r="CI346" s="19"/>
      <c r="CJ346" s="18"/>
      <c r="CK346" s="2"/>
      <c r="CL346" s="18"/>
      <c r="CM346" s="118"/>
      <c r="CO346" s="2"/>
      <c r="CP346" s="19"/>
      <c r="CQ346" s="20"/>
      <c r="CR346" s="21"/>
      <c r="CS346" s="21"/>
    </row>
    <row r="347" spans="1:97" x14ac:dyDescent="0.25">
      <c r="A347" s="1">
        <f t="shared" si="116"/>
        <v>321</v>
      </c>
      <c r="B347" s="19">
        <f t="shared" si="117"/>
        <v>102.67990989137554</v>
      </c>
      <c r="C347" s="18">
        <f t="shared" si="131"/>
        <v>4.8699372226386926</v>
      </c>
      <c r="D347" s="2">
        <f t="shared" ref="D347:D410" si="137">$C$17*I346^$C$18</f>
        <v>0.92993291340520723</v>
      </c>
      <c r="E347" s="18">
        <f t="shared" si="118"/>
        <v>4.8854361045287797</v>
      </c>
      <c r="F347" s="21">
        <f t="shared" ref="F347:F410" si="138">(($C$7*($C$16/12)*(E347)^1.852)/($C$5^4.871)+L347)-G347</f>
        <v>1.7844495325983956</v>
      </c>
      <c r="G347" s="1">
        <f t="shared" ref="G347:G410" si="139">$C$9*($C$16/12)/100</f>
        <v>0</v>
      </c>
      <c r="H347" s="2">
        <f t="shared" si="135"/>
        <v>238.97504138167591</v>
      </c>
      <c r="I347" s="19">
        <f t="shared" si="134"/>
        <v>103.45239886652637</v>
      </c>
      <c r="J347" s="20">
        <f t="shared" ref="J347:J410" si="140">(1-1.27*0.05)*($D$26/((E347*60)/((A347/($C$16/12)+1))))</f>
        <v>0.92587333110485759</v>
      </c>
      <c r="K347" s="21">
        <f t="shared" ref="K347:K410" si="141">K346+(F347*0.433)</f>
        <v>83.471592918265657</v>
      </c>
      <c r="L347" s="21">
        <f t="shared" si="136"/>
        <v>1.3990219135302864</v>
      </c>
      <c r="M347" s="2">
        <f t="shared" si="119"/>
        <v>64.699349021074838</v>
      </c>
      <c r="N347" s="19">
        <f t="shared" si="132"/>
        <v>313.25096461593</v>
      </c>
      <c r="O347" s="1">
        <f t="shared" si="120"/>
        <v>321</v>
      </c>
      <c r="P347" s="19">
        <f t="shared" si="121"/>
        <v>201.81473553840002</v>
      </c>
      <c r="Q347" s="18">
        <f t="shared" si="122"/>
        <v>6.4050754570312609</v>
      </c>
      <c r="R347" s="2">
        <f t="shared" si="123"/>
        <v>0.94258596090592783</v>
      </c>
      <c r="S347" s="18">
        <f t="shared" si="124"/>
        <v>6.4207852230463596</v>
      </c>
      <c r="T347" s="18">
        <f t="shared" si="125"/>
        <v>3.0559031744689378</v>
      </c>
      <c r="U347" s="1">
        <f t="shared" ref="U347:U410" si="142">$C$9*($C$16/12)/100</f>
        <v>0</v>
      </c>
      <c r="V347" s="2">
        <f t="shared" si="126"/>
        <v>469.24794226817301</v>
      </c>
      <c r="W347" s="19">
        <f t="shared" si="127"/>
        <v>203.13763734552944</v>
      </c>
      <c r="X347" s="20"/>
      <c r="Y347" s="2">
        <f t="shared" si="128"/>
        <v>183.17975900211886</v>
      </c>
      <c r="Z347" s="21">
        <f t="shared" si="129"/>
        <v>2.4165407757348869</v>
      </c>
      <c r="AA347" s="2">
        <f t="shared" si="130"/>
        <v>143.35032169906694</v>
      </c>
      <c r="AB347" s="19">
        <f t="shared" si="133"/>
        <v>70.904189283943325</v>
      </c>
      <c r="AC347" s="2"/>
      <c r="AD347" s="18"/>
      <c r="AE347" s="118"/>
      <c r="AG347" s="2"/>
      <c r="AH347" s="19"/>
      <c r="AI347" s="20"/>
      <c r="AJ347" s="21"/>
      <c r="AK347" s="21"/>
      <c r="AM347" s="19"/>
      <c r="AN347" s="18"/>
      <c r="AO347" s="2"/>
      <c r="AP347" s="18"/>
      <c r="AQ347" s="118"/>
      <c r="AS347" s="2"/>
      <c r="AT347" s="19"/>
      <c r="AU347" s="20"/>
      <c r="AV347" s="21"/>
      <c r="AW347" s="21"/>
      <c r="AY347" s="19"/>
      <c r="AZ347" s="18"/>
      <c r="BA347" s="2"/>
      <c r="BB347" s="18"/>
      <c r="BC347" s="118"/>
      <c r="BE347" s="2"/>
      <c r="BF347" s="19"/>
      <c r="BG347" s="20"/>
      <c r="BH347" s="21"/>
      <c r="BI347" s="21"/>
      <c r="BK347" s="19"/>
      <c r="BL347" s="18"/>
      <c r="BM347" s="2"/>
      <c r="BN347" s="18"/>
      <c r="BO347" s="118"/>
      <c r="BQ347" s="2"/>
      <c r="BR347" s="19"/>
      <c r="BS347" s="20"/>
      <c r="BT347" s="21"/>
      <c r="BU347" s="21"/>
      <c r="BW347" s="19"/>
      <c r="BX347" s="18"/>
      <c r="BY347" s="2"/>
      <c r="BZ347" s="18"/>
      <c r="CA347" s="118"/>
      <c r="CC347" s="2"/>
      <c r="CD347" s="19"/>
      <c r="CE347" s="20"/>
      <c r="CF347" s="21"/>
      <c r="CG347" s="21"/>
      <c r="CI347" s="19"/>
      <c r="CJ347" s="18"/>
      <c r="CK347" s="2"/>
      <c r="CL347" s="18"/>
      <c r="CM347" s="118"/>
      <c r="CO347" s="2"/>
      <c r="CP347" s="19"/>
      <c r="CQ347" s="20"/>
      <c r="CR347" s="21"/>
      <c r="CS347" s="21"/>
    </row>
    <row r="348" spans="1:97" x14ac:dyDescent="0.25">
      <c r="A348" s="1">
        <f t="shared" ref="A348:A411" si="143">A347+$C$16/12</f>
        <v>322</v>
      </c>
      <c r="B348" s="19">
        <f t="shared" ref="B348:B411" si="144">I347</f>
        <v>103.45239886652637</v>
      </c>
      <c r="C348" s="18">
        <f t="shared" si="131"/>
        <v>4.8854361045287797</v>
      </c>
      <c r="D348" s="2">
        <f t="shared" si="137"/>
        <v>0.9300723229204968</v>
      </c>
      <c r="E348" s="18">
        <f t="shared" ref="E348:E411" si="145">C348+D348/60</f>
        <v>4.9009373099107885</v>
      </c>
      <c r="F348" s="21">
        <f t="shared" si="138"/>
        <v>1.7956095929195748</v>
      </c>
      <c r="G348" s="1">
        <f t="shared" si="139"/>
        <v>0</v>
      </c>
      <c r="H348" s="2">
        <f t="shared" si="135"/>
        <v>240.77065097459547</v>
      </c>
      <c r="I348" s="19">
        <f t="shared" si="134"/>
        <v>104.22971903662142</v>
      </c>
      <c r="J348" s="20">
        <f t="shared" si="140"/>
        <v>0.92581116898281524</v>
      </c>
      <c r="K348" s="21">
        <f t="shared" si="141"/>
        <v>84.249091871999838</v>
      </c>
      <c r="L348" s="21">
        <f t="shared" si="136"/>
        <v>1.4079140290325212</v>
      </c>
      <c r="M348" s="2">
        <f t="shared" ref="M348:M411" si="146">(L348/2.31)+M347</f>
        <v>65.308835613729613</v>
      </c>
      <c r="N348" s="19">
        <f t="shared" si="132"/>
        <v>313.40254045481998</v>
      </c>
      <c r="O348" s="1">
        <f t="shared" ref="O348:O411" si="147">O347+$C$16/12</f>
        <v>322</v>
      </c>
      <c r="P348" s="19">
        <f t="shared" ref="P348:P411" si="148">W347</f>
        <v>203.13763734552944</v>
      </c>
      <c r="Q348" s="18">
        <f t="shared" ref="Q348:Q411" si="149">S347</f>
        <v>6.4207852230463596</v>
      </c>
      <c r="R348" s="2">
        <f t="shared" ref="R348:R411" si="150">$C$17*W347^$C$18</f>
        <v>0.94270913930076072</v>
      </c>
      <c r="S348" s="18">
        <f t="shared" ref="S348:S411" si="151">Q348+R348/60</f>
        <v>6.4364970420347056</v>
      </c>
      <c r="T348" s="18">
        <f t="shared" ref="T348:T411" si="152">(($C$7*($C$16/12)*(S348)^1.852)/($C$5^4.871)+Z348)-U348</f>
        <v>3.0706448534991688</v>
      </c>
      <c r="U348" s="1">
        <f t="shared" si="142"/>
        <v>0</v>
      </c>
      <c r="V348" s="2">
        <f t="shared" ref="V348:V411" si="153">(P348*2.31)+T348-U348</f>
        <v>472.31858712167218</v>
      </c>
      <c r="W348" s="19">
        <f t="shared" ref="W348:W411" si="154">V348/2.31</f>
        <v>204.46692083189271</v>
      </c>
      <c r="X348" s="20"/>
      <c r="Y348" s="2">
        <f t="shared" ref="Y348:Y411" si="155">Y347+(T348*0.433)</f>
        <v>184.50934822368399</v>
      </c>
      <c r="Z348" s="21">
        <f t="shared" ref="Z348:Z411" si="156">($C$11*((0.4085*S348/$C$5^2))^2)/64.4</f>
        <v>2.4283819149560126</v>
      </c>
      <c r="AA348" s="2">
        <f t="shared" ref="AA348:AA411" si="157">(Z348/2.31)+AA347</f>
        <v>144.40156928129898</v>
      </c>
      <c r="AB348" s="19">
        <f t="shared" si="133"/>
        <v>71.019520049599436</v>
      </c>
      <c r="AC348" s="2"/>
      <c r="AD348" s="18"/>
      <c r="AE348" s="118"/>
      <c r="AG348" s="2"/>
      <c r="AH348" s="19"/>
      <c r="AI348" s="20"/>
      <c r="AJ348" s="21"/>
      <c r="AK348" s="21"/>
      <c r="AM348" s="19"/>
      <c r="AN348" s="18"/>
      <c r="AO348" s="2"/>
      <c r="AP348" s="18"/>
      <c r="AQ348" s="118"/>
      <c r="AS348" s="2"/>
      <c r="AT348" s="19"/>
      <c r="AU348" s="20"/>
      <c r="AV348" s="21"/>
      <c r="AW348" s="21"/>
      <c r="AY348" s="19"/>
      <c r="AZ348" s="18"/>
      <c r="BA348" s="2"/>
      <c r="BB348" s="18"/>
      <c r="BC348" s="118"/>
      <c r="BE348" s="2"/>
      <c r="BF348" s="19"/>
      <c r="BG348" s="20"/>
      <c r="BH348" s="21"/>
      <c r="BI348" s="21"/>
      <c r="BK348" s="19"/>
      <c r="BL348" s="18"/>
      <c r="BM348" s="2"/>
      <c r="BN348" s="18"/>
      <c r="BO348" s="118"/>
      <c r="BQ348" s="2"/>
      <c r="BR348" s="19"/>
      <c r="BS348" s="20"/>
      <c r="BT348" s="21"/>
      <c r="BU348" s="21"/>
      <c r="BW348" s="19"/>
      <c r="BX348" s="18"/>
      <c r="BY348" s="2"/>
      <c r="BZ348" s="18"/>
      <c r="CA348" s="118"/>
      <c r="CC348" s="2"/>
      <c r="CD348" s="19"/>
      <c r="CE348" s="20"/>
      <c r="CF348" s="21"/>
      <c r="CG348" s="21"/>
      <c r="CI348" s="19"/>
      <c r="CJ348" s="18"/>
      <c r="CK348" s="2"/>
      <c r="CL348" s="18"/>
      <c r="CM348" s="118"/>
      <c r="CO348" s="2"/>
      <c r="CP348" s="19"/>
      <c r="CQ348" s="20"/>
      <c r="CR348" s="21"/>
      <c r="CS348" s="21"/>
    </row>
    <row r="349" spans="1:97" x14ac:dyDescent="0.25">
      <c r="A349" s="1">
        <f t="shared" si="143"/>
        <v>323</v>
      </c>
      <c r="B349" s="19">
        <f t="shared" si="144"/>
        <v>104.22971903662142</v>
      </c>
      <c r="C349" s="18">
        <f t="shared" ref="C349:C412" si="158">E348</f>
        <v>4.9009373099107885</v>
      </c>
      <c r="D349" s="2">
        <f t="shared" si="137"/>
        <v>0.93021157833284773</v>
      </c>
      <c r="E349" s="18">
        <f t="shared" si="145"/>
        <v>4.9164408362163359</v>
      </c>
      <c r="F349" s="21">
        <f t="shared" si="138"/>
        <v>1.8068056212597163</v>
      </c>
      <c r="G349" s="1">
        <f t="shared" si="139"/>
        <v>0</v>
      </c>
      <c r="H349" s="2">
        <f t="shared" si="135"/>
        <v>242.57745659585518</v>
      </c>
      <c r="I349" s="19">
        <f t="shared" si="134"/>
        <v>105.01188597223168</v>
      </c>
      <c r="J349" s="20">
        <f t="shared" si="140"/>
        <v>0.9257489618247341</v>
      </c>
      <c r="K349" s="21">
        <f t="shared" si="141"/>
        <v>85.031438706005289</v>
      </c>
      <c r="L349" s="21">
        <f t="shared" si="136"/>
        <v>1.4168356517134313</v>
      </c>
      <c r="M349" s="2">
        <f t="shared" si="146"/>
        <v>65.922184380705119</v>
      </c>
      <c r="N349" s="19">
        <f t="shared" ref="N349:N412" si="159">($C$16/12)/(0.4085*E348/$C$5^2)+N348</f>
        <v>313.55363687353764</v>
      </c>
      <c r="O349" s="1">
        <f t="shared" si="147"/>
        <v>323</v>
      </c>
      <c r="P349" s="19">
        <f t="shared" si="148"/>
        <v>204.46692083189271</v>
      </c>
      <c r="Q349" s="18">
        <f t="shared" si="149"/>
        <v>6.4364970420347056</v>
      </c>
      <c r="R349" s="2">
        <f t="shared" si="150"/>
        <v>0.94283212260377736</v>
      </c>
      <c r="S349" s="18">
        <f t="shared" si="151"/>
        <v>6.4522109107447685</v>
      </c>
      <c r="T349" s="18">
        <f t="shared" si="152"/>
        <v>3.0854234414368791</v>
      </c>
      <c r="U349" s="1">
        <f t="shared" si="142"/>
        <v>0</v>
      </c>
      <c r="V349" s="2">
        <f t="shared" si="153"/>
        <v>475.40401056310907</v>
      </c>
      <c r="W349" s="19">
        <f t="shared" si="154"/>
        <v>205.80260197537189</v>
      </c>
      <c r="X349" s="20"/>
      <c r="Y349" s="2">
        <f t="shared" si="155"/>
        <v>185.84533657382616</v>
      </c>
      <c r="Z349" s="21">
        <f t="shared" si="156"/>
        <v>2.4402535447533866</v>
      </c>
      <c r="AA349" s="2">
        <f t="shared" si="157"/>
        <v>145.45795609720955</v>
      </c>
      <c r="AB349" s="19">
        <f t="shared" ref="AB349:AB412" si="160">($C$16/12)/(0.4085*S348/$C$5^2)+AB348</f>
        <v>71.134569286948775</v>
      </c>
      <c r="AC349" s="2"/>
      <c r="AD349" s="18"/>
      <c r="AE349" s="118"/>
      <c r="AG349" s="2"/>
      <c r="AH349" s="19"/>
      <c r="AI349" s="20"/>
      <c r="AJ349" s="21"/>
      <c r="AK349" s="21"/>
      <c r="AM349" s="19"/>
      <c r="AN349" s="18"/>
      <c r="AO349" s="2"/>
      <c r="AP349" s="18"/>
      <c r="AQ349" s="118"/>
      <c r="AS349" s="2"/>
      <c r="AT349" s="19"/>
      <c r="AU349" s="20"/>
      <c r="AV349" s="21"/>
      <c r="AW349" s="21"/>
      <c r="AY349" s="19"/>
      <c r="AZ349" s="18"/>
      <c r="BA349" s="2"/>
      <c r="BB349" s="18"/>
      <c r="BC349" s="118"/>
      <c r="BE349" s="2"/>
      <c r="BF349" s="19"/>
      <c r="BG349" s="20"/>
      <c r="BH349" s="21"/>
      <c r="BI349" s="21"/>
      <c r="BK349" s="19"/>
      <c r="BL349" s="18"/>
      <c r="BM349" s="2"/>
      <c r="BN349" s="18"/>
      <c r="BO349" s="118"/>
      <c r="BQ349" s="2"/>
      <c r="BR349" s="19"/>
      <c r="BS349" s="20"/>
      <c r="BT349" s="21"/>
      <c r="BU349" s="21"/>
      <c r="BW349" s="19"/>
      <c r="BX349" s="18"/>
      <c r="BY349" s="2"/>
      <c r="BZ349" s="18"/>
      <c r="CA349" s="118"/>
      <c r="CC349" s="2"/>
      <c r="CD349" s="19"/>
      <c r="CE349" s="20"/>
      <c r="CF349" s="21"/>
      <c r="CG349" s="21"/>
      <c r="CI349" s="19"/>
      <c r="CJ349" s="18"/>
      <c r="CK349" s="2"/>
      <c r="CL349" s="18"/>
      <c r="CM349" s="118"/>
      <c r="CO349" s="2"/>
      <c r="CP349" s="19"/>
      <c r="CQ349" s="20"/>
      <c r="CR349" s="21"/>
      <c r="CS349" s="21"/>
    </row>
    <row r="350" spans="1:97" x14ac:dyDescent="0.25">
      <c r="A350" s="1">
        <f t="shared" si="143"/>
        <v>324</v>
      </c>
      <c r="B350" s="19">
        <f t="shared" si="144"/>
        <v>105.01188597223168</v>
      </c>
      <c r="C350" s="18">
        <f t="shared" si="158"/>
        <v>4.9164408362163359</v>
      </c>
      <c r="D350" s="2">
        <f t="shared" si="137"/>
        <v>0.93035067849455677</v>
      </c>
      <c r="E350" s="18">
        <f t="shared" si="145"/>
        <v>4.9319466808579122</v>
      </c>
      <c r="F350" s="21">
        <f t="shared" si="138"/>
        <v>1.8180376282843813</v>
      </c>
      <c r="G350" s="1">
        <f t="shared" si="139"/>
        <v>0</v>
      </c>
      <c r="H350" s="2">
        <f t="shared" si="135"/>
        <v>244.39549422413955</v>
      </c>
      <c r="I350" s="19">
        <f t="shared" si="134"/>
        <v>105.79891524854526</v>
      </c>
      <c r="J350" s="20">
        <f t="shared" si="140"/>
        <v>0.92568671062880248</v>
      </c>
      <c r="K350" s="21">
        <f t="shared" si="141"/>
        <v>85.818648999052428</v>
      </c>
      <c r="L350" s="21">
        <f t="shared" si="136"/>
        <v>1.4257867927319086</v>
      </c>
      <c r="M350" s="2">
        <f t="shared" si="146"/>
        <v>66.539408100502484</v>
      </c>
      <c r="N350" s="19">
        <f t="shared" si="159"/>
        <v>313.70425682413941</v>
      </c>
      <c r="O350" s="1">
        <f t="shared" si="147"/>
        <v>324</v>
      </c>
      <c r="P350" s="19">
        <f t="shared" si="148"/>
        <v>205.80260197537189</v>
      </c>
      <c r="Q350" s="18">
        <f t="shared" si="149"/>
        <v>6.4522109107447685</v>
      </c>
      <c r="R350" s="2">
        <f t="shared" si="150"/>
        <v>0.94295491110923657</v>
      </c>
      <c r="S350" s="18">
        <f t="shared" si="151"/>
        <v>6.4679268259299221</v>
      </c>
      <c r="T350" s="18">
        <f t="shared" si="152"/>
        <v>3.1002389467294997</v>
      </c>
      <c r="U350" s="1">
        <f t="shared" si="142"/>
        <v>0</v>
      </c>
      <c r="V350" s="2">
        <f t="shared" si="153"/>
        <v>478.50424950983859</v>
      </c>
      <c r="W350" s="19">
        <f t="shared" si="154"/>
        <v>207.14469675750587</v>
      </c>
      <c r="X350" s="20"/>
      <c r="Y350" s="2">
        <f t="shared" si="155"/>
        <v>187.18774003776002</v>
      </c>
      <c r="Z350" s="21">
        <f t="shared" si="156"/>
        <v>2.4521556739930928</v>
      </c>
      <c r="AA350" s="2">
        <f t="shared" si="157"/>
        <v>146.51949535002041</v>
      </c>
      <c r="AB350" s="19">
        <f t="shared" si="160"/>
        <v>71.249338330634899</v>
      </c>
      <c r="AC350" s="2"/>
      <c r="AD350" s="18"/>
      <c r="AE350" s="118"/>
      <c r="AG350" s="2"/>
      <c r="AH350" s="19"/>
      <c r="AI350" s="20"/>
      <c r="AJ350" s="21"/>
      <c r="AK350" s="21"/>
      <c r="AM350" s="19"/>
      <c r="AN350" s="18"/>
      <c r="AO350" s="2"/>
      <c r="AP350" s="18"/>
      <c r="AQ350" s="118"/>
      <c r="AS350" s="2"/>
      <c r="AT350" s="19"/>
      <c r="AU350" s="20"/>
      <c r="AV350" s="21"/>
      <c r="AW350" s="21"/>
      <c r="AY350" s="19"/>
      <c r="AZ350" s="18"/>
      <c r="BA350" s="2"/>
      <c r="BB350" s="18"/>
      <c r="BC350" s="118"/>
      <c r="BE350" s="2"/>
      <c r="BF350" s="19"/>
      <c r="BG350" s="20"/>
      <c r="BH350" s="21"/>
      <c r="BI350" s="21"/>
      <c r="BK350" s="19"/>
      <c r="BL350" s="18"/>
      <c r="BM350" s="2"/>
      <c r="BN350" s="18"/>
      <c r="BO350" s="118"/>
      <c r="BQ350" s="2"/>
      <c r="BR350" s="19"/>
      <c r="BS350" s="20"/>
      <c r="BT350" s="21"/>
      <c r="BU350" s="21"/>
      <c r="BW350" s="19"/>
      <c r="BX350" s="18"/>
      <c r="BY350" s="2"/>
      <c r="BZ350" s="18"/>
      <c r="CA350" s="118"/>
      <c r="CC350" s="2"/>
      <c r="CD350" s="19"/>
      <c r="CE350" s="20"/>
      <c r="CF350" s="21"/>
      <c r="CG350" s="21"/>
      <c r="CI350" s="19"/>
      <c r="CJ350" s="18"/>
      <c r="CK350" s="2"/>
      <c r="CL350" s="18"/>
      <c r="CM350" s="118"/>
      <c r="CO350" s="2"/>
      <c r="CP350" s="19"/>
      <c r="CQ350" s="20"/>
      <c r="CR350" s="21"/>
      <c r="CS350" s="21"/>
    </row>
    <row r="351" spans="1:97" x14ac:dyDescent="0.25">
      <c r="A351" s="1">
        <f t="shared" si="143"/>
        <v>325</v>
      </c>
      <c r="B351" s="19">
        <f t="shared" si="144"/>
        <v>105.79891524854526</v>
      </c>
      <c r="C351" s="18">
        <f t="shared" si="158"/>
        <v>4.9319466808579122</v>
      </c>
      <c r="D351" s="2">
        <f t="shared" si="137"/>
        <v>0.93048962228569809</v>
      </c>
      <c r="E351" s="18">
        <f t="shared" si="145"/>
        <v>4.9474548412293409</v>
      </c>
      <c r="F351" s="21">
        <f t="shared" si="138"/>
        <v>1.8293056246327299</v>
      </c>
      <c r="G351" s="1">
        <f t="shared" si="139"/>
        <v>0</v>
      </c>
      <c r="H351" s="2">
        <f t="shared" si="135"/>
        <v>246.22479984877228</v>
      </c>
      <c r="I351" s="19">
        <f t="shared" si="134"/>
        <v>106.59082244535597</v>
      </c>
      <c r="J351" s="20">
        <f t="shared" si="140"/>
        <v>0.92562441638418136</v>
      </c>
      <c r="K351" s="21">
        <f t="shared" si="141"/>
        <v>86.610738334518402</v>
      </c>
      <c r="L351" s="21">
        <f t="shared" si="136"/>
        <v>1.434767463219097</v>
      </c>
      <c r="M351" s="2">
        <f t="shared" si="146"/>
        <v>67.160519556441486</v>
      </c>
      <c r="N351" s="19">
        <f t="shared" si="159"/>
        <v>313.85440323159378</v>
      </c>
      <c r="O351" s="1">
        <f t="shared" si="147"/>
        <v>325</v>
      </c>
      <c r="P351" s="19">
        <f t="shared" si="148"/>
        <v>207.14469675750587</v>
      </c>
      <c r="Q351" s="18">
        <f t="shared" si="149"/>
        <v>6.4679268259299221</v>
      </c>
      <c r="R351" s="2">
        <f t="shared" si="150"/>
        <v>0.94307750511487709</v>
      </c>
      <c r="S351" s="18">
        <f t="shared" si="151"/>
        <v>6.4836447843485034</v>
      </c>
      <c r="T351" s="18">
        <f t="shared" si="152"/>
        <v>3.1150913778064089</v>
      </c>
      <c r="U351" s="1">
        <f t="shared" si="142"/>
        <v>0</v>
      </c>
      <c r="V351" s="2">
        <f t="shared" si="153"/>
        <v>481.61934088764502</v>
      </c>
      <c r="W351" s="19">
        <f t="shared" si="154"/>
        <v>208.4932211634827</v>
      </c>
      <c r="X351" s="20"/>
      <c r="Y351" s="2">
        <f t="shared" si="155"/>
        <v>188.53657460435019</v>
      </c>
      <c r="Z351" s="21">
        <f t="shared" si="156"/>
        <v>2.4640883115225343</v>
      </c>
      <c r="AA351" s="2">
        <f t="shared" si="157"/>
        <v>147.58620024678342</v>
      </c>
      <c r="AB351" s="19">
        <f t="shared" si="160"/>
        <v>71.363828505897658</v>
      </c>
      <c r="AC351" s="2"/>
      <c r="AD351" s="18"/>
      <c r="AE351" s="118"/>
      <c r="AG351" s="2"/>
      <c r="AH351" s="19"/>
      <c r="AI351" s="20"/>
      <c r="AJ351" s="21"/>
      <c r="AK351" s="21"/>
      <c r="AM351" s="19"/>
      <c r="AN351" s="18"/>
      <c r="AO351" s="2"/>
      <c r="AP351" s="18"/>
      <c r="AQ351" s="118"/>
      <c r="AS351" s="2"/>
      <c r="AT351" s="19"/>
      <c r="AU351" s="20"/>
      <c r="AV351" s="21"/>
      <c r="AW351" s="21"/>
      <c r="AY351" s="19"/>
      <c r="AZ351" s="18"/>
      <c r="BA351" s="2"/>
      <c r="BB351" s="18"/>
      <c r="BC351" s="118"/>
      <c r="BE351" s="2"/>
      <c r="BF351" s="19"/>
      <c r="BG351" s="20"/>
      <c r="BH351" s="21"/>
      <c r="BI351" s="21"/>
      <c r="BK351" s="19"/>
      <c r="BL351" s="18"/>
      <c r="BM351" s="2"/>
      <c r="BN351" s="18"/>
      <c r="BO351" s="118"/>
      <c r="BQ351" s="2"/>
      <c r="BR351" s="19"/>
      <c r="BS351" s="20"/>
      <c r="BT351" s="21"/>
      <c r="BU351" s="21"/>
      <c r="BW351" s="19"/>
      <c r="BX351" s="18"/>
      <c r="BY351" s="2"/>
      <c r="BZ351" s="18"/>
      <c r="CA351" s="118"/>
      <c r="CC351" s="2"/>
      <c r="CD351" s="19"/>
      <c r="CE351" s="20"/>
      <c r="CF351" s="21"/>
      <c r="CG351" s="21"/>
      <c r="CI351" s="19"/>
      <c r="CJ351" s="18"/>
      <c r="CK351" s="2"/>
      <c r="CL351" s="18"/>
      <c r="CM351" s="118"/>
      <c r="CO351" s="2"/>
      <c r="CP351" s="19"/>
      <c r="CQ351" s="20"/>
      <c r="CR351" s="21"/>
      <c r="CS351" s="21"/>
    </row>
    <row r="352" spans="1:97" x14ac:dyDescent="0.25">
      <c r="A352" s="1">
        <f t="shared" si="143"/>
        <v>326</v>
      </c>
      <c r="B352" s="19">
        <f t="shared" si="144"/>
        <v>106.59082244535597</v>
      </c>
      <c r="C352" s="18">
        <f t="shared" si="158"/>
        <v>4.9474548412293409</v>
      </c>
      <c r="D352" s="2">
        <f t="shared" si="137"/>
        <v>0.930628408613693</v>
      </c>
      <c r="E352" s="18">
        <f t="shared" si="145"/>
        <v>4.9629653147062358</v>
      </c>
      <c r="F352" s="21">
        <f t="shared" si="138"/>
        <v>1.8406096209175862</v>
      </c>
      <c r="G352" s="1">
        <f t="shared" si="139"/>
        <v>0</v>
      </c>
      <c r="H352" s="2">
        <f t="shared" si="135"/>
        <v>248.06540946968988</v>
      </c>
      <c r="I352" s="19">
        <f t="shared" si="134"/>
        <v>107.3876231470519</v>
      </c>
      <c r="J352" s="20">
        <f t="shared" si="140"/>
        <v>0.92556208007105489</v>
      </c>
      <c r="K352" s="21">
        <f t="shared" si="141"/>
        <v>87.40772230037571</v>
      </c>
      <c r="L352" s="21">
        <f t="shared" si="136"/>
        <v>1.4437776742784785</v>
      </c>
      <c r="M352" s="2">
        <f t="shared" si="146"/>
        <v>67.78553153664862</v>
      </c>
      <c r="N352" s="19">
        <f t="shared" si="159"/>
        <v>314.00407899411238</v>
      </c>
      <c r="O352" s="1">
        <f t="shared" si="147"/>
        <v>326</v>
      </c>
      <c r="P352" s="19">
        <f t="shared" si="148"/>
        <v>208.4932211634827</v>
      </c>
      <c r="Q352" s="18">
        <f t="shared" si="149"/>
        <v>6.4836447843485034</v>
      </c>
      <c r="R352" s="2">
        <f t="shared" si="150"/>
        <v>0.94319990492183148</v>
      </c>
      <c r="S352" s="18">
        <f t="shared" si="151"/>
        <v>6.499364782763867</v>
      </c>
      <c r="T352" s="18">
        <f t="shared" si="152"/>
        <v>3.1299807430790065</v>
      </c>
      <c r="U352" s="1">
        <f t="shared" si="142"/>
        <v>0</v>
      </c>
      <c r="V352" s="2">
        <f t="shared" si="153"/>
        <v>484.74932163072401</v>
      </c>
      <c r="W352" s="19">
        <f t="shared" si="154"/>
        <v>209.84819118213161</v>
      </c>
      <c r="X352" s="20"/>
      <c r="Y352" s="2">
        <f t="shared" si="155"/>
        <v>189.89185626610339</v>
      </c>
      <c r="Z352" s="21">
        <f t="shared" si="156"/>
        <v>2.4760514661705137</v>
      </c>
      <c r="AA352" s="2">
        <f t="shared" si="157"/>
        <v>148.65808399837238</v>
      </c>
      <c r="AB352" s="19">
        <f t="shared" si="160"/>
        <v>71.478041128661161</v>
      </c>
      <c r="AC352" s="2"/>
      <c r="AD352" s="18"/>
      <c r="AE352" s="118"/>
      <c r="AG352" s="2"/>
      <c r="AH352" s="19"/>
      <c r="AI352" s="20"/>
      <c r="AJ352" s="21"/>
      <c r="AK352" s="21"/>
      <c r="AM352" s="19"/>
      <c r="AN352" s="18"/>
      <c r="AO352" s="2"/>
      <c r="AP352" s="18"/>
      <c r="AQ352" s="118"/>
      <c r="AS352" s="2"/>
      <c r="AT352" s="19"/>
      <c r="AU352" s="20"/>
      <c r="AV352" s="21"/>
      <c r="AW352" s="21"/>
      <c r="AY352" s="19"/>
      <c r="AZ352" s="18"/>
      <c r="BA352" s="2"/>
      <c r="BB352" s="18"/>
      <c r="BC352" s="118"/>
      <c r="BE352" s="2"/>
      <c r="BF352" s="19"/>
      <c r="BG352" s="20"/>
      <c r="BH352" s="21"/>
      <c r="BI352" s="21"/>
      <c r="BK352" s="19"/>
      <c r="BL352" s="18"/>
      <c r="BM352" s="2"/>
      <c r="BN352" s="18"/>
      <c r="BO352" s="118"/>
      <c r="BQ352" s="2"/>
      <c r="BR352" s="19"/>
      <c r="BS352" s="20"/>
      <c r="BT352" s="21"/>
      <c r="BU352" s="21"/>
      <c r="BW352" s="19"/>
      <c r="BX352" s="18"/>
      <c r="BY352" s="2"/>
      <c r="BZ352" s="18"/>
      <c r="CA352" s="118"/>
      <c r="CC352" s="2"/>
      <c r="CD352" s="19"/>
      <c r="CE352" s="20"/>
      <c r="CF352" s="21"/>
      <c r="CG352" s="21"/>
      <c r="CI352" s="19"/>
      <c r="CJ352" s="18"/>
      <c r="CK352" s="2"/>
      <c r="CL352" s="18"/>
      <c r="CM352" s="118"/>
      <c r="CO352" s="2"/>
      <c r="CP352" s="19"/>
      <c r="CQ352" s="20"/>
      <c r="CR352" s="21"/>
      <c r="CS352" s="21"/>
    </row>
    <row r="353" spans="1:97" x14ac:dyDescent="0.25">
      <c r="A353" s="1">
        <f t="shared" si="143"/>
        <v>327</v>
      </c>
      <c r="B353" s="19">
        <f t="shared" si="144"/>
        <v>107.3876231470519</v>
      </c>
      <c r="C353" s="18">
        <f t="shared" si="158"/>
        <v>4.9629653147062358</v>
      </c>
      <c r="D353" s="2">
        <f t="shared" si="137"/>
        <v>0.9307670364128845</v>
      </c>
      <c r="E353" s="18">
        <f t="shared" si="145"/>
        <v>4.978478098646451</v>
      </c>
      <c r="F353" s="21">
        <f t="shared" si="138"/>
        <v>1.8519496277255116</v>
      </c>
      <c r="G353" s="1">
        <f t="shared" si="139"/>
        <v>0</v>
      </c>
      <c r="H353" s="2">
        <f t="shared" si="135"/>
        <v>249.91735909741539</v>
      </c>
      <c r="I353" s="19">
        <f t="shared" ref="I353:I416" si="161">H353/2.31</f>
        <v>108.18933294260405</v>
      </c>
      <c r="J353" s="20">
        <f t="shared" si="140"/>
        <v>0.92549970266068049</v>
      </c>
      <c r="K353" s="21">
        <f t="shared" si="141"/>
        <v>88.20961648918086</v>
      </c>
      <c r="L353" s="21">
        <f t="shared" si="136"/>
        <v>1.452817436985967</v>
      </c>
      <c r="M353" s="2">
        <f t="shared" si="146"/>
        <v>68.41445683404514</v>
      </c>
      <c r="N353" s="19">
        <f t="shared" si="159"/>
        <v>314.15328698347571</v>
      </c>
      <c r="O353" s="1">
        <f t="shared" si="147"/>
        <v>327</v>
      </c>
      <c r="P353" s="19">
        <f t="shared" si="148"/>
        <v>209.84819118213161</v>
      </c>
      <c r="Q353" s="18">
        <f t="shared" si="149"/>
        <v>6.499364782763867</v>
      </c>
      <c r="R353" s="2">
        <f t="shared" si="150"/>
        <v>0.94332211083453743</v>
      </c>
      <c r="S353" s="18">
        <f t="shared" si="151"/>
        <v>6.515086817944443</v>
      </c>
      <c r="T353" s="18">
        <f t="shared" si="152"/>
        <v>3.144907050940799</v>
      </c>
      <c r="U353" s="1">
        <f t="shared" si="142"/>
        <v>0</v>
      </c>
      <c r="V353" s="2">
        <f t="shared" si="153"/>
        <v>487.89422868166486</v>
      </c>
      <c r="W353" s="19">
        <f t="shared" si="154"/>
        <v>211.20962280591553</v>
      </c>
      <c r="X353" s="20"/>
      <c r="Y353" s="2">
        <f t="shared" si="155"/>
        <v>191.25360101916075</v>
      </c>
      <c r="Z353" s="21">
        <f t="shared" si="156"/>
        <v>2.4880451467473179</v>
      </c>
      <c r="AA353" s="2">
        <f t="shared" si="157"/>
        <v>149.73515981947511</v>
      </c>
      <c r="AB353" s="19">
        <f t="shared" si="160"/>
        <v>71.591977505620832</v>
      </c>
      <c r="AC353" s="2"/>
      <c r="AD353" s="18"/>
      <c r="AE353" s="118"/>
      <c r="AG353" s="2"/>
      <c r="AH353" s="19"/>
      <c r="AI353" s="20"/>
      <c r="AJ353" s="21"/>
      <c r="AK353" s="21"/>
      <c r="AM353" s="19"/>
      <c r="AN353" s="18"/>
      <c r="AO353" s="2"/>
      <c r="AP353" s="18"/>
      <c r="AQ353" s="118"/>
      <c r="AS353" s="2"/>
      <c r="AT353" s="19"/>
      <c r="AU353" s="20"/>
      <c r="AV353" s="21"/>
      <c r="AW353" s="21"/>
      <c r="AY353" s="19"/>
      <c r="AZ353" s="18"/>
      <c r="BA353" s="2"/>
      <c r="BB353" s="18"/>
      <c r="BC353" s="118"/>
      <c r="BE353" s="2"/>
      <c r="BF353" s="19"/>
      <c r="BG353" s="20"/>
      <c r="BH353" s="21"/>
      <c r="BI353" s="21"/>
      <c r="BK353" s="19"/>
      <c r="BL353" s="18"/>
      <c r="BM353" s="2"/>
      <c r="BN353" s="18"/>
      <c r="BO353" s="118"/>
      <c r="BQ353" s="2"/>
      <c r="BR353" s="19"/>
      <c r="BS353" s="20"/>
      <c r="BT353" s="21"/>
      <c r="BU353" s="21"/>
      <c r="BW353" s="19"/>
      <c r="BX353" s="18"/>
      <c r="BY353" s="2"/>
      <c r="BZ353" s="18"/>
      <c r="CA353" s="118"/>
      <c r="CC353" s="2"/>
      <c r="CD353" s="19"/>
      <c r="CE353" s="20"/>
      <c r="CF353" s="21"/>
      <c r="CG353" s="21"/>
      <c r="CI353" s="19"/>
      <c r="CJ353" s="18"/>
      <c r="CK353" s="2"/>
      <c r="CL353" s="18"/>
      <c r="CM353" s="118"/>
      <c r="CO353" s="2"/>
      <c r="CP353" s="19"/>
      <c r="CQ353" s="20"/>
      <c r="CR353" s="21"/>
      <c r="CS353" s="21"/>
    </row>
    <row r="354" spans="1:97" x14ac:dyDescent="0.25">
      <c r="A354" s="1">
        <f t="shared" si="143"/>
        <v>328</v>
      </c>
      <c r="B354" s="19">
        <f t="shared" si="144"/>
        <v>108.18933294260405</v>
      </c>
      <c r="C354" s="18">
        <f t="shared" si="158"/>
        <v>4.978478098646451</v>
      </c>
      <c r="D354" s="2">
        <f t="shared" si="137"/>
        <v>0.93090550464411803</v>
      </c>
      <c r="E354" s="18">
        <f t="shared" si="145"/>
        <v>4.9939931903905199</v>
      </c>
      <c r="F354" s="21">
        <f t="shared" si="138"/>
        <v>1.8633256556168671</v>
      </c>
      <c r="G354" s="1">
        <f t="shared" si="139"/>
        <v>0</v>
      </c>
      <c r="H354" s="2">
        <f t="shared" si="135"/>
        <v>251.78068475303223</v>
      </c>
      <c r="I354" s="19">
        <f t="shared" si="161"/>
        <v>108.99596742555508</v>
      </c>
      <c r="J354" s="20">
        <f t="shared" si="140"/>
        <v>0.92543728511544077</v>
      </c>
      <c r="K354" s="21">
        <f t="shared" si="141"/>
        <v>89.016436498062959</v>
      </c>
      <c r="L354" s="21">
        <f t="shared" si="136"/>
        <v>1.4618867623899916</v>
      </c>
      <c r="M354" s="2">
        <f t="shared" si="146"/>
        <v>69.047308246335177</v>
      </c>
      <c r="N354" s="19">
        <f t="shared" si="159"/>
        <v>314.30203004535412</v>
      </c>
      <c r="O354" s="1">
        <f t="shared" si="147"/>
        <v>328</v>
      </c>
      <c r="P354" s="19">
        <f t="shared" si="148"/>
        <v>211.20962280591553</v>
      </c>
      <c r="Q354" s="18">
        <f t="shared" si="149"/>
        <v>6.515086817944443</v>
      </c>
      <c r="R354" s="2">
        <f t="shared" si="150"/>
        <v>0.94344412316065462</v>
      </c>
      <c r="S354" s="18">
        <f t="shared" si="151"/>
        <v>6.5308108866637875</v>
      </c>
      <c r="T354" s="18">
        <f t="shared" si="152"/>
        <v>3.1598703097674723</v>
      </c>
      <c r="U354" s="1">
        <f t="shared" si="142"/>
        <v>0</v>
      </c>
      <c r="V354" s="2">
        <f t="shared" si="153"/>
        <v>491.05409899143234</v>
      </c>
      <c r="W354" s="19">
        <f t="shared" si="154"/>
        <v>212.57753203092309</v>
      </c>
      <c r="X354" s="20"/>
      <c r="Y354" s="2">
        <f t="shared" si="155"/>
        <v>192.62182486329007</v>
      </c>
      <c r="Z354" s="21">
        <f t="shared" si="156"/>
        <v>2.5000693620447918</v>
      </c>
      <c r="AA354" s="2">
        <f t="shared" si="157"/>
        <v>150.81744092858543</v>
      </c>
      <c r="AB354" s="19">
        <f t="shared" si="160"/>
        <v>71.705638934329315</v>
      </c>
      <c r="AC354" s="2"/>
      <c r="AD354" s="18"/>
      <c r="AE354" s="118"/>
      <c r="AG354" s="2"/>
      <c r="AH354" s="19"/>
      <c r="AI354" s="20"/>
      <c r="AJ354" s="21"/>
      <c r="AK354" s="21"/>
      <c r="AM354" s="19"/>
      <c r="AN354" s="18"/>
      <c r="AO354" s="2"/>
      <c r="AP354" s="18"/>
      <c r="AQ354" s="118"/>
      <c r="AS354" s="2"/>
      <c r="AT354" s="19"/>
      <c r="AU354" s="20"/>
      <c r="AV354" s="21"/>
      <c r="AW354" s="21"/>
      <c r="AY354" s="19"/>
      <c r="AZ354" s="18"/>
      <c r="BA354" s="2"/>
      <c r="BB354" s="18"/>
      <c r="BC354" s="118"/>
      <c r="BE354" s="2"/>
      <c r="BF354" s="19"/>
      <c r="BG354" s="20"/>
      <c r="BH354" s="21"/>
      <c r="BI354" s="21"/>
      <c r="BK354" s="19"/>
      <c r="BL354" s="18"/>
      <c r="BM354" s="2"/>
      <c r="BN354" s="18"/>
      <c r="BO354" s="118"/>
      <c r="BQ354" s="2"/>
      <c r="BR354" s="19"/>
      <c r="BS354" s="20"/>
      <c r="BT354" s="21"/>
      <c r="BU354" s="21"/>
      <c r="BW354" s="19"/>
      <c r="BX354" s="18"/>
      <c r="BY354" s="2"/>
      <c r="BZ354" s="18"/>
      <c r="CA354" s="118"/>
      <c r="CC354" s="2"/>
      <c r="CD354" s="19"/>
      <c r="CE354" s="20"/>
      <c r="CF354" s="21"/>
      <c r="CG354" s="21"/>
      <c r="CI354" s="19"/>
      <c r="CJ354" s="18"/>
      <c r="CK354" s="2"/>
      <c r="CL354" s="18"/>
      <c r="CM354" s="118"/>
      <c r="CO354" s="2"/>
      <c r="CP354" s="19"/>
      <c r="CQ354" s="20"/>
      <c r="CR354" s="21"/>
      <c r="CS354" s="21"/>
    </row>
    <row r="355" spans="1:97" x14ac:dyDescent="0.25">
      <c r="A355" s="1">
        <f t="shared" si="143"/>
        <v>329</v>
      </c>
      <c r="B355" s="19">
        <f t="shared" si="144"/>
        <v>108.99596742555508</v>
      </c>
      <c r="C355" s="18">
        <f t="shared" si="158"/>
        <v>4.9939931903905199</v>
      </c>
      <c r="D355" s="2">
        <f t="shared" si="137"/>
        <v>0.93104381229432576</v>
      </c>
      <c r="E355" s="18">
        <f t="shared" si="145"/>
        <v>5.009510587262092</v>
      </c>
      <c r="F355" s="21">
        <f t="shared" si="138"/>
        <v>1.874737715125893</v>
      </c>
      <c r="G355" s="1">
        <f t="shared" si="139"/>
        <v>0</v>
      </c>
      <c r="H355" s="2">
        <f t="shared" si="135"/>
        <v>253.65542246815812</v>
      </c>
      <c r="I355" s="19">
        <f t="shared" si="161"/>
        <v>109.80754219400784</v>
      </c>
      <c r="J355" s="20">
        <f t="shared" si="140"/>
        <v>0.92537482838889296</v>
      </c>
      <c r="K355" s="21">
        <f t="shared" si="141"/>
        <v>89.82819792871247</v>
      </c>
      <c r="L355" s="21">
        <f t="shared" si="136"/>
        <v>1.4709856615115962</v>
      </c>
      <c r="M355" s="2">
        <f t="shared" si="146"/>
        <v>69.684098575993872</v>
      </c>
      <c r="N355" s="19">
        <f t="shared" si="159"/>
        <v>314.45031099962381</v>
      </c>
      <c r="O355" s="1">
        <f t="shared" si="147"/>
        <v>329</v>
      </c>
      <c r="P355" s="19">
        <f t="shared" si="148"/>
        <v>212.57753203092309</v>
      </c>
      <c r="Q355" s="18">
        <f t="shared" si="149"/>
        <v>6.5308108866637875</v>
      </c>
      <c r="R355" s="2">
        <f t="shared" si="150"/>
        <v>0.94356594221098111</v>
      </c>
      <c r="S355" s="18">
        <f t="shared" si="151"/>
        <v>6.5465369857006372</v>
      </c>
      <c r="T355" s="18">
        <f t="shared" si="152"/>
        <v>3.1748705279169762</v>
      </c>
      <c r="U355" s="1">
        <f t="shared" si="142"/>
        <v>0</v>
      </c>
      <c r="V355" s="2">
        <f t="shared" si="153"/>
        <v>494.22896951934933</v>
      </c>
      <c r="W355" s="19">
        <f t="shared" si="154"/>
        <v>213.95193485686119</v>
      </c>
      <c r="X355" s="20"/>
      <c r="Y355" s="2">
        <f t="shared" si="155"/>
        <v>193.99654380187812</v>
      </c>
      <c r="Z355" s="21">
        <f t="shared" si="156"/>
        <v>2.5121241208364258</v>
      </c>
      <c r="AA355" s="2">
        <f t="shared" si="157"/>
        <v>151.90494054799512</v>
      </c>
      <c r="AB355" s="19">
        <f t="shared" si="160"/>
        <v>71.819026703281494</v>
      </c>
      <c r="AC355" s="2"/>
      <c r="AD355" s="18"/>
      <c r="AE355" s="118"/>
      <c r="AG355" s="2"/>
      <c r="AH355" s="19"/>
      <c r="AI355" s="20"/>
      <c r="AJ355" s="21"/>
      <c r="AK355" s="21"/>
      <c r="AM355" s="19"/>
      <c r="AN355" s="18"/>
      <c r="AO355" s="2"/>
      <c r="AP355" s="18"/>
      <c r="AQ355" s="118"/>
      <c r="AS355" s="2"/>
      <c r="AT355" s="19"/>
      <c r="AU355" s="20"/>
      <c r="AV355" s="21"/>
      <c r="AW355" s="21"/>
      <c r="AY355" s="19"/>
      <c r="AZ355" s="18"/>
      <c r="BA355" s="2"/>
      <c r="BB355" s="18"/>
      <c r="BC355" s="118"/>
      <c r="BE355" s="2"/>
      <c r="BF355" s="19"/>
      <c r="BG355" s="20"/>
      <c r="BH355" s="21"/>
      <c r="BI355" s="21"/>
      <c r="BK355" s="19"/>
      <c r="BL355" s="18"/>
      <c r="BM355" s="2"/>
      <c r="BN355" s="18"/>
      <c r="BO355" s="118"/>
      <c r="BQ355" s="2"/>
      <c r="BR355" s="19"/>
      <c r="BS355" s="20"/>
      <c r="BT355" s="21"/>
      <c r="BU355" s="21"/>
      <c r="BW355" s="19"/>
      <c r="BX355" s="18"/>
      <c r="BY355" s="2"/>
      <c r="BZ355" s="18"/>
      <c r="CA355" s="118"/>
      <c r="CC355" s="2"/>
      <c r="CD355" s="19"/>
      <c r="CE355" s="20"/>
      <c r="CF355" s="21"/>
      <c r="CG355" s="21"/>
      <c r="CI355" s="19"/>
      <c r="CJ355" s="18"/>
      <c r="CK355" s="2"/>
      <c r="CL355" s="18"/>
      <c r="CM355" s="118"/>
      <c r="CO355" s="2"/>
      <c r="CP355" s="19"/>
      <c r="CQ355" s="20"/>
      <c r="CR355" s="21"/>
      <c r="CS355" s="21"/>
    </row>
    <row r="356" spans="1:97" x14ac:dyDescent="0.25">
      <c r="A356" s="1">
        <f t="shared" si="143"/>
        <v>330</v>
      </c>
      <c r="B356" s="19">
        <f t="shared" si="144"/>
        <v>109.80754219400784</v>
      </c>
      <c r="C356" s="18">
        <f t="shared" si="158"/>
        <v>5.009510587262092</v>
      </c>
      <c r="D356" s="2">
        <f t="shared" si="137"/>
        <v>0.93118195837611628</v>
      </c>
      <c r="E356" s="18">
        <f t="shared" si="145"/>
        <v>5.0250302865683603</v>
      </c>
      <c r="F356" s="21">
        <f t="shared" si="138"/>
        <v>1.8861858167607739</v>
      </c>
      <c r="G356" s="1">
        <f t="shared" si="139"/>
        <v>0</v>
      </c>
      <c r="H356" s="2">
        <f t="shared" si="135"/>
        <v>255.54160828491891</v>
      </c>
      <c r="I356" s="19">
        <f t="shared" si="161"/>
        <v>110.62407285061424</v>
      </c>
      <c r="J356" s="20">
        <f t="shared" si="140"/>
        <v>0.92531233342582297</v>
      </c>
      <c r="K356" s="21">
        <f t="shared" si="141"/>
        <v>90.644916387369889</v>
      </c>
      <c r="L356" s="21">
        <f t="shared" si="136"/>
        <v>1.4801141453445212</v>
      </c>
      <c r="M356" s="2">
        <f t="shared" si="146"/>
        <v>70.324840630255565</v>
      </c>
      <c r="N356" s="19">
        <f t="shared" si="159"/>
        <v>314.59813264067799</v>
      </c>
      <c r="O356" s="1">
        <f t="shared" si="147"/>
        <v>330</v>
      </c>
      <c r="P356" s="19">
        <f t="shared" si="148"/>
        <v>213.95193485686119</v>
      </c>
      <c r="Q356" s="18">
        <f t="shared" si="149"/>
        <v>6.5465369857006372</v>
      </c>
      <c r="R356" s="2">
        <f t="shared" si="150"/>
        <v>0.94368756829937084</v>
      </c>
      <c r="S356" s="18">
        <f t="shared" si="151"/>
        <v>6.5622651118389603</v>
      </c>
      <c r="T356" s="18">
        <f t="shared" si="152"/>
        <v>3.1899077137295966</v>
      </c>
      <c r="U356" s="1">
        <f t="shared" si="142"/>
        <v>0</v>
      </c>
      <c r="V356" s="2">
        <f t="shared" si="153"/>
        <v>497.41887723307894</v>
      </c>
      <c r="W356" s="19">
        <f t="shared" si="154"/>
        <v>215.33284728704714</v>
      </c>
      <c r="X356" s="20"/>
      <c r="Y356" s="2">
        <f t="shared" si="155"/>
        <v>195.37777384192304</v>
      </c>
      <c r="Z356" s="21">
        <f t="shared" si="156"/>
        <v>2.5242094318774253</v>
      </c>
      <c r="AA356" s="2">
        <f t="shared" si="157"/>
        <v>152.99767190378623</v>
      </c>
      <c r="AB356" s="19">
        <f t="shared" si="160"/>
        <v>71.932142091998443</v>
      </c>
      <c r="AC356" s="2"/>
      <c r="AD356" s="18"/>
      <c r="AE356" s="118"/>
      <c r="AG356" s="2"/>
      <c r="AH356" s="19"/>
      <c r="AI356" s="20"/>
      <c r="AJ356" s="21"/>
      <c r="AK356" s="21"/>
      <c r="AM356" s="19"/>
      <c r="AN356" s="18"/>
      <c r="AO356" s="2"/>
      <c r="AP356" s="18"/>
      <c r="AQ356" s="118"/>
      <c r="AS356" s="2"/>
      <c r="AT356" s="19"/>
      <c r="AU356" s="20"/>
      <c r="AV356" s="21"/>
      <c r="AW356" s="21"/>
      <c r="AY356" s="19"/>
      <c r="AZ356" s="18"/>
      <c r="BA356" s="2"/>
      <c r="BB356" s="18"/>
      <c r="BC356" s="118"/>
      <c r="BE356" s="2"/>
      <c r="BF356" s="19"/>
      <c r="BG356" s="20"/>
      <c r="BH356" s="21"/>
      <c r="BI356" s="21"/>
      <c r="BK356" s="19"/>
      <c r="BL356" s="18"/>
      <c r="BM356" s="2"/>
      <c r="BN356" s="18"/>
      <c r="BO356" s="118"/>
      <c r="BQ356" s="2"/>
      <c r="BR356" s="19"/>
      <c r="BS356" s="20"/>
      <c r="BT356" s="21"/>
      <c r="BU356" s="21"/>
      <c r="BW356" s="19"/>
      <c r="BX356" s="18"/>
      <c r="BY356" s="2"/>
      <c r="BZ356" s="18"/>
      <c r="CA356" s="118"/>
      <c r="CC356" s="2"/>
      <c r="CD356" s="19"/>
      <c r="CE356" s="20"/>
      <c r="CF356" s="21"/>
      <c r="CG356" s="21"/>
      <c r="CI356" s="19"/>
      <c r="CJ356" s="18"/>
      <c r="CK356" s="2"/>
      <c r="CL356" s="18"/>
      <c r="CM356" s="118"/>
      <c r="CO356" s="2"/>
      <c r="CP356" s="19"/>
      <c r="CQ356" s="20"/>
      <c r="CR356" s="21"/>
      <c r="CS356" s="21"/>
    </row>
    <row r="357" spans="1:97" x14ac:dyDescent="0.25">
      <c r="A357" s="1">
        <f t="shared" si="143"/>
        <v>331</v>
      </c>
      <c r="B357" s="19">
        <f t="shared" si="144"/>
        <v>110.62407285061424</v>
      </c>
      <c r="C357" s="18">
        <f t="shared" si="158"/>
        <v>5.0250302865683603</v>
      </c>
      <c r="D357" s="2">
        <f t="shared" si="137"/>
        <v>0.93131994192737066</v>
      </c>
      <c r="E357" s="18">
        <f t="shared" si="145"/>
        <v>5.0405522856004827</v>
      </c>
      <c r="F357" s="21">
        <f t="shared" si="138"/>
        <v>1.8976699710037144</v>
      </c>
      <c r="G357" s="1">
        <f t="shared" si="139"/>
        <v>0</v>
      </c>
      <c r="H357" s="2">
        <f t="shared" si="135"/>
        <v>257.4392782559226</v>
      </c>
      <c r="I357" s="19">
        <f t="shared" si="161"/>
        <v>111.4455750025639</v>
      </c>
      <c r="J357" s="20">
        <f t="shared" si="140"/>
        <v>0.92524980116229549</v>
      </c>
      <c r="K357" s="21">
        <f t="shared" si="141"/>
        <v>91.466607484814503</v>
      </c>
      <c r="L357" s="21">
        <f t="shared" si="136"/>
        <v>1.4892722248553025</v>
      </c>
      <c r="M357" s="2">
        <f t="shared" si="146"/>
        <v>70.969547221102019</v>
      </c>
      <c r="N357" s="19">
        <f t="shared" si="159"/>
        <v>314.74549773773356</v>
      </c>
      <c r="O357" s="1">
        <f t="shared" si="147"/>
        <v>331</v>
      </c>
      <c r="P357" s="19">
        <f t="shared" si="148"/>
        <v>215.33284728704714</v>
      </c>
      <c r="Q357" s="18">
        <f t="shared" si="149"/>
        <v>6.5622651118389603</v>
      </c>
      <c r="R357" s="2">
        <f t="shared" si="150"/>
        <v>0.94380900174265325</v>
      </c>
      <c r="S357" s="18">
        <f t="shared" si="151"/>
        <v>6.5779952618680042</v>
      </c>
      <c r="T357" s="18">
        <f t="shared" si="152"/>
        <v>3.204981875528035</v>
      </c>
      <c r="U357" s="1">
        <f t="shared" si="142"/>
        <v>0</v>
      </c>
      <c r="V357" s="2">
        <f t="shared" si="153"/>
        <v>500.62385910860695</v>
      </c>
      <c r="W357" s="19">
        <f t="shared" si="154"/>
        <v>216.72028532840127</v>
      </c>
      <c r="X357" s="20"/>
      <c r="Y357" s="2">
        <f t="shared" si="155"/>
        <v>196.76553099402668</v>
      </c>
      <c r="Z357" s="21">
        <f t="shared" si="156"/>
        <v>2.5363253039047984</v>
      </c>
      <c r="AA357" s="2">
        <f t="shared" si="157"/>
        <v>154.09564822582294</v>
      </c>
      <c r="AB357" s="19">
        <f t="shared" si="160"/>
        <v>72.044986371110454</v>
      </c>
      <c r="AC357" s="2"/>
      <c r="AD357" s="18"/>
      <c r="AE357" s="118"/>
      <c r="AG357" s="2"/>
      <c r="AH357" s="19"/>
      <c r="AI357" s="20"/>
      <c r="AJ357" s="21"/>
      <c r="AK357" s="21"/>
      <c r="AM357" s="19"/>
      <c r="AN357" s="18"/>
      <c r="AO357" s="2"/>
      <c r="AP357" s="18"/>
      <c r="AQ357" s="118"/>
      <c r="AS357" s="2"/>
      <c r="AT357" s="19"/>
      <c r="AU357" s="20"/>
      <c r="AV357" s="21"/>
      <c r="AW357" s="21"/>
      <c r="AY357" s="19"/>
      <c r="AZ357" s="18"/>
      <c r="BA357" s="2"/>
      <c r="BB357" s="18"/>
      <c r="BC357" s="118"/>
      <c r="BE357" s="2"/>
      <c r="BF357" s="19"/>
      <c r="BG357" s="20"/>
      <c r="BH357" s="21"/>
      <c r="BI357" s="21"/>
      <c r="BK357" s="19"/>
      <c r="BL357" s="18"/>
      <c r="BM357" s="2"/>
      <c r="BN357" s="18"/>
      <c r="BO357" s="118"/>
      <c r="BQ357" s="2"/>
      <c r="BR357" s="19"/>
      <c r="BS357" s="20"/>
      <c r="BT357" s="21"/>
      <c r="BU357" s="21"/>
      <c r="BW357" s="19"/>
      <c r="BX357" s="18"/>
      <c r="BY357" s="2"/>
      <c r="BZ357" s="18"/>
      <c r="CA357" s="118"/>
      <c r="CC357" s="2"/>
      <c r="CD357" s="19"/>
      <c r="CE357" s="20"/>
      <c r="CF357" s="21"/>
      <c r="CG357" s="21"/>
      <c r="CI357" s="19"/>
      <c r="CJ357" s="18"/>
      <c r="CK357" s="2"/>
      <c r="CL357" s="18"/>
      <c r="CM357" s="118"/>
      <c r="CO357" s="2"/>
      <c r="CP357" s="19"/>
      <c r="CQ357" s="20"/>
      <c r="CR357" s="21"/>
      <c r="CS357" s="21"/>
    </row>
    <row r="358" spans="1:97" x14ac:dyDescent="0.25">
      <c r="A358" s="1">
        <f t="shared" si="143"/>
        <v>332</v>
      </c>
      <c r="B358" s="19">
        <f t="shared" si="144"/>
        <v>111.4455750025639</v>
      </c>
      <c r="C358" s="18">
        <f t="shared" si="158"/>
        <v>5.0405522856004827</v>
      </c>
      <c r="D358" s="2">
        <f t="shared" si="137"/>
        <v>0.93145776201084118</v>
      </c>
      <c r="E358" s="18">
        <f t="shared" si="145"/>
        <v>5.056076581633997</v>
      </c>
      <c r="F358" s="21">
        <f t="shared" si="138"/>
        <v>1.9091901883110167</v>
      </c>
      <c r="G358" s="1">
        <f t="shared" si="139"/>
        <v>0</v>
      </c>
      <c r="H358" s="2">
        <f t="shared" si="135"/>
        <v>259.34846844423362</v>
      </c>
      <c r="I358" s="19">
        <f t="shared" si="161"/>
        <v>112.27206426157299</v>
      </c>
      <c r="J358" s="20">
        <f t="shared" si="140"/>
        <v>0.92518723252570823</v>
      </c>
      <c r="K358" s="21">
        <f t="shared" si="141"/>
        <v>92.293286836353175</v>
      </c>
      <c r="L358" s="21">
        <f t="shared" si="136"/>
        <v>1.4984599109833623</v>
      </c>
      <c r="M358" s="2">
        <f t="shared" si="146"/>
        <v>71.618231165250663</v>
      </c>
      <c r="N358" s="19">
        <f t="shared" si="159"/>
        <v>314.89240903513303</v>
      </c>
      <c r="O358" s="1">
        <f t="shared" si="147"/>
        <v>332</v>
      </c>
      <c r="P358" s="19">
        <f t="shared" si="148"/>
        <v>216.72028532840127</v>
      </c>
      <c r="Q358" s="18">
        <f t="shared" si="149"/>
        <v>6.5779952618680042</v>
      </c>
      <c r="R358" s="2">
        <f t="shared" si="150"/>
        <v>0.94393024286055549</v>
      </c>
      <c r="S358" s="18">
        <f t="shared" si="151"/>
        <v>6.5937274325823472</v>
      </c>
      <c r="T358" s="18">
        <f t="shared" si="152"/>
        <v>3.2200930216174912</v>
      </c>
      <c r="U358" s="1">
        <f t="shared" si="142"/>
        <v>0</v>
      </c>
      <c r="V358" s="2">
        <f t="shared" si="153"/>
        <v>503.84395213022447</v>
      </c>
      <c r="W358" s="19">
        <f t="shared" si="154"/>
        <v>218.11426499143917</v>
      </c>
      <c r="X358" s="20"/>
      <c r="Y358" s="2">
        <f t="shared" si="155"/>
        <v>198.15983127238704</v>
      </c>
      <c r="Z358" s="21">
        <f t="shared" si="156"/>
        <v>2.5484717456374337</v>
      </c>
      <c r="AA358" s="2">
        <f t="shared" si="157"/>
        <v>155.19888274774391</v>
      </c>
      <c r="AB358" s="19">
        <f t="shared" si="160"/>
        <v>72.157560802439107</v>
      </c>
      <c r="AC358" s="2"/>
      <c r="AD358" s="18"/>
      <c r="AE358" s="118"/>
      <c r="AG358" s="2"/>
      <c r="AH358" s="19"/>
      <c r="AI358" s="20"/>
      <c r="AJ358" s="21"/>
      <c r="AK358" s="21"/>
      <c r="AM358" s="19"/>
      <c r="AN358" s="18"/>
      <c r="AO358" s="2"/>
      <c r="AP358" s="18"/>
      <c r="AQ358" s="118"/>
      <c r="AS358" s="2"/>
      <c r="AT358" s="19"/>
      <c r="AU358" s="20"/>
      <c r="AV358" s="21"/>
      <c r="AW358" s="21"/>
      <c r="AY358" s="19"/>
      <c r="AZ358" s="18"/>
      <c r="BA358" s="2"/>
      <c r="BB358" s="18"/>
      <c r="BC358" s="118"/>
      <c r="BE358" s="2"/>
      <c r="BF358" s="19"/>
      <c r="BG358" s="20"/>
      <c r="BH358" s="21"/>
      <c r="BI358" s="21"/>
      <c r="BK358" s="19"/>
      <c r="BL358" s="18"/>
      <c r="BM358" s="2"/>
      <c r="BN358" s="18"/>
      <c r="BO358" s="118"/>
      <c r="BQ358" s="2"/>
      <c r="BR358" s="19"/>
      <c r="BS358" s="20"/>
      <c r="BT358" s="21"/>
      <c r="BU358" s="21"/>
      <c r="BW358" s="19"/>
      <c r="BX358" s="18"/>
      <c r="BY358" s="2"/>
      <c r="BZ358" s="18"/>
      <c r="CA358" s="118"/>
      <c r="CC358" s="2"/>
      <c r="CD358" s="19"/>
      <c r="CE358" s="20"/>
      <c r="CF358" s="21"/>
      <c r="CG358" s="21"/>
      <c r="CI358" s="19"/>
      <c r="CJ358" s="18"/>
      <c r="CK358" s="2"/>
      <c r="CL358" s="18"/>
      <c r="CM358" s="118"/>
      <c r="CO358" s="2"/>
      <c r="CP358" s="19"/>
      <c r="CQ358" s="20"/>
      <c r="CR358" s="21"/>
      <c r="CS358" s="21"/>
    </row>
    <row r="359" spans="1:97" x14ac:dyDescent="0.25">
      <c r="A359" s="1">
        <f t="shared" si="143"/>
        <v>333</v>
      </c>
      <c r="B359" s="19">
        <f t="shared" si="144"/>
        <v>112.27206426157299</v>
      </c>
      <c r="C359" s="18">
        <f t="shared" si="158"/>
        <v>5.056076581633997</v>
      </c>
      <c r="D359" s="2">
        <f t="shared" si="137"/>
        <v>0.93159541771375665</v>
      </c>
      <c r="E359" s="18">
        <f t="shared" si="145"/>
        <v>5.0716031719292261</v>
      </c>
      <c r="F359" s="21">
        <f t="shared" si="138"/>
        <v>1.9207464791131494</v>
      </c>
      <c r="G359" s="1">
        <f t="shared" si="139"/>
        <v>0</v>
      </c>
      <c r="H359" s="2">
        <f t="shared" si="135"/>
        <v>261.26921492334679</v>
      </c>
      <c r="I359" s="19">
        <f t="shared" si="161"/>
        <v>113.10355624387307</v>
      </c>
      <c r="J359" s="20">
        <f t="shared" si="140"/>
        <v>0.92512462843484389</v>
      </c>
      <c r="K359" s="21">
        <f t="shared" si="141"/>
        <v>93.124970061809165</v>
      </c>
      <c r="L359" s="21">
        <f t="shared" si="136"/>
        <v>1.5076772146410979</v>
      </c>
      <c r="M359" s="2">
        <f t="shared" si="146"/>
        <v>72.270905284142913</v>
      </c>
      <c r="N359" s="19">
        <f t="shared" si="159"/>
        <v>315.03886925264186</v>
      </c>
      <c r="O359" s="1">
        <f t="shared" si="147"/>
        <v>333</v>
      </c>
      <c r="P359" s="19">
        <f t="shared" si="148"/>
        <v>218.11426499143917</v>
      </c>
      <c r="Q359" s="18">
        <f t="shared" si="149"/>
        <v>6.5937274325823472</v>
      </c>
      <c r="R359" s="2">
        <f t="shared" si="150"/>
        <v>0.94405129197562387</v>
      </c>
      <c r="S359" s="18">
        <f t="shared" si="151"/>
        <v>6.609461620781941</v>
      </c>
      <c r="T359" s="18">
        <f t="shared" si="152"/>
        <v>3.2352411602857281</v>
      </c>
      <c r="U359" s="1">
        <f t="shared" si="142"/>
        <v>0</v>
      </c>
      <c r="V359" s="2">
        <f t="shared" si="153"/>
        <v>507.07919329051026</v>
      </c>
      <c r="W359" s="19">
        <f t="shared" si="154"/>
        <v>219.51480229026419</v>
      </c>
      <c r="X359" s="20"/>
      <c r="Y359" s="2">
        <f t="shared" si="155"/>
        <v>199.56069069479076</v>
      </c>
      <c r="Z359" s="21">
        <f t="shared" si="156"/>
        <v>2.5606487657761683</v>
      </c>
      <c r="AA359" s="2">
        <f t="shared" si="157"/>
        <v>156.30738870695438</v>
      </c>
      <c r="AB359" s="19">
        <f t="shared" si="160"/>
        <v>72.269866639078373</v>
      </c>
      <c r="AC359" s="2"/>
      <c r="AD359" s="18"/>
      <c r="AE359" s="118"/>
      <c r="AG359" s="2"/>
      <c r="AH359" s="19"/>
      <c r="AI359" s="20"/>
      <c r="AJ359" s="21"/>
      <c r="AK359" s="21"/>
      <c r="AM359" s="19"/>
      <c r="AN359" s="18"/>
      <c r="AO359" s="2"/>
      <c r="AP359" s="18"/>
      <c r="AQ359" s="118"/>
      <c r="AS359" s="2"/>
      <c r="AT359" s="19"/>
      <c r="AU359" s="20"/>
      <c r="AV359" s="21"/>
      <c r="AW359" s="21"/>
      <c r="AY359" s="19"/>
      <c r="AZ359" s="18"/>
      <c r="BA359" s="2"/>
      <c r="BB359" s="18"/>
      <c r="BC359" s="118"/>
      <c r="BE359" s="2"/>
      <c r="BF359" s="19"/>
      <c r="BG359" s="20"/>
      <c r="BH359" s="21"/>
      <c r="BI359" s="21"/>
      <c r="BK359" s="19"/>
      <c r="BL359" s="18"/>
      <c r="BM359" s="2"/>
      <c r="BN359" s="18"/>
      <c r="BO359" s="118"/>
      <c r="BQ359" s="2"/>
      <c r="BR359" s="19"/>
      <c r="BS359" s="20"/>
      <c r="BT359" s="21"/>
      <c r="BU359" s="21"/>
      <c r="BW359" s="19"/>
      <c r="BX359" s="18"/>
      <c r="BY359" s="2"/>
      <c r="BZ359" s="18"/>
      <c r="CA359" s="118"/>
      <c r="CC359" s="2"/>
      <c r="CD359" s="19"/>
      <c r="CE359" s="20"/>
      <c r="CF359" s="21"/>
      <c r="CG359" s="21"/>
      <c r="CI359" s="19"/>
      <c r="CJ359" s="18"/>
      <c r="CK359" s="2"/>
      <c r="CL359" s="18"/>
      <c r="CM359" s="118"/>
      <c r="CO359" s="2"/>
      <c r="CP359" s="19"/>
      <c r="CQ359" s="20"/>
      <c r="CR359" s="21"/>
      <c r="CS359" s="21"/>
    </row>
    <row r="360" spans="1:97" x14ac:dyDescent="0.25">
      <c r="A360" s="1">
        <f t="shared" si="143"/>
        <v>334</v>
      </c>
      <c r="B360" s="19">
        <f t="shared" si="144"/>
        <v>113.10355624387307</v>
      </c>
      <c r="C360" s="18">
        <f t="shared" si="158"/>
        <v>5.0716031719292261</v>
      </c>
      <c r="D360" s="2">
        <f t="shared" si="137"/>
        <v>0.93173290814743193</v>
      </c>
      <c r="E360" s="18">
        <f t="shared" si="145"/>
        <v>5.0871320537316835</v>
      </c>
      <c r="F360" s="21">
        <f t="shared" si="138"/>
        <v>1.9323388538148312</v>
      </c>
      <c r="G360" s="1">
        <f t="shared" si="139"/>
        <v>0</v>
      </c>
      <c r="H360" s="2">
        <f t="shared" si="135"/>
        <v>263.20155377716162</v>
      </c>
      <c r="I360" s="19">
        <f t="shared" si="161"/>
        <v>113.94006657019983</v>
      </c>
      <c r="J360" s="20">
        <f t="shared" si="140"/>
        <v>0.92506198979992305</v>
      </c>
      <c r="K360" s="21">
        <f t="shared" si="141"/>
        <v>93.961672785510984</v>
      </c>
      <c r="L360" s="21">
        <f t="shared" si="136"/>
        <v>1.5169241467139836</v>
      </c>
      <c r="M360" s="2">
        <f t="shared" si="146"/>
        <v>72.927582403932519</v>
      </c>
      <c r="N360" s="19">
        <f t="shared" si="159"/>
        <v>315.18488108574149</v>
      </c>
      <c r="O360" s="1">
        <f t="shared" si="147"/>
        <v>334</v>
      </c>
      <c r="P360" s="19">
        <f t="shared" si="148"/>
        <v>219.51480229026419</v>
      </c>
      <c r="Q360" s="18">
        <f t="shared" si="149"/>
        <v>6.609461620781941</v>
      </c>
      <c r="R360" s="2">
        <f t="shared" si="150"/>
        <v>0.94417214941314775</v>
      </c>
      <c r="S360" s="18">
        <f t="shared" si="151"/>
        <v>6.6251978232721598</v>
      </c>
      <c r="T360" s="18">
        <f t="shared" si="152"/>
        <v>3.2504262998031592</v>
      </c>
      <c r="U360" s="1">
        <f t="shared" si="142"/>
        <v>0</v>
      </c>
      <c r="V360" s="2">
        <f t="shared" si="153"/>
        <v>510.32961959031343</v>
      </c>
      <c r="W360" s="19">
        <f t="shared" si="154"/>
        <v>220.92191324255992</v>
      </c>
      <c r="X360" s="20"/>
      <c r="Y360" s="2">
        <f t="shared" si="155"/>
        <v>200.96812528260554</v>
      </c>
      <c r="Z360" s="21">
        <f t="shared" si="156"/>
        <v>2.5728563730038783</v>
      </c>
      <c r="AA360" s="2">
        <f t="shared" si="157"/>
        <v>157.42117934461839</v>
      </c>
      <c r="AB360" s="19">
        <f t="shared" si="160"/>
        <v>72.381905125474759</v>
      </c>
      <c r="AC360" s="2"/>
      <c r="AD360" s="18"/>
      <c r="AE360" s="118"/>
      <c r="AG360" s="2"/>
      <c r="AH360" s="19"/>
      <c r="AI360" s="20"/>
      <c r="AJ360" s="21"/>
      <c r="AK360" s="21"/>
      <c r="AM360" s="19"/>
      <c r="AN360" s="18"/>
      <c r="AO360" s="2"/>
      <c r="AP360" s="18"/>
      <c r="AQ360" s="118"/>
      <c r="AS360" s="2"/>
      <c r="AT360" s="19"/>
      <c r="AU360" s="20"/>
      <c r="AV360" s="21"/>
      <c r="AW360" s="21"/>
      <c r="AY360" s="19"/>
      <c r="AZ360" s="18"/>
      <c r="BA360" s="2"/>
      <c r="BB360" s="18"/>
      <c r="BC360" s="118"/>
      <c r="BE360" s="2"/>
      <c r="BF360" s="19"/>
      <c r="BG360" s="20"/>
      <c r="BH360" s="21"/>
      <c r="BI360" s="21"/>
      <c r="BK360" s="19"/>
      <c r="BL360" s="18"/>
      <c r="BM360" s="2"/>
      <c r="BN360" s="18"/>
      <c r="BO360" s="118"/>
      <c r="BQ360" s="2"/>
      <c r="BR360" s="19"/>
      <c r="BS360" s="20"/>
      <c r="BT360" s="21"/>
      <c r="BU360" s="21"/>
      <c r="BW360" s="19"/>
      <c r="BX360" s="18"/>
      <c r="BY360" s="2"/>
      <c r="BZ360" s="18"/>
      <c r="CA360" s="118"/>
      <c r="CC360" s="2"/>
      <c r="CD360" s="19"/>
      <c r="CE360" s="20"/>
      <c r="CF360" s="21"/>
      <c r="CG360" s="21"/>
      <c r="CI360" s="19"/>
      <c r="CJ360" s="18"/>
      <c r="CK360" s="2"/>
      <c r="CL360" s="18"/>
      <c r="CM360" s="118"/>
      <c r="CO360" s="2"/>
      <c r="CP360" s="19"/>
      <c r="CQ360" s="20"/>
      <c r="CR360" s="21"/>
      <c r="CS360" s="21"/>
    </row>
    <row r="361" spans="1:97" x14ac:dyDescent="0.25">
      <c r="A361" s="1">
        <f t="shared" si="143"/>
        <v>335</v>
      </c>
      <c r="B361" s="19">
        <f t="shared" si="144"/>
        <v>113.94006657019983</v>
      </c>
      <c r="C361" s="18">
        <f t="shared" si="158"/>
        <v>5.0871320537316835</v>
      </c>
      <c r="D361" s="2">
        <f t="shared" si="137"/>
        <v>0.93187023244688294</v>
      </c>
      <c r="E361" s="18">
        <f t="shared" si="145"/>
        <v>5.1026632242724652</v>
      </c>
      <c r="F361" s="21">
        <f t="shared" si="138"/>
        <v>1.9439673227951018</v>
      </c>
      <c r="G361" s="1">
        <f t="shared" si="139"/>
        <v>0</v>
      </c>
      <c r="H361" s="2">
        <f t="shared" si="135"/>
        <v>265.14552109995674</v>
      </c>
      <c r="I361" s="19">
        <f t="shared" si="161"/>
        <v>114.78161086578214</v>
      </c>
      <c r="J361" s="20">
        <f t="shared" si="140"/>
        <v>0.92499931752265885</v>
      </c>
      <c r="K361" s="21">
        <f t="shared" si="141"/>
        <v>94.803410636281257</v>
      </c>
      <c r="L361" s="21">
        <f t="shared" si="136"/>
        <v>1.5262007180606556</v>
      </c>
      <c r="M361" s="2">
        <f t="shared" si="146"/>
        <v>73.588275355473925</v>
      </c>
      <c r="N361" s="19">
        <f t="shared" si="159"/>
        <v>315.33044720591801</v>
      </c>
      <c r="O361" s="1">
        <f t="shared" si="147"/>
        <v>335</v>
      </c>
      <c r="P361" s="19">
        <f t="shared" si="148"/>
        <v>220.92191324255992</v>
      </c>
      <c r="Q361" s="18">
        <f t="shared" si="149"/>
        <v>6.6251978232721598</v>
      </c>
      <c r="R361" s="2">
        <f t="shared" si="150"/>
        <v>0.94429281550108535</v>
      </c>
      <c r="S361" s="18">
        <f t="shared" si="151"/>
        <v>6.6409360368638444</v>
      </c>
      <c r="T361" s="18">
        <f t="shared" si="152"/>
        <v>3.2656484484229176</v>
      </c>
      <c r="U361" s="1">
        <f t="shared" si="142"/>
        <v>0</v>
      </c>
      <c r="V361" s="2">
        <f t="shared" si="153"/>
        <v>513.59526803873632</v>
      </c>
      <c r="W361" s="19">
        <f t="shared" si="154"/>
        <v>222.33561386958283</v>
      </c>
      <c r="X361" s="20"/>
      <c r="Y361" s="2">
        <f t="shared" si="155"/>
        <v>202.38215106077266</v>
      </c>
      <c r="Z361" s="21">
        <f t="shared" si="156"/>
        <v>2.5850945759855479</v>
      </c>
      <c r="AA361" s="2">
        <f t="shared" si="157"/>
        <v>158.54026790565109</v>
      </c>
      <c r="AB361" s="19">
        <f t="shared" si="160"/>
        <v>72.49367749750661</v>
      </c>
      <c r="AC361" s="2"/>
      <c r="AD361" s="18"/>
      <c r="AE361" s="118"/>
      <c r="AG361" s="2"/>
      <c r="AH361" s="19"/>
      <c r="AI361" s="20"/>
      <c r="AJ361" s="21"/>
      <c r="AK361" s="21"/>
      <c r="AM361" s="19"/>
      <c r="AN361" s="18"/>
      <c r="AO361" s="2"/>
      <c r="AP361" s="18"/>
      <c r="AQ361" s="118"/>
      <c r="AS361" s="2"/>
      <c r="AT361" s="19"/>
      <c r="AU361" s="20"/>
      <c r="AV361" s="21"/>
      <c r="AW361" s="21"/>
      <c r="AY361" s="19"/>
      <c r="AZ361" s="18"/>
      <c r="BA361" s="2"/>
      <c r="BB361" s="18"/>
      <c r="BC361" s="118"/>
      <c r="BE361" s="2"/>
      <c r="BF361" s="19"/>
      <c r="BG361" s="20"/>
      <c r="BH361" s="21"/>
      <c r="BI361" s="21"/>
      <c r="BK361" s="19"/>
      <c r="BL361" s="18"/>
      <c r="BM361" s="2"/>
      <c r="BN361" s="18"/>
      <c r="BO361" s="118"/>
      <c r="BQ361" s="2"/>
      <c r="BR361" s="19"/>
      <c r="BS361" s="20"/>
      <c r="BT361" s="21"/>
      <c r="BU361" s="21"/>
      <c r="BW361" s="19"/>
      <c r="BX361" s="18"/>
      <c r="BY361" s="2"/>
      <c r="BZ361" s="18"/>
      <c r="CA361" s="118"/>
      <c r="CC361" s="2"/>
      <c r="CD361" s="19"/>
      <c r="CE361" s="20"/>
      <c r="CF361" s="21"/>
      <c r="CG361" s="21"/>
      <c r="CI361" s="19"/>
      <c r="CJ361" s="18"/>
      <c r="CK361" s="2"/>
      <c r="CL361" s="18"/>
      <c r="CM361" s="118"/>
      <c r="CO361" s="2"/>
      <c r="CP361" s="19"/>
      <c r="CQ361" s="20"/>
      <c r="CR361" s="21"/>
      <c r="CS361" s="21"/>
    </row>
    <row r="362" spans="1:97" x14ac:dyDescent="0.25">
      <c r="A362" s="1">
        <f t="shared" si="143"/>
        <v>336</v>
      </c>
      <c r="B362" s="19">
        <f t="shared" si="144"/>
        <v>114.78161086578214</v>
      </c>
      <c r="C362" s="18">
        <f t="shared" si="158"/>
        <v>5.1026632242724652</v>
      </c>
      <c r="D362" s="2">
        <f t="shared" si="137"/>
        <v>0.93200738977044595</v>
      </c>
      <c r="E362" s="18">
        <f t="shared" si="145"/>
        <v>5.118196680768639</v>
      </c>
      <c r="F362" s="21">
        <f t="shared" si="138"/>
        <v>1.9556318964074049</v>
      </c>
      <c r="G362" s="1">
        <f t="shared" si="139"/>
        <v>0</v>
      </c>
      <c r="H362" s="2">
        <f t="shared" si="135"/>
        <v>267.10115299636414</v>
      </c>
      <c r="I362" s="19">
        <f t="shared" si="161"/>
        <v>115.62820476033079</v>
      </c>
      <c r="J362" s="20">
        <f t="shared" si="140"/>
        <v>0.92493661249630965</v>
      </c>
      <c r="K362" s="21">
        <f t="shared" si="141"/>
        <v>95.650199247425661</v>
      </c>
      <c r="L362" s="21">
        <f t="shared" si="136"/>
        <v>1.5355069395130143</v>
      </c>
      <c r="M362" s="2">
        <f t="shared" si="146"/>
        <v>74.252996974310733</v>
      </c>
      <c r="N362" s="19">
        <f t="shared" si="159"/>
        <v>315.47557026094637</v>
      </c>
      <c r="O362" s="1">
        <f t="shared" si="147"/>
        <v>336</v>
      </c>
      <c r="P362" s="19">
        <f t="shared" si="148"/>
        <v>222.33561386958283</v>
      </c>
      <c r="Q362" s="18">
        <f t="shared" si="149"/>
        <v>6.6409360368638444</v>
      </c>
      <c r="R362" s="2">
        <f t="shared" si="150"/>
        <v>0.94441329056999013</v>
      </c>
      <c r="S362" s="18">
        <f t="shared" si="151"/>
        <v>6.6566762583733441</v>
      </c>
      <c r="T362" s="18">
        <f t="shared" si="152"/>
        <v>3.2809076143809337</v>
      </c>
      <c r="U362" s="1">
        <f t="shared" si="142"/>
        <v>0</v>
      </c>
      <c r="V362" s="2">
        <f t="shared" si="153"/>
        <v>516.87617565311723</v>
      </c>
      <c r="W362" s="19">
        <f t="shared" si="154"/>
        <v>223.75592019615465</v>
      </c>
      <c r="X362" s="20"/>
      <c r="Y362" s="2">
        <f t="shared" si="155"/>
        <v>203.80278405779961</v>
      </c>
      <c r="Z362" s="21">
        <f t="shared" si="156"/>
        <v>2.5973633833683474</v>
      </c>
      <c r="AA362" s="2">
        <f t="shared" si="157"/>
        <v>159.66466763871099</v>
      </c>
      <c r="AB362" s="19">
        <f t="shared" si="160"/>
        <v>72.605184982562449</v>
      </c>
      <c r="AC362" s="2"/>
      <c r="AD362" s="18"/>
      <c r="AE362" s="118"/>
      <c r="AG362" s="2"/>
      <c r="AH362" s="19"/>
      <c r="AI362" s="20"/>
      <c r="AJ362" s="21"/>
      <c r="AK362" s="21"/>
      <c r="AM362" s="19"/>
      <c r="AN362" s="18"/>
      <c r="AO362" s="2"/>
      <c r="AP362" s="18"/>
      <c r="AQ362" s="118"/>
      <c r="AS362" s="2"/>
      <c r="AT362" s="19"/>
      <c r="AU362" s="20"/>
      <c r="AV362" s="21"/>
      <c r="AW362" s="21"/>
      <c r="AY362" s="19"/>
      <c r="AZ362" s="18"/>
      <c r="BA362" s="2"/>
      <c r="BB362" s="18"/>
      <c r="BC362" s="118"/>
      <c r="BE362" s="2"/>
      <c r="BF362" s="19"/>
      <c r="BG362" s="20"/>
      <c r="BH362" s="21"/>
      <c r="BI362" s="21"/>
      <c r="BK362" s="19"/>
      <c r="BL362" s="18"/>
      <c r="BM362" s="2"/>
      <c r="BN362" s="18"/>
      <c r="BO362" s="118"/>
      <c r="BQ362" s="2"/>
      <c r="BR362" s="19"/>
      <c r="BS362" s="20"/>
      <c r="BT362" s="21"/>
      <c r="BU362" s="21"/>
      <c r="BW362" s="19"/>
      <c r="BX362" s="18"/>
      <c r="BY362" s="2"/>
      <c r="BZ362" s="18"/>
      <c r="CA362" s="118"/>
      <c r="CC362" s="2"/>
      <c r="CD362" s="19"/>
      <c r="CE362" s="20"/>
      <c r="CF362" s="21"/>
      <c r="CG362" s="21"/>
      <c r="CI362" s="19"/>
      <c r="CJ362" s="18"/>
      <c r="CK362" s="2"/>
      <c r="CL362" s="18"/>
      <c r="CM362" s="118"/>
      <c r="CO362" s="2"/>
      <c r="CP362" s="19"/>
      <c r="CQ362" s="20"/>
      <c r="CR362" s="21"/>
      <c r="CS362" s="21"/>
    </row>
    <row r="363" spans="1:97" x14ac:dyDescent="0.25">
      <c r="A363" s="1">
        <f t="shared" si="143"/>
        <v>337</v>
      </c>
      <c r="B363" s="19">
        <f t="shared" si="144"/>
        <v>115.62820476033079</v>
      </c>
      <c r="C363" s="18">
        <f t="shared" si="158"/>
        <v>5.118196680768639</v>
      </c>
      <c r="D363" s="2">
        <f t="shared" si="137"/>
        <v>0.93214437929940153</v>
      </c>
      <c r="E363" s="18">
        <f t="shared" si="145"/>
        <v>5.1337324204236294</v>
      </c>
      <c r="F363" s="21">
        <f t="shared" si="138"/>
        <v>1.967332584979665</v>
      </c>
      <c r="G363" s="1">
        <f t="shared" si="139"/>
        <v>0</v>
      </c>
      <c r="H363" s="2">
        <f t="shared" si="135"/>
        <v>269.06848558134379</v>
      </c>
      <c r="I363" s="19">
        <f t="shared" si="161"/>
        <v>116.47986388802761</v>
      </c>
      <c r="J363" s="20">
        <f t="shared" si="140"/>
        <v>0.92487387560573264</v>
      </c>
      <c r="K363" s="21">
        <f t="shared" si="141"/>
        <v>96.502054256721863</v>
      </c>
      <c r="L363" s="21">
        <f t="shared" si="136"/>
        <v>1.5448428218763139</v>
      </c>
      <c r="M363" s="2">
        <f t="shared" si="146"/>
        <v>74.921760100664116</v>
      </c>
      <c r="N363" s="19">
        <f t="shared" si="159"/>
        <v>315.62025287517059</v>
      </c>
      <c r="O363" s="1">
        <f t="shared" si="147"/>
        <v>337</v>
      </c>
      <c r="P363" s="19">
        <f t="shared" si="148"/>
        <v>223.75592019615465</v>
      </c>
      <c r="Q363" s="18">
        <f t="shared" si="149"/>
        <v>6.6566762583733441</v>
      </c>
      <c r="R363" s="2">
        <f t="shared" si="150"/>
        <v>0.94453357495293899</v>
      </c>
      <c r="S363" s="18">
        <f t="shared" si="151"/>
        <v>6.6724184846225594</v>
      </c>
      <c r="T363" s="18">
        <f t="shared" si="152"/>
        <v>3.2962038058960106</v>
      </c>
      <c r="U363" s="1">
        <f t="shared" si="142"/>
        <v>0</v>
      </c>
      <c r="V363" s="2">
        <f t="shared" si="153"/>
        <v>520.1723794590132</v>
      </c>
      <c r="W363" s="19">
        <f t="shared" si="154"/>
        <v>225.18284825065507</v>
      </c>
      <c r="X363" s="20"/>
      <c r="Y363" s="2">
        <f t="shared" si="155"/>
        <v>205.2300403057526</v>
      </c>
      <c r="Z363" s="21">
        <f t="shared" si="156"/>
        <v>2.6096628037817107</v>
      </c>
      <c r="AA363" s="2">
        <f t="shared" si="157"/>
        <v>160.79439179619226</v>
      </c>
      <c r="AB363" s="19">
        <f t="shared" si="160"/>
        <v>72.716428799618427</v>
      </c>
      <c r="AC363" s="2"/>
      <c r="AD363" s="18"/>
      <c r="AE363" s="118"/>
      <c r="AG363" s="2"/>
      <c r="AH363" s="19"/>
      <c r="AI363" s="20"/>
      <c r="AJ363" s="21"/>
      <c r="AK363" s="21"/>
      <c r="AM363" s="19"/>
      <c r="AN363" s="18"/>
      <c r="AO363" s="2"/>
      <c r="AP363" s="18"/>
      <c r="AQ363" s="118"/>
      <c r="AS363" s="2"/>
      <c r="AT363" s="19"/>
      <c r="AU363" s="20"/>
      <c r="AV363" s="21"/>
      <c r="AW363" s="21"/>
      <c r="AY363" s="19"/>
      <c r="AZ363" s="18"/>
      <c r="BA363" s="2"/>
      <c r="BB363" s="18"/>
      <c r="BC363" s="118"/>
      <c r="BE363" s="2"/>
      <c r="BF363" s="19"/>
      <c r="BG363" s="20"/>
      <c r="BH363" s="21"/>
      <c r="BI363" s="21"/>
      <c r="BK363" s="19"/>
      <c r="BL363" s="18"/>
      <c r="BM363" s="2"/>
      <c r="BN363" s="18"/>
      <c r="BO363" s="118"/>
      <c r="BQ363" s="2"/>
      <c r="BR363" s="19"/>
      <c r="BS363" s="20"/>
      <c r="BT363" s="21"/>
      <c r="BU363" s="21"/>
      <c r="BW363" s="19"/>
      <c r="BX363" s="18"/>
      <c r="BY363" s="2"/>
      <c r="BZ363" s="18"/>
      <c r="CA363" s="118"/>
      <c r="CC363" s="2"/>
      <c r="CD363" s="19"/>
      <c r="CE363" s="20"/>
      <c r="CF363" s="21"/>
      <c r="CG363" s="21"/>
      <c r="CI363" s="19"/>
      <c r="CJ363" s="18"/>
      <c r="CK363" s="2"/>
      <c r="CL363" s="18"/>
      <c r="CM363" s="118"/>
      <c r="CO363" s="2"/>
      <c r="CP363" s="19"/>
      <c r="CQ363" s="20"/>
      <c r="CR363" s="21"/>
      <c r="CS363" s="21"/>
    </row>
    <row r="364" spans="1:97" x14ac:dyDescent="0.25">
      <c r="A364" s="1">
        <f t="shared" si="143"/>
        <v>338</v>
      </c>
      <c r="B364" s="19">
        <f t="shared" si="144"/>
        <v>116.47986388802761</v>
      </c>
      <c r="C364" s="18">
        <f t="shared" si="158"/>
        <v>5.1337324204236294</v>
      </c>
      <c r="D364" s="2">
        <f t="shared" si="137"/>
        <v>0.93228120023760463</v>
      </c>
      <c r="E364" s="18">
        <f t="shared" si="145"/>
        <v>5.1492704404275891</v>
      </c>
      <c r="F364" s="21">
        <f t="shared" si="138"/>
        <v>1.9790693988143679</v>
      </c>
      <c r="G364" s="1">
        <f t="shared" si="139"/>
        <v>0</v>
      </c>
      <c r="H364" s="2">
        <f t="shared" si="135"/>
        <v>271.04755498015817</v>
      </c>
      <c r="I364" s="19">
        <f t="shared" si="161"/>
        <v>117.33660388751436</v>
      </c>
      <c r="J364" s="20">
        <f t="shared" si="140"/>
        <v>0.9248111077274398</v>
      </c>
      <c r="K364" s="21">
        <f t="shared" si="141"/>
        <v>97.358991306408484</v>
      </c>
      <c r="L364" s="21">
        <f t="shared" si="136"/>
        <v>1.5542083759292604</v>
      </c>
      <c r="M364" s="2">
        <f t="shared" si="146"/>
        <v>75.594577579421369</v>
      </c>
      <c r="N364" s="19">
        <f t="shared" si="159"/>
        <v>315.76449764977968</v>
      </c>
      <c r="O364" s="1">
        <f t="shared" si="147"/>
        <v>338</v>
      </c>
      <c r="P364" s="19">
        <f t="shared" si="148"/>
        <v>225.18284825065507</v>
      </c>
      <c r="Q364" s="18">
        <f t="shared" si="149"/>
        <v>6.6724184846225594</v>
      </c>
      <c r="R364" s="2">
        <f t="shared" si="150"/>
        <v>0.94465366898546099</v>
      </c>
      <c r="S364" s="18">
        <f t="shared" si="151"/>
        <v>6.6881627124389835</v>
      </c>
      <c r="T364" s="18">
        <f t="shared" si="152"/>
        <v>3.3115370311698995</v>
      </c>
      <c r="U364" s="1">
        <f t="shared" si="142"/>
        <v>0</v>
      </c>
      <c r="V364" s="2">
        <f t="shared" si="153"/>
        <v>523.48391649018311</v>
      </c>
      <c r="W364" s="19">
        <f t="shared" si="154"/>
        <v>226.61641406501434</v>
      </c>
      <c r="X364" s="20"/>
      <c r="Y364" s="2">
        <f t="shared" si="155"/>
        <v>206.66393584024917</v>
      </c>
      <c r="Z364" s="21">
        <f t="shared" si="156"/>
        <v>2.6219928458374135</v>
      </c>
      <c r="AA364" s="2">
        <f t="shared" si="157"/>
        <v>161.92945363421711</v>
      </c>
      <c r="AB364" s="19">
        <f t="shared" si="160"/>
        <v>72.827410159314908</v>
      </c>
      <c r="AC364" s="2"/>
      <c r="AD364" s="18"/>
      <c r="AE364" s="118"/>
      <c r="AG364" s="2"/>
      <c r="AH364" s="19"/>
      <c r="AI364" s="20"/>
      <c r="AJ364" s="21"/>
      <c r="AK364" s="21"/>
      <c r="AM364" s="19"/>
      <c r="AN364" s="18"/>
      <c r="AO364" s="2"/>
      <c r="AP364" s="18"/>
      <c r="AQ364" s="118"/>
      <c r="AS364" s="2"/>
      <c r="AT364" s="19"/>
      <c r="AU364" s="20"/>
      <c r="AV364" s="21"/>
      <c r="AW364" s="21"/>
      <c r="AY364" s="19"/>
      <c r="AZ364" s="18"/>
      <c r="BA364" s="2"/>
      <c r="BB364" s="18"/>
      <c r="BC364" s="118"/>
      <c r="BE364" s="2"/>
      <c r="BF364" s="19"/>
      <c r="BG364" s="20"/>
      <c r="BH364" s="21"/>
      <c r="BI364" s="21"/>
      <c r="BK364" s="19"/>
      <c r="BL364" s="18"/>
      <c r="BM364" s="2"/>
      <c r="BN364" s="18"/>
      <c r="BO364" s="118"/>
      <c r="BQ364" s="2"/>
      <c r="BR364" s="19"/>
      <c r="BS364" s="20"/>
      <c r="BT364" s="21"/>
      <c r="BU364" s="21"/>
      <c r="BW364" s="19"/>
      <c r="BX364" s="18"/>
      <c r="BY364" s="2"/>
      <c r="BZ364" s="18"/>
      <c r="CA364" s="118"/>
      <c r="CC364" s="2"/>
      <c r="CD364" s="19"/>
      <c r="CE364" s="20"/>
      <c r="CF364" s="21"/>
      <c r="CG364" s="21"/>
      <c r="CI364" s="19"/>
      <c r="CJ364" s="18"/>
      <c r="CK364" s="2"/>
      <c r="CL364" s="18"/>
      <c r="CM364" s="118"/>
      <c r="CO364" s="2"/>
      <c r="CP364" s="19"/>
      <c r="CQ364" s="20"/>
      <c r="CR364" s="21"/>
      <c r="CS364" s="21"/>
    </row>
    <row r="365" spans="1:97" x14ac:dyDescent="0.25">
      <c r="A365" s="1">
        <f t="shared" si="143"/>
        <v>339</v>
      </c>
      <c r="B365" s="19">
        <f t="shared" si="144"/>
        <v>117.33660388751436</v>
      </c>
      <c r="C365" s="18">
        <f t="shared" si="158"/>
        <v>5.1492704404275891</v>
      </c>
      <c r="D365" s="2">
        <f t="shared" si="137"/>
        <v>0.93241785181111736</v>
      </c>
      <c r="E365" s="18">
        <f t="shared" si="145"/>
        <v>5.1648107379577741</v>
      </c>
      <c r="F365" s="21">
        <f t="shared" si="138"/>
        <v>1.9908423481886417</v>
      </c>
      <c r="G365" s="1">
        <f t="shared" si="139"/>
        <v>0</v>
      </c>
      <c r="H365" s="2">
        <f t="shared" si="135"/>
        <v>273.03839732834683</v>
      </c>
      <c r="I365" s="19">
        <f t="shared" si="161"/>
        <v>118.19844040188174</v>
      </c>
      <c r="J365" s="20">
        <f t="shared" si="140"/>
        <v>0.92474830972965061</v>
      </c>
      <c r="K365" s="21">
        <f t="shared" si="141"/>
        <v>98.221026043174163</v>
      </c>
      <c r="L365" s="21">
        <f t="shared" si="136"/>
        <v>1.5636036124241071</v>
      </c>
      <c r="M365" s="2">
        <f t="shared" si="146"/>
        <v>76.271462260124451</v>
      </c>
      <c r="N365" s="19">
        <f t="shared" si="159"/>
        <v>315.9083071630796</v>
      </c>
      <c r="O365" s="1">
        <f t="shared" si="147"/>
        <v>339</v>
      </c>
      <c r="P365" s="19">
        <f t="shared" si="148"/>
        <v>226.61641406501434</v>
      </c>
      <c r="Q365" s="18">
        <f t="shared" si="149"/>
        <v>6.6881627124389835</v>
      </c>
      <c r="R365" s="2">
        <f t="shared" si="150"/>
        <v>0.94477357300546827</v>
      </c>
      <c r="S365" s="18">
        <f t="shared" si="151"/>
        <v>6.7039089386557409</v>
      </c>
      <c r="T365" s="18">
        <f t="shared" si="152"/>
        <v>3.3269072983873702</v>
      </c>
      <c r="U365" s="1">
        <f t="shared" si="142"/>
        <v>0</v>
      </c>
      <c r="V365" s="2">
        <f t="shared" si="153"/>
        <v>526.81082378857047</v>
      </c>
      <c r="W365" s="19">
        <f t="shared" si="154"/>
        <v>228.05663367470584</v>
      </c>
      <c r="X365" s="20"/>
      <c r="Y365" s="2">
        <f t="shared" si="155"/>
        <v>208.10448670045091</v>
      </c>
      <c r="Z365" s="21">
        <f t="shared" si="156"/>
        <v>2.6343535181296418</v>
      </c>
      <c r="AA365" s="2">
        <f t="shared" si="157"/>
        <v>163.06986641262822</v>
      </c>
      <c r="AB365" s="19">
        <f t="shared" si="160"/>
        <v>72.938130264032182</v>
      </c>
      <c r="AC365" s="2"/>
      <c r="AD365" s="18"/>
      <c r="AE365" s="118"/>
      <c r="AG365" s="2"/>
      <c r="AH365" s="19"/>
      <c r="AI365" s="20"/>
      <c r="AJ365" s="21"/>
      <c r="AK365" s="21"/>
      <c r="AM365" s="19"/>
      <c r="AN365" s="18"/>
      <c r="AO365" s="2"/>
      <c r="AP365" s="18"/>
      <c r="AQ365" s="118"/>
      <c r="AS365" s="2"/>
      <c r="AT365" s="19"/>
      <c r="AU365" s="20"/>
      <c r="AV365" s="21"/>
      <c r="AW365" s="21"/>
      <c r="AY365" s="19"/>
      <c r="AZ365" s="18"/>
      <c r="BA365" s="2"/>
      <c r="BB365" s="18"/>
      <c r="BC365" s="118"/>
      <c r="BE365" s="2"/>
      <c r="BF365" s="19"/>
      <c r="BG365" s="20"/>
      <c r="BH365" s="21"/>
      <c r="BI365" s="21"/>
      <c r="BK365" s="19"/>
      <c r="BL365" s="18"/>
      <c r="BM365" s="2"/>
      <c r="BN365" s="18"/>
      <c r="BO365" s="118"/>
      <c r="BQ365" s="2"/>
      <c r="BR365" s="19"/>
      <c r="BS365" s="20"/>
      <c r="BT365" s="21"/>
      <c r="BU365" s="21"/>
      <c r="BW365" s="19"/>
      <c r="BX365" s="18"/>
      <c r="BY365" s="2"/>
      <c r="BZ365" s="18"/>
      <c r="CA365" s="118"/>
      <c r="CC365" s="2"/>
      <c r="CD365" s="19"/>
      <c r="CE365" s="20"/>
      <c r="CF365" s="21"/>
      <c r="CG365" s="21"/>
      <c r="CI365" s="19"/>
      <c r="CJ365" s="18"/>
      <c r="CK365" s="2"/>
      <c r="CL365" s="18"/>
      <c r="CM365" s="118"/>
      <c r="CO365" s="2"/>
      <c r="CP365" s="19"/>
      <c r="CQ365" s="20"/>
      <c r="CR365" s="21"/>
      <c r="CS365" s="21"/>
    </row>
    <row r="366" spans="1:97" x14ac:dyDescent="0.25">
      <c r="A366" s="1">
        <f t="shared" si="143"/>
        <v>340</v>
      </c>
      <c r="B366" s="19">
        <f t="shared" si="144"/>
        <v>118.19844040188174</v>
      </c>
      <c r="C366" s="18">
        <f t="shared" si="158"/>
        <v>5.1648107379577741</v>
      </c>
      <c r="D366" s="2">
        <f t="shared" si="137"/>
        <v>0.93255433326784909</v>
      </c>
      <c r="E366" s="18">
        <f t="shared" si="145"/>
        <v>5.180353310178905</v>
      </c>
      <c r="F366" s="21">
        <f t="shared" si="138"/>
        <v>2.0026514433543383</v>
      </c>
      <c r="G366" s="1">
        <f t="shared" si="139"/>
        <v>0</v>
      </c>
      <c r="H366" s="2">
        <f t="shared" si="135"/>
        <v>275.04104877170118</v>
      </c>
      <c r="I366" s="19">
        <f t="shared" si="161"/>
        <v>119.06538907865851</v>
      </c>
      <c r="J366" s="20">
        <f t="shared" si="140"/>
        <v>0.92468548247234694</v>
      </c>
      <c r="K366" s="21">
        <f t="shared" si="141"/>
        <v>99.088174118146597</v>
      </c>
      <c r="L366" s="21">
        <f t="shared" si="136"/>
        <v>1.5730285420867505</v>
      </c>
      <c r="M366" s="2">
        <f t="shared" si="146"/>
        <v>76.952426996958536</v>
      </c>
      <c r="N366" s="19">
        <f t="shared" si="159"/>
        <v>316.05168397076108</v>
      </c>
      <c r="O366" s="1">
        <f t="shared" si="147"/>
        <v>340</v>
      </c>
      <c r="P366" s="19">
        <f t="shared" si="148"/>
        <v>228.05663367470584</v>
      </c>
      <c r="Q366" s="18">
        <f t="shared" si="149"/>
        <v>6.7039089386557409</v>
      </c>
      <c r="R366" s="2">
        <f t="shared" si="150"/>
        <v>0.94489328735318812</v>
      </c>
      <c r="S366" s="18">
        <f t="shared" si="151"/>
        <v>6.7196571601116277</v>
      </c>
      <c r="T366" s="18">
        <f t="shared" si="152"/>
        <v>3.3423146157162886</v>
      </c>
      <c r="U366" s="1">
        <f t="shared" si="142"/>
        <v>0</v>
      </c>
      <c r="V366" s="2">
        <f t="shared" si="153"/>
        <v>530.15313840428678</v>
      </c>
      <c r="W366" s="19">
        <f t="shared" si="154"/>
        <v>229.50352311873885</v>
      </c>
      <c r="X366" s="20"/>
      <c r="Y366" s="2">
        <f t="shared" si="155"/>
        <v>209.55170892905605</v>
      </c>
      <c r="Z366" s="21">
        <f t="shared" si="156"/>
        <v>2.6467448292350721</v>
      </c>
      <c r="AA366" s="2">
        <f t="shared" si="157"/>
        <v>164.21564339498107</v>
      </c>
      <c r="AB366" s="19">
        <f t="shared" si="160"/>
        <v>73.048590307965284</v>
      </c>
      <c r="AC366" s="2"/>
      <c r="AD366" s="18"/>
      <c r="AE366" s="118"/>
      <c r="AG366" s="2"/>
      <c r="AH366" s="19"/>
      <c r="AI366" s="20"/>
      <c r="AJ366" s="21"/>
      <c r="AK366" s="21"/>
      <c r="AM366" s="19"/>
      <c r="AN366" s="18"/>
      <c r="AO366" s="2"/>
      <c r="AP366" s="18"/>
      <c r="AQ366" s="118"/>
      <c r="AS366" s="2"/>
      <c r="AT366" s="19"/>
      <c r="AU366" s="20"/>
      <c r="AV366" s="21"/>
      <c r="AW366" s="21"/>
      <c r="AY366" s="19"/>
      <c r="AZ366" s="18"/>
      <c r="BA366" s="2"/>
      <c r="BB366" s="18"/>
      <c r="BC366" s="118"/>
      <c r="BE366" s="2"/>
      <c r="BF366" s="19"/>
      <c r="BG366" s="20"/>
      <c r="BH366" s="21"/>
      <c r="BI366" s="21"/>
      <c r="BK366" s="19"/>
      <c r="BL366" s="18"/>
      <c r="BM366" s="2"/>
      <c r="BN366" s="18"/>
      <c r="BO366" s="118"/>
      <c r="BQ366" s="2"/>
      <c r="BR366" s="19"/>
      <c r="BS366" s="20"/>
      <c r="BT366" s="21"/>
      <c r="BU366" s="21"/>
      <c r="BW366" s="19"/>
      <c r="BX366" s="18"/>
      <c r="BY366" s="2"/>
      <c r="BZ366" s="18"/>
      <c r="CA366" s="118"/>
      <c r="CC366" s="2"/>
      <c r="CD366" s="19"/>
      <c r="CE366" s="20"/>
      <c r="CF366" s="21"/>
      <c r="CG366" s="21"/>
      <c r="CI366" s="19"/>
      <c r="CJ366" s="18"/>
      <c r="CK366" s="2"/>
      <c r="CL366" s="18"/>
      <c r="CM366" s="118"/>
      <c r="CO366" s="2"/>
      <c r="CP366" s="19"/>
      <c r="CQ366" s="20"/>
      <c r="CR366" s="21"/>
      <c r="CS366" s="21"/>
    </row>
    <row r="367" spans="1:97" x14ac:dyDescent="0.25">
      <c r="A367" s="1">
        <f t="shared" si="143"/>
        <v>341</v>
      </c>
      <c r="B367" s="19">
        <f t="shared" si="144"/>
        <v>119.06538907865851</v>
      </c>
      <c r="C367" s="18">
        <f t="shared" si="158"/>
        <v>5.180353310178905</v>
      </c>
      <c r="D367" s="2">
        <f t="shared" si="137"/>
        <v>0.93269064387719836</v>
      </c>
      <c r="E367" s="18">
        <f t="shared" si="145"/>
        <v>5.1958981542435252</v>
      </c>
      <c r="F367" s="21">
        <f t="shared" si="138"/>
        <v>2.0144966945381171</v>
      </c>
      <c r="G367" s="1">
        <f t="shared" si="139"/>
        <v>0</v>
      </c>
      <c r="H367" s="2">
        <f t="shared" si="135"/>
        <v>277.05554546623932</v>
      </c>
      <c r="I367" s="19">
        <f t="shared" si="161"/>
        <v>119.93746556980057</v>
      </c>
      <c r="J367" s="20">
        <f t="shared" si="140"/>
        <v>0.9246226268073291</v>
      </c>
      <c r="K367" s="21">
        <f t="shared" si="141"/>
        <v>99.960451186881599</v>
      </c>
      <c r="L367" s="21">
        <f t="shared" si="136"/>
        <v>1.5824831756168272</v>
      </c>
      <c r="M367" s="2">
        <f t="shared" si="146"/>
        <v>77.63748464874071</v>
      </c>
      <c r="N367" s="19">
        <f t="shared" si="159"/>
        <v>316.1946306061638</v>
      </c>
      <c r="O367" s="1">
        <f t="shared" si="147"/>
        <v>341</v>
      </c>
      <c r="P367" s="19">
        <f t="shared" si="148"/>
        <v>229.50352311873885</v>
      </c>
      <c r="Q367" s="18">
        <f t="shared" si="149"/>
        <v>6.7196571601116277</v>
      </c>
      <c r="R367" s="2">
        <f t="shared" si="150"/>
        <v>0.94501281237109569</v>
      </c>
      <c r="S367" s="18">
        <f t="shared" si="151"/>
        <v>6.7354073736511459</v>
      </c>
      <c r="T367" s="18">
        <f t="shared" si="152"/>
        <v>3.3577589913076848</v>
      </c>
      <c r="U367" s="1">
        <f t="shared" si="142"/>
        <v>0</v>
      </c>
      <c r="V367" s="2">
        <f t="shared" si="153"/>
        <v>533.5108973955945</v>
      </c>
      <c r="W367" s="19">
        <f t="shared" si="154"/>
        <v>230.9570984396513</v>
      </c>
      <c r="X367" s="20"/>
      <c r="Y367" s="2">
        <f t="shared" si="155"/>
        <v>211.00561857229226</v>
      </c>
      <c r="Z367" s="21">
        <f t="shared" si="156"/>
        <v>2.6591667877129446</v>
      </c>
      <c r="AA367" s="2">
        <f t="shared" si="157"/>
        <v>165.36679784853646</v>
      </c>
      <c r="AB367" s="19">
        <f t="shared" si="160"/>
        <v>73.158791477198008</v>
      </c>
      <c r="AC367" s="2"/>
      <c r="AD367" s="18"/>
      <c r="AE367" s="118"/>
      <c r="AG367" s="2"/>
      <c r="AH367" s="19"/>
      <c r="AI367" s="20"/>
      <c r="AJ367" s="21"/>
      <c r="AK367" s="21"/>
      <c r="AM367" s="19"/>
      <c r="AN367" s="18"/>
      <c r="AO367" s="2"/>
      <c r="AP367" s="18"/>
      <c r="AQ367" s="118"/>
      <c r="AS367" s="2"/>
      <c r="AT367" s="19"/>
      <c r="AU367" s="20"/>
      <c r="AV367" s="21"/>
      <c r="AW367" s="21"/>
      <c r="AY367" s="19"/>
      <c r="AZ367" s="18"/>
      <c r="BA367" s="2"/>
      <c r="BB367" s="18"/>
      <c r="BC367" s="118"/>
      <c r="BE367" s="2"/>
      <c r="BF367" s="19"/>
      <c r="BG367" s="20"/>
      <c r="BH367" s="21"/>
      <c r="BI367" s="21"/>
      <c r="BK367" s="19"/>
      <c r="BL367" s="18"/>
      <c r="BM367" s="2"/>
      <c r="BN367" s="18"/>
      <c r="BO367" s="118"/>
      <c r="BQ367" s="2"/>
      <c r="BR367" s="19"/>
      <c r="BS367" s="20"/>
      <c r="BT367" s="21"/>
      <c r="BU367" s="21"/>
      <c r="BW367" s="19"/>
      <c r="BX367" s="18"/>
      <c r="BY367" s="2"/>
      <c r="BZ367" s="18"/>
      <c r="CA367" s="118"/>
      <c r="CC367" s="2"/>
      <c r="CD367" s="19"/>
      <c r="CE367" s="20"/>
      <c r="CF367" s="21"/>
      <c r="CG367" s="21"/>
      <c r="CI367" s="19"/>
      <c r="CJ367" s="18"/>
      <c r="CK367" s="2"/>
      <c r="CL367" s="18"/>
      <c r="CM367" s="118"/>
      <c r="CO367" s="2"/>
      <c r="CP367" s="19"/>
      <c r="CQ367" s="20"/>
      <c r="CR367" s="21"/>
      <c r="CS367" s="21"/>
    </row>
    <row r="368" spans="1:97" x14ac:dyDescent="0.25">
      <c r="A368" s="1">
        <f t="shared" si="143"/>
        <v>342</v>
      </c>
      <c r="B368" s="19">
        <f t="shared" si="144"/>
        <v>119.93746556980057</v>
      </c>
      <c r="C368" s="18">
        <f t="shared" si="158"/>
        <v>5.1958981542435252</v>
      </c>
      <c r="D368" s="2">
        <f t="shared" si="137"/>
        <v>0.93282678292970211</v>
      </c>
      <c r="E368" s="18">
        <f t="shared" si="145"/>
        <v>5.2114452672923539</v>
      </c>
      <c r="F368" s="21">
        <f t="shared" si="138"/>
        <v>2.026378111941523</v>
      </c>
      <c r="G368" s="1">
        <f t="shared" si="139"/>
        <v>0</v>
      </c>
      <c r="H368" s="2">
        <f t="shared" si="135"/>
        <v>279.08192357818086</v>
      </c>
      <c r="I368" s="19">
        <f t="shared" si="161"/>
        <v>120.81468553168003</v>
      </c>
      <c r="J368" s="20">
        <f t="shared" si="140"/>
        <v>0.92455974357826853</v>
      </c>
      <c r="K368" s="21">
        <f t="shared" si="141"/>
        <v>100.83787290935228</v>
      </c>
      <c r="L368" s="21">
        <f t="shared" si="136"/>
        <v>1.5919675236878081</v>
      </c>
      <c r="M368" s="2">
        <f t="shared" si="146"/>
        <v>78.32664807890859</v>
      </c>
      <c r="N368" s="19">
        <f t="shared" si="159"/>
        <v>316.33714958053645</v>
      </c>
      <c r="O368" s="1">
        <f t="shared" si="147"/>
        <v>342</v>
      </c>
      <c r="P368" s="19">
        <f t="shared" si="148"/>
        <v>230.9570984396513</v>
      </c>
      <c r="Q368" s="18">
        <f t="shared" si="149"/>
        <v>6.7354073736511459</v>
      </c>
      <c r="R368" s="2">
        <f t="shared" si="150"/>
        <v>0.94513214840384807</v>
      </c>
      <c r="S368" s="18">
        <f t="shared" si="151"/>
        <v>6.7511595761245431</v>
      </c>
      <c r="T368" s="18">
        <f t="shared" si="152"/>
        <v>3.3732404332958352</v>
      </c>
      <c r="U368" s="1">
        <f t="shared" si="142"/>
        <v>0</v>
      </c>
      <c r="V368" s="2">
        <f t="shared" si="153"/>
        <v>536.88413782889029</v>
      </c>
      <c r="W368" s="19">
        <f t="shared" si="154"/>
        <v>232.41737568350229</v>
      </c>
      <c r="X368" s="20"/>
      <c r="Y368" s="2">
        <f t="shared" si="155"/>
        <v>212.46623167990936</v>
      </c>
      <c r="Z368" s="21">
        <f t="shared" si="156"/>
        <v>2.6716194021051374</v>
      </c>
      <c r="AA368" s="2">
        <f t="shared" si="157"/>
        <v>166.52334304425298</v>
      </c>
      <c r="AB368" s="19">
        <f t="shared" si="160"/>
        <v>73.268734949776118</v>
      </c>
      <c r="AC368" s="2"/>
      <c r="AD368" s="18"/>
      <c r="AE368" s="118"/>
      <c r="AG368" s="2"/>
      <c r="AH368" s="19"/>
      <c r="AI368" s="20"/>
      <c r="AJ368" s="21"/>
      <c r="AK368" s="21"/>
      <c r="AM368" s="19"/>
      <c r="AN368" s="18"/>
      <c r="AO368" s="2"/>
      <c r="AP368" s="18"/>
      <c r="AQ368" s="118"/>
      <c r="AS368" s="2"/>
      <c r="AT368" s="19"/>
      <c r="AU368" s="20"/>
      <c r="AV368" s="21"/>
      <c r="AW368" s="21"/>
      <c r="AY368" s="19"/>
      <c r="AZ368" s="18"/>
      <c r="BA368" s="2"/>
      <c r="BB368" s="18"/>
      <c r="BC368" s="118"/>
      <c r="BE368" s="2"/>
      <c r="BF368" s="19"/>
      <c r="BG368" s="20"/>
      <c r="BH368" s="21"/>
      <c r="BI368" s="21"/>
      <c r="BK368" s="19"/>
      <c r="BL368" s="18"/>
      <c r="BM368" s="2"/>
      <c r="BN368" s="18"/>
      <c r="BO368" s="118"/>
      <c r="BQ368" s="2"/>
      <c r="BR368" s="19"/>
      <c r="BS368" s="20"/>
      <c r="BT368" s="21"/>
      <c r="BU368" s="21"/>
      <c r="BW368" s="19"/>
      <c r="BX368" s="18"/>
      <c r="BY368" s="2"/>
      <c r="BZ368" s="18"/>
      <c r="CA368" s="118"/>
      <c r="CC368" s="2"/>
      <c r="CD368" s="19"/>
      <c r="CE368" s="20"/>
      <c r="CF368" s="21"/>
      <c r="CG368" s="21"/>
      <c r="CI368" s="19"/>
      <c r="CJ368" s="18"/>
      <c r="CK368" s="2"/>
      <c r="CL368" s="18"/>
      <c r="CM368" s="118"/>
      <c r="CO368" s="2"/>
      <c r="CP368" s="19"/>
      <c r="CQ368" s="20"/>
      <c r="CR368" s="21"/>
      <c r="CS368" s="21"/>
    </row>
    <row r="369" spans="1:97" x14ac:dyDescent="0.25">
      <c r="A369" s="1">
        <f t="shared" si="143"/>
        <v>343</v>
      </c>
      <c r="B369" s="19">
        <f t="shared" si="144"/>
        <v>120.81468553168003</v>
      </c>
      <c r="C369" s="18">
        <f t="shared" si="158"/>
        <v>5.2114452672923539</v>
      </c>
      <c r="D369" s="2">
        <f t="shared" si="137"/>
        <v>0.93296274973668825</v>
      </c>
      <c r="E369" s="18">
        <f t="shared" si="145"/>
        <v>5.2269946464546324</v>
      </c>
      <c r="F369" s="21">
        <f t="shared" si="138"/>
        <v>2.0382957057410755</v>
      </c>
      <c r="G369" s="1">
        <f t="shared" si="139"/>
        <v>0</v>
      </c>
      <c r="H369" s="2">
        <f t="shared" si="135"/>
        <v>281.12021928392193</v>
      </c>
      <c r="I369" s="19">
        <f t="shared" si="161"/>
        <v>121.69706462507442</v>
      </c>
      <c r="J369" s="20">
        <f t="shared" si="140"/>
        <v>0.92449683362076562</v>
      </c>
      <c r="K369" s="21">
        <f t="shared" si="141"/>
        <v>101.72045494993817</v>
      </c>
      <c r="L369" s="21">
        <f t="shared" si="136"/>
        <v>1.6014815969470992</v>
      </c>
      <c r="M369" s="2">
        <f t="shared" si="146"/>
        <v>79.019930155509073</v>
      </c>
      <c r="N369" s="19">
        <f t="shared" si="159"/>
        <v>316.47924338329301</v>
      </c>
      <c r="O369" s="1">
        <f t="shared" si="147"/>
        <v>343</v>
      </c>
      <c r="P369" s="19">
        <f t="shared" si="148"/>
        <v>232.41737568350229</v>
      </c>
      <c r="Q369" s="18">
        <f t="shared" si="149"/>
        <v>6.7511595761245431</v>
      </c>
      <c r="R369" s="2">
        <f t="shared" si="150"/>
        <v>0.94525129579822065</v>
      </c>
      <c r="S369" s="18">
        <f t="shared" si="151"/>
        <v>6.766913764387847</v>
      </c>
      <c r="T369" s="18">
        <f t="shared" si="152"/>
        <v>3.3887589497983255</v>
      </c>
      <c r="U369" s="1">
        <f t="shared" si="142"/>
        <v>0</v>
      </c>
      <c r="V369" s="2">
        <f t="shared" si="153"/>
        <v>540.27289677868862</v>
      </c>
      <c r="W369" s="19">
        <f t="shared" si="154"/>
        <v>233.88437089986519</v>
      </c>
      <c r="X369" s="20"/>
      <c r="Y369" s="2">
        <f t="shared" si="155"/>
        <v>213.93356430517204</v>
      </c>
      <c r="Z369" s="21">
        <f t="shared" si="156"/>
        <v>2.68410268093624</v>
      </c>
      <c r="AA369" s="2">
        <f t="shared" si="157"/>
        <v>167.68529225677949</v>
      </c>
      <c r="AB369" s="19">
        <f t="shared" si="160"/>
        <v>73.378421895779624</v>
      </c>
      <c r="AC369" s="2"/>
      <c r="AD369" s="18"/>
      <c r="AE369" s="118"/>
      <c r="AG369" s="2"/>
      <c r="AH369" s="19"/>
      <c r="AI369" s="20"/>
      <c r="AJ369" s="21"/>
      <c r="AK369" s="21"/>
      <c r="AM369" s="19"/>
      <c r="AN369" s="18"/>
      <c r="AO369" s="2"/>
      <c r="AP369" s="18"/>
      <c r="AQ369" s="118"/>
      <c r="AS369" s="2"/>
      <c r="AT369" s="19"/>
      <c r="AU369" s="20"/>
      <c r="AV369" s="21"/>
      <c r="AW369" s="21"/>
      <c r="AY369" s="19"/>
      <c r="AZ369" s="18"/>
      <c r="BA369" s="2"/>
      <c r="BB369" s="18"/>
      <c r="BC369" s="118"/>
      <c r="BE369" s="2"/>
      <c r="BF369" s="19"/>
      <c r="BG369" s="20"/>
      <c r="BH369" s="21"/>
      <c r="BI369" s="21"/>
      <c r="BK369" s="19"/>
      <c r="BL369" s="18"/>
      <c r="BM369" s="2"/>
      <c r="BN369" s="18"/>
      <c r="BO369" s="118"/>
      <c r="BQ369" s="2"/>
      <c r="BR369" s="19"/>
      <c r="BS369" s="20"/>
      <c r="BT369" s="21"/>
      <c r="BU369" s="21"/>
      <c r="BW369" s="19"/>
      <c r="BX369" s="18"/>
      <c r="BY369" s="2"/>
      <c r="BZ369" s="18"/>
      <c r="CA369" s="118"/>
      <c r="CC369" s="2"/>
      <c r="CD369" s="19"/>
      <c r="CE369" s="20"/>
      <c r="CF369" s="21"/>
      <c r="CG369" s="21"/>
      <c r="CI369" s="19"/>
      <c r="CJ369" s="18"/>
      <c r="CK369" s="2"/>
      <c r="CL369" s="18"/>
      <c r="CM369" s="118"/>
      <c r="CO369" s="2"/>
      <c r="CP369" s="19"/>
      <c r="CQ369" s="20"/>
      <c r="CR369" s="21"/>
      <c r="CS369" s="21"/>
    </row>
    <row r="370" spans="1:97" x14ac:dyDescent="0.25">
      <c r="A370" s="1">
        <f t="shared" si="143"/>
        <v>344</v>
      </c>
      <c r="B370" s="19">
        <f t="shared" si="144"/>
        <v>121.69706462507442</v>
      </c>
      <c r="C370" s="18">
        <f t="shared" si="158"/>
        <v>5.2269946464546324</v>
      </c>
      <c r="D370" s="2">
        <f t="shared" si="137"/>
        <v>0.93309854362993283</v>
      </c>
      <c r="E370" s="18">
        <f t="shared" si="145"/>
        <v>5.2425462888484642</v>
      </c>
      <c r="F370" s="21">
        <f t="shared" si="138"/>
        <v>2.05024948608835</v>
      </c>
      <c r="G370" s="1">
        <f t="shared" si="139"/>
        <v>0</v>
      </c>
      <c r="H370" s="2">
        <f t="shared" si="135"/>
        <v>283.1704687700103</v>
      </c>
      <c r="I370" s="19">
        <f t="shared" si="161"/>
        <v>122.58461851515597</v>
      </c>
      <c r="J370" s="20">
        <f t="shared" si="140"/>
        <v>0.92443389776240192</v>
      </c>
      <c r="K370" s="21">
        <f t="shared" si="141"/>
        <v>102.60821297741442</v>
      </c>
      <c r="L370" s="21">
        <f t="shared" si="136"/>
        <v>1.6110254060161349</v>
      </c>
      <c r="M370" s="2">
        <f t="shared" si="146"/>
        <v>79.717343751187059</v>
      </c>
      <c r="N370" s="19">
        <f t="shared" si="159"/>
        <v>316.62091448226568</v>
      </c>
      <c r="O370" s="1">
        <f t="shared" si="147"/>
        <v>344</v>
      </c>
      <c r="P370" s="19">
        <f t="shared" si="148"/>
        <v>233.88437089986519</v>
      </c>
      <c r="Q370" s="18">
        <f t="shared" si="149"/>
        <v>6.766913764387847</v>
      </c>
      <c r="R370" s="2">
        <f t="shared" si="150"/>
        <v>0.94537025490304272</v>
      </c>
      <c r="S370" s="18">
        <f t="shared" si="151"/>
        <v>6.7826699353028976</v>
      </c>
      <c r="T370" s="18">
        <f t="shared" si="152"/>
        <v>3.4043145489161284</v>
      </c>
      <c r="U370" s="1">
        <f t="shared" si="142"/>
        <v>0</v>
      </c>
      <c r="V370" s="2">
        <f t="shared" si="153"/>
        <v>543.67721132760471</v>
      </c>
      <c r="W370" s="19">
        <f t="shared" si="154"/>
        <v>235.35810014182022</v>
      </c>
      <c r="X370" s="20"/>
      <c r="Y370" s="2">
        <f t="shared" si="155"/>
        <v>215.40763250485273</v>
      </c>
      <c r="Z370" s="21">
        <f t="shared" si="156"/>
        <v>2.6966166327136274</v>
      </c>
      <c r="AA370" s="2">
        <f t="shared" si="157"/>
        <v>168.85265876444774</v>
      </c>
      <c r="AB370" s="19">
        <f t="shared" si="160"/>
        <v>73.487853477394353</v>
      </c>
      <c r="AC370" s="2"/>
      <c r="AD370" s="18"/>
      <c r="AE370" s="118"/>
      <c r="AG370" s="2"/>
      <c r="AH370" s="19"/>
      <c r="AI370" s="20"/>
      <c r="AJ370" s="21"/>
      <c r="AK370" s="21"/>
      <c r="AM370" s="19"/>
      <c r="AN370" s="18"/>
      <c r="AO370" s="2"/>
      <c r="AP370" s="18"/>
      <c r="AQ370" s="118"/>
      <c r="AS370" s="2"/>
      <c r="AT370" s="19"/>
      <c r="AU370" s="20"/>
      <c r="AV370" s="21"/>
      <c r="AW370" s="21"/>
      <c r="AY370" s="19"/>
      <c r="AZ370" s="18"/>
      <c r="BA370" s="2"/>
      <c r="BB370" s="18"/>
      <c r="BC370" s="118"/>
      <c r="BE370" s="2"/>
      <c r="BF370" s="19"/>
      <c r="BG370" s="20"/>
      <c r="BH370" s="21"/>
      <c r="BI370" s="21"/>
      <c r="BK370" s="19"/>
      <c r="BL370" s="18"/>
      <c r="BM370" s="2"/>
      <c r="BN370" s="18"/>
      <c r="BO370" s="118"/>
      <c r="BQ370" s="2"/>
      <c r="BR370" s="19"/>
      <c r="BS370" s="20"/>
      <c r="BT370" s="21"/>
      <c r="BU370" s="21"/>
      <c r="BW370" s="19"/>
      <c r="BX370" s="18"/>
      <c r="BY370" s="2"/>
      <c r="BZ370" s="18"/>
      <c r="CA370" s="118"/>
      <c r="CC370" s="2"/>
      <c r="CD370" s="19"/>
      <c r="CE370" s="20"/>
      <c r="CF370" s="21"/>
      <c r="CG370" s="21"/>
      <c r="CI370" s="19"/>
      <c r="CJ370" s="18"/>
      <c r="CK370" s="2"/>
      <c r="CL370" s="18"/>
      <c r="CM370" s="118"/>
      <c r="CO370" s="2"/>
      <c r="CP370" s="19"/>
      <c r="CQ370" s="20"/>
      <c r="CR370" s="21"/>
      <c r="CS370" s="21"/>
    </row>
    <row r="371" spans="1:97" x14ac:dyDescent="0.25">
      <c r="A371" s="1">
        <f t="shared" si="143"/>
        <v>345</v>
      </c>
      <c r="B371" s="19">
        <f t="shared" si="144"/>
        <v>122.58461851515597</v>
      </c>
      <c r="C371" s="18">
        <f t="shared" si="158"/>
        <v>5.2425462888484642</v>
      </c>
      <c r="D371" s="2">
        <f t="shared" si="137"/>
        <v>0.93323416396132186</v>
      </c>
      <c r="E371" s="18">
        <f t="shared" si="145"/>
        <v>5.2581001915811525</v>
      </c>
      <c r="F371" s="21">
        <f t="shared" si="138"/>
        <v>2.0622394631100649</v>
      </c>
      <c r="G371" s="1">
        <f t="shared" si="139"/>
        <v>0</v>
      </c>
      <c r="H371" s="2">
        <f t="shared" si="135"/>
        <v>285.23270823312038</v>
      </c>
      <c r="I371" s="19">
        <f t="shared" si="161"/>
        <v>123.47736287148068</v>
      </c>
      <c r="J371" s="20">
        <f t="shared" si="140"/>
        <v>0.92437093682279736</v>
      </c>
      <c r="K371" s="21">
        <f t="shared" si="141"/>
        <v>103.50116266494108</v>
      </c>
      <c r="L371" s="21">
        <f t="shared" si="136"/>
        <v>1.6205989614904805</v>
      </c>
      <c r="M371" s="2">
        <f t="shared" si="146"/>
        <v>80.418901743174274</v>
      </c>
      <c r="N371" s="19">
        <f t="shared" si="159"/>
        <v>316.76216532395352</v>
      </c>
      <c r="O371" s="1">
        <f t="shared" si="147"/>
        <v>345</v>
      </c>
      <c r="P371" s="19">
        <f t="shared" si="148"/>
        <v>235.35810014182022</v>
      </c>
      <c r="Q371" s="18">
        <f t="shared" si="149"/>
        <v>6.7826699353028976</v>
      </c>
      <c r="R371" s="2">
        <f t="shared" si="150"/>
        <v>0.94548902606913621</v>
      </c>
      <c r="S371" s="18">
        <f t="shared" si="151"/>
        <v>6.7984280857373829</v>
      </c>
      <c r="T371" s="18">
        <f t="shared" si="152"/>
        <v>3.4199072387336718</v>
      </c>
      <c r="U371" s="1">
        <f t="shared" si="142"/>
        <v>0</v>
      </c>
      <c r="V371" s="2">
        <f t="shared" si="153"/>
        <v>547.09711856633839</v>
      </c>
      <c r="W371" s="19">
        <f t="shared" si="154"/>
        <v>236.83857946594736</v>
      </c>
      <c r="X371" s="20"/>
      <c r="Y371" s="2">
        <f t="shared" si="155"/>
        <v>216.88845233922441</v>
      </c>
      <c r="Z371" s="21">
        <f t="shared" si="156"/>
        <v>2.7091612659275301</v>
      </c>
      <c r="AA371" s="2">
        <f t="shared" si="157"/>
        <v>170.02545584926486</v>
      </c>
      <c r="AB371" s="19">
        <f t="shared" si="160"/>
        <v>73.597030848982655</v>
      </c>
      <c r="AC371" s="2"/>
      <c r="AD371" s="18"/>
      <c r="AE371" s="118"/>
      <c r="AG371" s="2"/>
      <c r="AH371" s="19"/>
      <c r="AI371" s="20"/>
      <c r="AJ371" s="21"/>
      <c r="AK371" s="21"/>
      <c r="AM371" s="19"/>
      <c r="AN371" s="18"/>
      <c r="AO371" s="2"/>
      <c r="AP371" s="18"/>
      <c r="AQ371" s="118"/>
      <c r="AS371" s="2"/>
      <c r="AT371" s="19"/>
      <c r="AU371" s="20"/>
      <c r="AV371" s="21"/>
      <c r="AW371" s="21"/>
      <c r="AY371" s="19"/>
      <c r="AZ371" s="18"/>
      <c r="BA371" s="2"/>
      <c r="BB371" s="18"/>
      <c r="BC371" s="118"/>
      <c r="BE371" s="2"/>
      <c r="BF371" s="19"/>
      <c r="BG371" s="20"/>
      <c r="BH371" s="21"/>
      <c r="BI371" s="21"/>
      <c r="BK371" s="19"/>
      <c r="BL371" s="18"/>
      <c r="BM371" s="2"/>
      <c r="BN371" s="18"/>
      <c r="BO371" s="118"/>
      <c r="BQ371" s="2"/>
      <c r="BR371" s="19"/>
      <c r="BS371" s="20"/>
      <c r="BT371" s="21"/>
      <c r="BU371" s="21"/>
      <c r="BW371" s="19"/>
      <c r="BX371" s="18"/>
      <c r="BY371" s="2"/>
      <c r="BZ371" s="18"/>
      <c r="CA371" s="118"/>
      <c r="CC371" s="2"/>
      <c r="CD371" s="19"/>
      <c r="CE371" s="20"/>
      <c r="CF371" s="21"/>
      <c r="CG371" s="21"/>
      <c r="CI371" s="19"/>
      <c r="CJ371" s="18"/>
      <c r="CK371" s="2"/>
      <c r="CL371" s="18"/>
      <c r="CM371" s="118"/>
      <c r="CO371" s="2"/>
      <c r="CP371" s="19"/>
      <c r="CQ371" s="20"/>
      <c r="CR371" s="21"/>
      <c r="CS371" s="21"/>
    </row>
    <row r="372" spans="1:97" x14ac:dyDescent="0.25">
      <c r="A372" s="1">
        <f t="shared" si="143"/>
        <v>346</v>
      </c>
      <c r="B372" s="19">
        <f t="shared" si="144"/>
        <v>123.47736287148068</v>
      </c>
      <c r="C372" s="18">
        <f t="shared" si="158"/>
        <v>5.2581001915811525</v>
      </c>
      <c r="D372" s="2">
        <f t="shared" si="137"/>
        <v>0.93336961010251884</v>
      </c>
      <c r="E372" s="18">
        <f t="shared" si="145"/>
        <v>5.2736563517495281</v>
      </c>
      <c r="F372" s="21">
        <f t="shared" si="138"/>
        <v>2.0742656469081626</v>
      </c>
      <c r="G372" s="1">
        <f t="shared" si="139"/>
        <v>0</v>
      </c>
      <c r="H372" s="2">
        <f t="shared" si="135"/>
        <v>287.30697388002852</v>
      </c>
      <c r="I372" s="19">
        <f t="shared" si="161"/>
        <v>124.37531336797771</v>
      </c>
      <c r="J372" s="20">
        <f t="shared" si="140"/>
        <v>0.92430795161366508</v>
      </c>
      <c r="K372" s="21">
        <f t="shared" si="141"/>
        <v>104.39931969005231</v>
      </c>
      <c r="L372" s="21">
        <f t="shared" si="136"/>
        <v>1.6302022739399242</v>
      </c>
      <c r="M372" s="2">
        <f t="shared" si="146"/>
        <v>81.12461701327814</v>
      </c>
      <c r="N372" s="19">
        <f t="shared" si="159"/>
        <v>316.90299833376815</v>
      </c>
      <c r="O372" s="1">
        <f t="shared" si="147"/>
        <v>346</v>
      </c>
      <c r="P372" s="19">
        <f t="shared" si="148"/>
        <v>236.83857946594736</v>
      </c>
      <c r="Q372" s="18">
        <f t="shared" si="149"/>
        <v>6.7984280857373829</v>
      </c>
      <c r="R372" s="2">
        <f t="shared" si="150"/>
        <v>0.94560760964925406</v>
      </c>
      <c r="S372" s="18">
        <f t="shared" si="151"/>
        <v>6.8141882125648703</v>
      </c>
      <c r="T372" s="18">
        <f t="shared" si="152"/>
        <v>3.4355370273189152</v>
      </c>
      <c r="U372" s="1">
        <f t="shared" si="142"/>
        <v>0</v>
      </c>
      <c r="V372" s="2">
        <f t="shared" si="153"/>
        <v>550.5326555936573</v>
      </c>
      <c r="W372" s="19">
        <f t="shared" si="154"/>
        <v>238.32582493231916</v>
      </c>
      <c r="X372" s="20"/>
      <c r="Y372" s="2">
        <f t="shared" si="155"/>
        <v>218.3760398720535</v>
      </c>
      <c r="Z372" s="21">
        <f t="shared" si="156"/>
        <v>2.7217365890511114</v>
      </c>
      <c r="AA372" s="2">
        <f t="shared" si="157"/>
        <v>171.20369679690603</v>
      </c>
      <c r="AB372" s="19">
        <f t="shared" si="160"/>
        <v>73.705955157153383</v>
      </c>
      <c r="AC372" s="2"/>
      <c r="AD372" s="18"/>
      <c r="AE372" s="118"/>
      <c r="AG372" s="2"/>
      <c r="AH372" s="19"/>
      <c r="AI372" s="20"/>
      <c r="AJ372" s="21"/>
      <c r="AK372" s="21"/>
      <c r="AM372" s="19"/>
      <c r="AN372" s="18"/>
      <c r="AO372" s="2"/>
      <c r="AP372" s="18"/>
      <c r="AQ372" s="118"/>
      <c r="AS372" s="2"/>
      <c r="AT372" s="19"/>
      <c r="AU372" s="20"/>
      <c r="AV372" s="21"/>
      <c r="AW372" s="21"/>
      <c r="AY372" s="19"/>
      <c r="AZ372" s="18"/>
      <c r="BA372" s="2"/>
      <c r="BB372" s="18"/>
      <c r="BC372" s="118"/>
      <c r="BE372" s="2"/>
      <c r="BF372" s="19"/>
      <c r="BG372" s="20"/>
      <c r="BH372" s="21"/>
      <c r="BI372" s="21"/>
      <c r="BK372" s="19"/>
      <c r="BL372" s="18"/>
      <c r="BM372" s="2"/>
      <c r="BN372" s="18"/>
      <c r="BO372" s="118"/>
      <c r="BQ372" s="2"/>
      <c r="BR372" s="19"/>
      <c r="BS372" s="20"/>
      <c r="BT372" s="21"/>
      <c r="BU372" s="21"/>
      <c r="BW372" s="19"/>
      <c r="BX372" s="18"/>
      <c r="BY372" s="2"/>
      <c r="BZ372" s="18"/>
      <c r="CA372" s="118"/>
      <c r="CC372" s="2"/>
      <c r="CD372" s="19"/>
      <c r="CE372" s="20"/>
      <c r="CF372" s="21"/>
      <c r="CG372" s="21"/>
      <c r="CI372" s="19"/>
      <c r="CJ372" s="18"/>
      <c r="CK372" s="2"/>
      <c r="CL372" s="18"/>
      <c r="CM372" s="118"/>
      <c r="CO372" s="2"/>
      <c r="CP372" s="19"/>
      <c r="CQ372" s="20"/>
      <c r="CR372" s="21"/>
      <c r="CS372" s="21"/>
    </row>
    <row r="373" spans="1:97" x14ac:dyDescent="0.25">
      <c r="A373" s="1">
        <f t="shared" si="143"/>
        <v>347</v>
      </c>
      <c r="B373" s="19">
        <f t="shared" si="144"/>
        <v>124.37531336797771</v>
      </c>
      <c r="C373" s="18">
        <f t="shared" si="158"/>
        <v>5.2736563517495281</v>
      </c>
      <c r="D373" s="2">
        <f t="shared" si="137"/>
        <v>0.9335048814446345</v>
      </c>
      <c r="E373" s="18">
        <f t="shared" si="145"/>
        <v>5.2892147664402716</v>
      </c>
      <c r="F373" s="21">
        <f t="shared" si="138"/>
        <v>2.0863280475599004</v>
      </c>
      <c r="G373" s="1">
        <f t="shared" si="139"/>
        <v>0</v>
      </c>
      <c r="H373" s="2">
        <f t="shared" si="135"/>
        <v>289.39330192758842</v>
      </c>
      <c r="I373" s="19">
        <f t="shared" si="161"/>
        <v>125.27848568293871</v>
      </c>
      <c r="J373" s="20">
        <f t="shared" si="140"/>
        <v>0.92424494293886672</v>
      </c>
      <c r="K373" s="21">
        <f t="shared" si="141"/>
        <v>105.30269973464574</v>
      </c>
      <c r="L373" s="21">
        <f t="shared" si="136"/>
        <v>1.6398353539085797</v>
      </c>
      <c r="M373" s="2">
        <f t="shared" si="146"/>
        <v>81.834502447870605</v>
      </c>
      <c r="N373" s="19">
        <f t="shared" si="159"/>
        <v>317.04341591627553</v>
      </c>
      <c r="O373" s="1">
        <f t="shared" si="147"/>
        <v>347</v>
      </c>
      <c r="P373" s="19">
        <f t="shared" si="148"/>
        <v>238.32582493231916</v>
      </c>
      <c r="Q373" s="18">
        <f t="shared" si="149"/>
        <v>6.8141882125648703</v>
      </c>
      <c r="R373" s="2">
        <f t="shared" si="150"/>
        <v>0.94572600599802092</v>
      </c>
      <c r="S373" s="18">
        <f t="shared" si="151"/>
        <v>6.8299503126648373</v>
      </c>
      <c r="T373" s="18">
        <f t="shared" si="152"/>
        <v>3.4512039227234137</v>
      </c>
      <c r="U373" s="1">
        <f t="shared" si="142"/>
        <v>0</v>
      </c>
      <c r="V373" s="2">
        <f t="shared" si="153"/>
        <v>553.98385951638068</v>
      </c>
      <c r="W373" s="19">
        <f t="shared" si="154"/>
        <v>239.8198526044938</v>
      </c>
      <c r="X373" s="20"/>
      <c r="Y373" s="2">
        <f t="shared" si="155"/>
        <v>219.87041117059275</v>
      </c>
      <c r="Z373" s="21">
        <f t="shared" si="156"/>
        <v>2.7343426105405348</v>
      </c>
      <c r="AA373" s="2">
        <f t="shared" si="157"/>
        <v>172.38739489670712</v>
      </c>
      <c r="AB373" s="19">
        <f t="shared" si="160"/>
        <v>73.814627540831012</v>
      </c>
      <c r="AC373" s="2"/>
      <c r="AD373" s="18"/>
      <c r="AE373" s="118"/>
      <c r="AG373" s="2"/>
      <c r="AH373" s="19"/>
      <c r="AI373" s="20"/>
      <c r="AJ373" s="21"/>
      <c r="AK373" s="21"/>
      <c r="AM373" s="19"/>
      <c r="AN373" s="18"/>
      <c r="AO373" s="2"/>
      <c r="AP373" s="18"/>
      <c r="AQ373" s="118"/>
      <c r="AS373" s="2"/>
      <c r="AT373" s="19"/>
      <c r="AU373" s="20"/>
      <c r="AV373" s="21"/>
      <c r="AW373" s="21"/>
      <c r="AY373" s="19"/>
      <c r="AZ373" s="18"/>
      <c r="BA373" s="2"/>
      <c r="BB373" s="18"/>
      <c r="BC373" s="118"/>
      <c r="BE373" s="2"/>
      <c r="BF373" s="19"/>
      <c r="BG373" s="20"/>
      <c r="BH373" s="21"/>
      <c r="BI373" s="21"/>
      <c r="BK373" s="19"/>
      <c r="BL373" s="18"/>
      <c r="BM373" s="2"/>
      <c r="BN373" s="18"/>
      <c r="BO373" s="118"/>
      <c r="BQ373" s="2"/>
      <c r="BR373" s="19"/>
      <c r="BS373" s="20"/>
      <c r="BT373" s="21"/>
      <c r="BU373" s="21"/>
      <c r="BW373" s="19"/>
      <c r="BX373" s="18"/>
      <c r="BY373" s="2"/>
      <c r="BZ373" s="18"/>
      <c r="CA373" s="118"/>
      <c r="CC373" s="2"/>
      <c r="CD373" s="19"/>
      <c r="CE373" s="20"/>
      <c r="CF373" s="21"/>
      <c r="CG373" s="21"/>
      <c r="CI373" s="19"/>
      <c r="CJ373" s="18"/>
      <c r="CK373" s="2"/>
      <c r="CL373" s="18"/>
      <c r="CM373" s="118"/>
      <c r="CO373" s="2"/>
      <c r="CP373" s="19"/>
      <c r="CQ373" s="20"/>
      <c r="CR373" s="21"/>
      <c r="CS373" s="21"/>
    </row>
    <row r="374" spans="1:97" x14ac:dyDescent="0.25">
      <c r="A374" s="1">
        <f t="shared" si="143"/>
        <v>348</v>
      </c>
      <c r="B374" s="19">
        <f t="shared" si="144"/>
        <v>125.27848568293871</v>
      </c>
      <c r="C374" s="18">
        <f t="shared" si="158"/>
        <v>5.2892147664402716</v>
      </c>
      <c r="D374" s="2">
        <f t="shared" si="137"/>
        <v>0.93363997739790339</v>
      </c>
      <c r="E374" s="18">
        <f t="shared" si="145"/>
        <v>5.3047754327302368</v>
      </c>
      <c r="F374" s="21">
        <f t="shared" si="138"/>
        <v>2.0984266751179321</v>
      </c>
      <c r="G374" s="1">
        <f t="shared" si="139"/>
        <v>0</v>
      </c>
      <c r="H374" s="2">
        <f t="shared" si="135"/>
        <v>291.49172860270636</v>
      </c>
      <c r="I374" s="19">
        <f t="shared" si="161"/>
        <v>126.18689549900708</v>
      </c>
      <c r="J374" s="20">
        <f t="shared" si="140"/>
        <v>0.92418191159446783</v>
      </c>
      <c r="K374" s="21">
        <f t="shared" si="141"/>
        <v>106.21131848497181</v>
      </c>
      <c r="L374" s="21">
        <f t="shared" si="136"/>
        <v>1.6494982119149795</v>
      </c>
      <c r="M374" s="2">
        <f t="shared" si="146"/>
        <v>82.548570937877088</v>
      </c>
      <c r="N374" s="19">
        <f t="shared" si="159"/>
        <v>317.18342045543432</v>
      </c>
      <c r="O374" s="1">
        <f t="shared" si="147"/>
        <v>348</v>
      </c>
      <c r="P374" s="19">
        <f t="shared" si="148"/>
        <v>239.8198526044938</v>
      </c>
      <c r="Q374" s="18">
        <f t="shared" si="149"/>
        <v>6.8299503126648373</v>
      </c>
      <c r="R374" s="2">
        <f t="shared" si="150"/>
        <v>0.94584421547187392</v>
      </c>
      <c r="S374" s="18">
        <f t="shared" si="151"/>
        <v>6.8457143829227016</v>
      </c>
      <c r="T374" s="18">
        <f t="shared" si="152"/>
        <v>3.4669079329823944</v>
      </c>
      <c r="U374" s="1">
        <f t="shared" si="142"/>
        <v>0</v>
      </c>
      <c r="V374" s="2">
        <f t="shared" si="153"/>
        <v>557.45076744936307</v>
      </c>
      <c r="W374" s="19">
        <f t="shared" si="154"/>
        <v>241.32067854950782</v>
      </c>
      <c r="X374" s="20"/>
      <c r="Y374" s="2">
        <f t="shared" si="155"/>
        <v>221.37158230557412</v>
      </c>
      <c r="Z374" s="21">
        <f t="shared" si="156"/>
        <v>2.7469793388350379</v>
      </c>
      <c r="AA374" s="2">
        <f t="shared" si="157"/>
        <v>173.57656344165736</v>
      </c>
      <c r="AB374" s="19">
        <f t="shared" si="160"/>
        <v>73.923049131324021</v>
      </c>
      <c r="AC374" s="2"/>
      <c r="AD374" s="18"/>
      <c r="AE374" s="118"/>
      <c r="AG374" s="2"/>
      <c r="AH374" s="19"/>
      <c r="AI374" s="20"/>
      <c r="AJ374" s="21"/>
      <c r="AK374" s="21"/>
      <c r="AM374" s="19"/>
      <c r="AN374" s="18"/>
      <c r="AO374" s="2"/>
      <c r="AP374" s="18"/>
      <c r="AQ374" s="118"/>
      <c r="AS374" s="2"/>
      <c r="AT374" s="19"/>
      <c r="AU374" s="20"/>
      <c r="AV374" s="21"/>
      <c r="AW374" s="21"/>
      <c r="AY374" s="19"/>
      <c r="AZ374" s="18"/>
      <c r="BA374" s="2"/>
      <c r="BB374" s="18"/>
      <c r="BC374" s="118"/>
      <c r="BE374" s="2"/>
      <c r="BF374" s="19"/>
      <c r="BG374" s="20"/>
      <c r="BH374" s="21"/>
      <c r="BI374" s="21"/>
      <c r="BK374" s="19"/>
      <c r="BL374" s="18"/>
      <c r="BM374" s="2"/>
      <c r="BN374" s="18"/>
      <c r="BO374" s="118"/>
      <c r="BQ374" s="2"/>
      <c r="BR374" s="19"/>
      <c r="BS374" s="20"/>
      <c r="BT374" s="21"/>
      <c r="BU374" s="21"/>
      <c r="BW374" s="19"/>
      <c r="BX374" s="18"/>
      <c r="BY374" s="2"/>
      <c r="BZ374" s="18"/>
      <c r="CA374" s="118"/>
      <c r="CC374" s="2"/>
      <c r="CD374" s="19"/>
      <c r="CE374" s="20"/>
      <c r="CF374" s="21"/>
      <c r="CG374" s="21"/>
      <c r="CI374" s="19"/>
      <c r="CJ374" s="18"/>
      <c r="CK374" s="2"/>
      <c r="CL374" s="18"/>
      <c r="CM374" s="118"/>
      <c r="CO374" s="2"/>
      <c r="CP374" s="19"/>
      <c r="CQ374" s="20"/>
      <c r="CR374" s="21"/>
      <c r="CS374" s="21"/>
    </row>
    <row r="375" spans="1:97" x14ac:dyDescent="0.25">
      <c r="A375" s="1">
        <f t="shared" si="143"/>
        <v>349</v>
      </c>
      <c r="B375" s="19">
        <f t="shared" si="144"/>
        <v>126.18689549900708</v>
      </c>
      <c r="C375" s="18">
        <f t="shared" si="158"/>
        <v>5.3047754327302368</v>
      </c>
      <c r="D375" s="2">
        <f t="shared" si="137"/>
        <v>0.93377489739136355</v>
      </c>
      <c r="E375" s="18">
        <f t="shared" si="145"/>
        <v>5.3203383476867598</v>
      </c>
      <c r="F375" s="21">
        <f t="shared" si="138"/>
        <v>2.1105615396103987</v>
      </c>
      <c r="G375" s="1">
        <f t="shared" si="139"/>
        <v>0</v>
      </c>
      <c r="H375" s="2">
        <f t="shared" si="135"/>
        <v>293.60229014231675</v>
      </c>
      <c r="I375" s="19">
        <f t="shared" si="161"/>
        <v>127.10055850316742</v>
      </c>
      <c r="J375" s="20">
        <f t="shared" si="140"/>
        <v>0.92411885836879337</v>
      </c>
      <c r="K375" s="21">
        <f t="shared" si="141"/>
        <v>107.12519163162311</v>
      </c>
      <c r="L375" s="21">
        <f t="shared" si="136"/>
        <v>1.6591908584521777</v>
      </c>
      <c r="M375" s="2">
        <f t="shared" si="146"/>
        <v>83.266835378765478</v>
      </c>
      <c r="N375" s="19">
        <f t="shared" si="159"/>
        <v>317.32301431483097</v>
      </c>
      <c r="O375" s="1">
        <f t="shared" si="147"/>
        <v>349</v>
      </c>
      <c r="P375" s="19">
        <f t="shared" si="148"/>
        <v>241.32067854950782</v>
      </c>
      <c r="Q375" s="18">
        <f t="shared" si="149"/>
        <v>6.8457143829227016</v>
      </c>
      <c r="R375" s="2">
        <f t="shared" si="150"/>
        <v>0.94596223842900495</v>
      </c>
      <c r="S375" s="18">
        <f t="shared" si="151"/>
        <v>6.8614804202298521</v>
      </c>
      <c r="T375" s="18">
        <f t="shared" si="152"/>
        <v>3.4826490661148264</v>
      </c>
      <c r="U375" s="1">
        <f t="shared" si="142"/>
        <v>0</v>
      </c>
      <c r="V375" s="2">
        <f t="shared" si="153"/>
        <v>560.93341651547792</v>
      </c>
      <c r="W375" s="19">
        <f t="shared" si="154"/>
        <v>242.82831883786923</v>
      </c>
      <c r="X375" s="20"/>
      <c r="Y375" s="2">
        <f t="shared" si="155"/>
        <v>222.87956935120184</v>
      </c>
      <c r="Z375" s="21">
        <f t="shared" si="156"/>
        <v>2.7596467823570063</v>
      </c>
      <c r="AA375" s="2">
        <f t="shared" si="157"/>
        <v>174.77121572839198</v>
      </c>
      <c r="AB375" s="19">
        <f t="shared" si="160"/>
        <v>74.031221052392581</v>
      </c>
      <c r="AC375" s="2"/>
      <c r="AD375" s="18"/>
      <c r="AE375" s="118"/>
      <c r="AG375" s="2"/>
      <c r="AH375" s="19"/>
      <c r="AI375" s="20"/>
      <c r="AJ375" s="21"/>
      <c r="AK375" s="21"/>
      <c r="AM375" s="19"/>
      <c r="AN375" s="18"/>
      <c r="AO375" s="2"/>
      <c r="AP375" s="18"/>
      <c r="AQ375" s="118"/>
      <c r="AS375" s="2"/>
      <c r="AT375" s="19"/>
      <c r="AU375" s="20"/>
      <c r="AV375" s="21"/>
      <c r="AW375" s="21"/>
      <c r="AY375" s="19"/>
      <c r="AZ375" s="18"/>
      <c r="BA375" s="2"/>
      <c r="BB375" s="18"/>
      <c r="BC375" s="118"/>
      <c r="BE375" s="2"/>
      <c r="BF375" s="19"/>
      <c r="BG375" s="20"/>
      <c r="BH375" s="21"/>
      <c r="BI375" s="21"/>
      <c r="BK375" s="19"/>
      <c r="BL375" s="18"/>
      <c r="BM375" s="2"/>
      <c r="BN375" s="18"/>
      <c r="BO375" s="118"/>
      <c r="BQ375" s="2"/>
      <c r="BR375" s="19"/>
      <c r="BS375" s="20"/>
      <c r="BT375" s="21"/>
      <c r="BU375" s="21"/>
      <c r="BW375" s="19"/>
      <c r="BX375" s="18"/>
      <c r="BY375" s="2"/>
      <c r="BZ375" s="18"/>
      <c r="CA375" s="118"/>
      <c r="CC375" s="2"/>
      <c r="CD375" s="19"/>
      <c r="CE375" s="20"/>
      <c r="CF375" s="21"/>
      <c r="CG375" s="21"/>
      <c r="CI375" s="19"/>
      <c r="CJ375" s="18"/>
      <c r="CK375" s="2"/>
      <c r="CL375" s="18"/>
      <c r="CM375" s="118"/>
      <c r="CO375" s="2"/>
      <c r="CP375" s="19"/>
      <c r="CQ375" s="20"/>
      <c r="CR375" s="21"/>
      <c r="CS375" s="21"/>
    </row>
    <row r="376" spans="1:97" x14ac:dyDescent="0.25">
      <c r="A376" s="1">
        <f t="shared" si="143"/>
        <v>350</v>
      </c>
      <c r="B376" s="19">
        <f t="shared" si="144"/>
        <v>127.10055850316742</v>
      </c>
      <c r="C376" s="18">
        <f t="shared" si="158"/>
        <v>5.3203383476867598</v>
      </c>
      <c r="D376" s="2">
        <f t="shared" si="137"/>
        <v>0.93390964087254058</v>
      </c>
      <c r="E376" s="18">
        <f t="shared" si="145"/>
        <v>5.3359035083679691</v>
      </c>
      <c r="F376" s="21">
        <f t="shared" si="138"/>
        <v>2.1227326510410123</v>
      </c>
      <c r="G376" s="1">
        <f t="shared" si="139"/>
        <v>0</v>
      </c>
      <c r="H376" s="2">
        <f t="shared" si="135"/>
        <v>295.72502279335777</v>
      </c>
      <c r="I376" s="19">
        <f t="shared" si="161"/>
        <v>128.01949038673496</v>
      </c>
      <c r="J376" s="20">
        <f t="shared" si="140"/>
        <v>0.92405578404248323</v>
      </c>
      <c r="K376" s="21">
        <f t="shared" si="141"/>
        <v>108.04433486952387</v>
      </c>
      <c r="L376" s="21">
        <f t="shared" si="136"/>
        <v>1.6689133039878457</v>
      </c>
      <c r="M376" s="2">
        <f t="shared" si="146"/>
        <v>83.98930867053511</v>
      </c>
      <c r="N376" s="19">
        <f t="shared" si="159"/>
        <v>317.46219983791133</v>
      </c>
      <c r="O376" s="1">
        <f t="shared" si="147"/>
        <v>350</v>
      </c>
      <c r="P376" s="19">
        <f t="shared" si="148"/>
        <v>242.82831883786923</v>
      </c>
      <c r="Q376" s="18">
        <f t="shared" si="149"/>
        <v>6.8614804202298521</v>
      </c>
      <c r="R376" s="2">
        <f t="shared" si="150"/>
        <v>0.94608007522930437</v>
      </c>
      <c r="S376" s="18">
        <f t="shared" si="151"/>
        <v>6.8772484214836735</v>
      </c>
      <c r="T376" s="18">
        <f t="shared" si="152"/>
        <v>3.4984273301234792</v>
      </c>
      <c r="U376" s="1">
        <f t="shared" si="142"/>
        <v>0</v>
      </c>
      <c r="V376" s="2">
        <f t="shared" si="153"/>
        <v>564.43184384560141</v>
      </c>
      <c r="W376" s="19">
        <f t="shared" si="154"/>
        <v>244.3427895435504</v>
      </c>
      <c r="X376" s="20"/>
      <c r="Y376" s="2">
        <f t="shared" si="155"/>
        <v>224.39438838514531</v>
      </c>
      <c r="Z376" s="21">
        <f t="shared" si="156"/>
        <v>2.772344949512032</v>
      </c>
      <c r="AA376" s="2">
        <f t="shared" si="157"/>
        <v>175.97136505718507</v>
      </c>
      <c r="AB376" s="19">
        <f t="shared" si="160"/>
        <v>74.139144420315361</v>
      </c>
      <c r="AC376" s="2"/>
      <c r="AD376" s="18"/>
      <c r="AE376" s="118"/>
      <c r="AG376" s="2"/>
      <c r="AH376" s="19"/>
      <c r="AI376" s="20"/>
      <c r="AJ376" s="21"/>
      <c r="AK376" s="21"/>
      <c r="AM376" s="19"/>
      <c r="AN376" s="18"/>
      <c r="AO376" s="2"/>
      <c r="AP376" s="18"/>
      <c r="AQ376" s="118"/>
      <c r="AS376" s="2"/>
      <c r="AT376" s="19"/>
      <c r="AU376" s="20"/>
      <c r="AV376" s="21"/>
      <c r="AW376" s="21"/>
      <c r="AY376" s="19"/>
      <c r="AZ376" s="18"/>
      <c r="BA376" s="2"/>
      <c r="BB376" s="18"/>
      <c r="BC376" s="118"/>
      <c r="BE376" s="2"/>
      <c r="BF376" s="19"/>
      <c r="BG376" s="20"/>
      <c r="BH376" s="21"/>
      <c r="BI376" s="21"/>
      <c r="BK376" s="19"/>
      <c r="BL376" s="18"/>
      <c r="BM376" s="2"/>
      <c r="BN376" s="18"/>
      <c r="BO376" s="118"/>
      <c r="BQ376" s="2"/>
      <c r="BR376" s="19"/>
      <c r="BS376" s="20"/>
      <c r="BT376" s="21"/>
      <c r="BU376" s="21"/>
      <c r="BW376" s="19"/>
      <c r="BX376" s="18"/>
      <c r="BY376" s="2"/>
      <c r="BZ376" s="18"/>
      <c r="CA376" s="118"/>
      <c r="CC376" s="2"/>
      <c r="CD376" s="19"/>
      <c r="CE376" s="20"/>
      <c r="CF376" s="21"/>
      <c r="CG376" s="21"/>
      <c r="CI376" s="19"/>
      <c r="CJ376" s="18"/>
      <c r="CK376" s="2"/>
      <c r="CL376" s="18"/>
      <c r="CM376" s="118"/>
      <c r="CO376" s="2"/>
      <c r="CP376" s="19"/>
      <c r="CQ376" s="20"/>
      <c r="CR376" s="21"/>
      <c r="CS376" s="21"/>
    </row>
    <row r="377" spans="1:97" x14ac:dyDescent="0.25">
      <c r="A377" s="1">
        <f t="shared" si="143"/>
        <v>351</v>
      </c>
      <c r="B377" s="19">
        <f t="shared" si="144"/>
        <v>128.01949038673496</v>
      </c>
      <c r="C377" s="18">
        <f t="shared" si="158"/>
        <v>5.3359035083679691</v>
      </c>
      <c r="D377" s="2">
        <f t="shared" si="137"/>
        <v>0.93404420730713722</v>
      </c>
      <c r="E377" s="18">
        <f t="shared" si="145"/>
        <v>5.3514709118230881</v>
      </c>
      <c r="F377" s="21">
        <f t="shared" si="138"/>
        <v>2.1349400193891452</v>
      </c>
      <c r="G377" s="1">
        <f t="shared" si="139"/>
        <v>0</v>
      </c>
      <c r="H377" s="2">
        <f t="shared" si="135"/>
        <v>297.85996281274691</v>
      </c>
      <c r="I377" s="19">
        <f t="shared" si="161"/>
        <v>128.94370684534499</v>
      </c>
      <c r="J377" s="20">
        <f t="shared" si="140"/>
        <v>0.92399268938854806</v>
      </c>
      <c r="K377" s="21">
        <f t="shared" si="141"/>
        <v>108.96876389791936</v>
      </c>
      <c r="L377" s="21">
        <f t="shared" si="136"/>
        <v>1.6786655589643691</v>
      </c>
      <c r="M377" s="2">
        <f t="shared" si="146"/>
        <v>84.716003717705831</v>
      </c>
      <c r="N377" s="19">
        <f t="shared" si="159"/>
        <v>317.60097934820908</v>
      </c>
      <c r="O377" s="1">
        <f t="shared" si="147"/>
        <v>351</v>
      </c>
      <c r="P377" s="19">
        <f t="shared" si="148"/>
        <v>244.3427895435504</v>
      </c>
      <c r="Q377" s="18">
        <f t="shared" si="149"/>
        <v>6.8772484214836735</v>
      </c>
      <c r="R377" s="2">
        <f t="shared" si="150"/>
        <v>0.9461977262343052</v>
      </c>
      <c r="S377" s="18">
        <f t="shared" si="151"/>
        <v>6.8930183835875782</v>
      </c>
      <c r="T377" s="18">
        <f t="shared" si="152"/>
        <v>3.5142427329950126</v>
      </c>
      <c r="U377" s="1">
        <f t="shared" si="142"/>
        <v>0</v>
      </c>
      <c r="V377" s="2">
        <f t="shared" si="153"/>
        <v>567.94608657859646</v>
      </c>
      <c r="W377" s="19">
        <f t="shared" si="154"/>
        <v>245.86410674398115</v>
      </c>
      <c r="X377" s="20"/>
      <c r="Y377" s="2">
        <f t="shared" si="155"/>
        <v>225.91605548853215</v>
      </c>
      <c r="Z377" s="21">
        <f t="shared" si="156"/>
        <v>2.785073848689005</v>
      </c>
      <c r="AA377" s="2">
        <f t="shared" si="157"/>
        <v>177.17702473194223</v>
      </c>
      <c r="AB377" s="19">
        <f t="shared" si="160"/>
        <v>74.246820343955704</v>
      </c>
      <c r="AC377" s="2"/>
      <c r="AD377" s="18"/>
      <c r="AE377" s="118"/>
      <c r="AG377" s="2"/>
      <c r="AH377" s="19"/>
      <c r="AI377" s="20"/>
      <c r="AJ377" s="21"/>
      <c r="AK377" s="21"/>
      <c r="AM377" s="19"/>
      <c r="AN377" s="18"/>
      <c r="AO377" s="2"/>
      <c r="AP377" s="18"/>
      <c r="AQ377" s="118"/>
      <c r="AS377" s="2"/>
      <c r="AT377" s="19"/>
      <c r="AU377" s="20"/>
      <c r="AV377" s="21"/>
      <c r="AW377" s="21"/>
      <c r="AY377" s="19"/>
      <c r="AZ377" s="18"/>
      <c r="BA377" s="2"/>
      <c r="BB377" s="18"/>
      <c r="BC377" s="118"/>
      <c r="BE377" s="2"/>
      <c r="BF377" s="19"/>
      <c r="BG377" s="20"/>
      <c r="BH377" s="21"/>
      <c r="BI377" s="21"/>
      <c r="BK377" s="19"/>
      <c r="BL377" s="18"/>
      <c r="BM377" s="2"/>
      <c r="BN377" s="18"/>
      <c r="BO377" s="118"/>
      <c r="BQ377" s="2"/>
      <c r="BR377" s="19"/>
      <c r="BS377" s="20"/>
      <c r="BT377" s="21"/>
      <c r="BU377" s="21"/>
      <c r="BW377" s="19"/>
      <c r="BX377" s="18"/>
      <c r="BY377" s="2"/>
      <c r="BZ377" s="18"/>
      <c r="CA377" s="118"/>
      <c r="CC377" s="2"/>
      <c r="CD377" s="19"/>
      <c r="CE377" s="20"/>
      <c r="CF377" s="21"/>
      <c r="CG377" s="21"/>
      <c r="CI377" s="19"/>
      <c r="CJ377" s="18"/>
      <c r="CK377" s="2"/>
      <c r="CL377" s="18"/>
      <c r="CM377" s="118"/>
      <c r="CO377" s="2"/>
      <c r="CP377" s="19"/>
      <c r="CQ377" s="20"/>
      <c r="CR377" s="21"/>
      <c r="CS377" s="21"/>
    </row>
    <row r="378" spans="1:97" x14ac:dyDescent="0.25">
      <c r="A378" s="1">
        <f t="shared" si="143"/>
        <v>352</v>
      </c>
      <c r="B378" s="19">
        <f t="shared" si="144"/>
        <v>128.94370684534499</v>
      </c>
      <c r="C378" s="18">
        <f t="shared" si="158"/>
        <v>5.3514709118230881</v>
      </c>
      <c r="D378" s="2">
        <f t="shared" si="137"/>
        <v>0.93417859617872545</v>
      </c>
      <c r="E378" s="18">
        <f t="shared" si="145"/>
        <v>5.3670405550927338</v>
      </c>
      <c r="F378" s="21">
        <f t="shared" si="138"/>
        <v>2.1471836546099192</v>
      </c>
      <c r="G378" s="1">
        <f t="shared" si="139"/>
        <v>0</v>
      </c>
      <c r="H378" s="2">
        <f t="shared" si="135"/>
        <v>300.00714646735685</v>
      </c>
      <c r="I378" s="19">
        <f t="shared" si="161"/>
        <v>129.87322357894234</v>
      </c>
      <c r="J378" s="20">
        <f t="shared" si="140"/>
        <v>0.92392957517242402</v>
      </c>
      <c r="K378" s="21">
        <f t="shared" si="141"/>
        <v>109.89849442036545</v>
      </c>
      <c r="L378" s="21">
        <f t="shared" si="136"/>
        <v>1.6884476337989502</v>
      </c>
      <c r="M378" s="2">
        <f t="shared" si="146"/>
        <v>85.446933429307109</v>
      </c>
      <c r="N378" s="19">
        <f t="shared" si="159"/>
        <v>317.73935514957077</v>
      </c>
      <c r="O378" s="1">
        <f t="shared" si="147"/>
        <v>352</v>
      </c>
      <c r="P378" s="19">
        <f t="shared" si="148"/>
        <v>245.86410674398115</v>
      </c>
      <c r="Q378" s="18">
        <f t="shared" si="149"/>
        <v>6.8930183835875782</v>
      </c>
      <c r="R378" s="2">
        <f t="shared" si="150"/>
        <v>0.94631519180712842</v>
      </c>
      <c r="S378" s="18">
        <f t="shared" si="151"/>
        <v>6.9087903034510303</v>
      </c>
      <c r="T378" s="18">
        <f t="shared" si="152"/>
        <v>3.5300952827000254</v>
      </c>
      <c r="U378" s="1">
        <f t="shared" si="142"/>
        <v>0</v>
      </c>
      <c r="V378" s="2">
        <f t="shared" si="153"/>
        <v>571.47618186129648</v>
      </c>
      <c r="W378" s="19">
        <f t="shared" si="154"/>
        <v>247.39228652004175</v>
      </c>
      <c r="X378" s="20"/>
      <c r="Y378" s="2">
        <f t="shared" si="155"/>
        <v>227.44458674594125</v>
      </c>
      <c r="Z378" s="21">
        <f t="shared" si="156"/>
        <v>2.7978334882601628</v>
      </c>
      <c r="AA378" s="2">
        <f t="shared" si="157"/>
        <v>178.38820806019339</v>
      </c>
      <c r="AB378" s="19">
        <f t="shared" si="160"/>
        <v>74.354249924827059</v>
      </c>
      <c r="AC378" s="2"/>
      <c r="AD378" s="18"/>
      <c r="AE378" s="118"/>
      <c r="AG378" s="2"/>
      <c r="AH378" s="19"/>
      <c r="AI378" s="20"/>
      <c r="AJ378" s="21"/>
      <c r="AK378" s="21"/>
      <c r="AM378" s="19"/>
      <c r="AN378" s="18"/>
      <c r="AO378" s="2"/>
      <c r="AP378" s="18"/>
      <c r="AQ378" s="118"/>
      <c r="AS378" s="2"/>
      <c r="AT378" s="19"/>
      <c r="AU378" s="20"/>
      <c r="AV378" s="21"/>
      <c r="AW378" s="21"/>
      <c r="AY378" s="19"/>
      <c r="AZ378" s="18"/>
      <c r="BA378" s="2"/>
      <c r="BB378" s="18"/>
      <c r="BC378" s="118"/>
      <c r="BE378" s="2"/>
      <c r="BF378" s="19"/>
      <c r="BG378" s="20"/>
      <c r="BH378" s="21"/>
      <c r="BI378" s="21"/>
      <c r="BK378" s="19"/>
      <c r="BL378" s="18"/>
      <c r="BM378" s="2"/>
      <c r="BN378" s="18"/>
      <c r="BO378" s="118"/>
      <c r="BQ378" s="2"/>
      <c r="BR378" s="19"/>
      <c r="BS378" s="20"/>
      <c r="BT378" s="21"/>
      <c r="BU378" s="21"/>
      <c r="BW378" s="19"/>
      <c r="BX378" s="18"/>
      <c r="BY378" s="2"/>
      <c r="BZ378" s="18"/>
      <c r="CA378" s="118"/>
      <c r="CC378" s="2"/>
      <c r="CD378" s="19"/>
      <c r="CE378" s="20"/>
      <c r="CF378" s="21"/>
      <c r="CG378" s="21"/>
      <c r="CI378" s="19"/>
      <c r="CJ378" s="18"/>
      <c r="CK378" s="2"/>
      <c r="CL378" s="18"/>
      <c r="CM378" s="118"/>
      <c r="CO378" s="2"/>
      <c r="CP378" s="19"/>
      <c r="CQ378" s="20"/>
      <c r="CR378" s="21"/>
      <c r="CS378" s="21"/>
    </row>
    <row r="379" spans="1:97" x14ac:dyDescent="0.25">
      <c r="A379" s="1">
        <f t="shared" si="143"/>
        <v>353</v>
      </c>
      <c r="B379" s="19">
        <f t="shared" si="144"/>
        <v>129.87322357894234</v>
      </c>
      <c r="C379" s="18">
        <f t="shared" si="158"/>
        <v>5.3670405550927338</v>
      </c>
      <c r="D379" s="2">
        <f t="shared" si="137"/>
        <v>0.9343128069884451</v>
      </c>
      <c r="E379" s="18">
        <f t="shared" si="145"/>
        <v>5.3826124352092082</v>
      </c>
      <c r="F379" s="21">
        <f t="shared" si="138"/>
        <v>2.1594635666342903</v>
      </c>
      <c r="G379" s="1">
        <f t="shared" si="139"/>
        <v>0</v>
      </c>
      <c r="H379" s="2">
        <f t="shared" si="135"/>
        <v>302.16661003399116</v>
      </c>
      <c r="I379" s="19">
        <f t="shared" si="161"/>
        <v>130.80805629177107</v>
      </c>
      <c r="J379" s="20">
        <f t="shared" si="140"/>
        <v>0.92386644215202918</v>
      </c>
      <c r="K379" s="21">
        <f t="shared" si="141"/>
        <v>110.83354214471809</v>
      </c>
      <c r="L379" s="21">
        <f t="shared" si="136"/>
        <v>1.698259538883703</v>
      </c>
      <c r="M379" s="2">
        <f t="shared" si="146"/>
        <v>86.18211071886715</v>
      </c>
      <c r="N379" s="19">
        <f t="shared" si="159"/>
        <v>317.87732952637788</v>
      </c>
      <c r="O379" s="1">
        <f t="shared" si="147"/>
        <v>353</v>
      </c>
      <c r="P379" s="19">
        <f t="shared" si="148"/>
        <v>247.39228652004175</v>
      </c>
      <c r="Q379" s="18">
        <f t="shared" si="149"/>
        <v>6.9087903034510303</v>
      </c>
      <c r="R379" s="2">
        <f t="shared" si="150"/>
        <v>0.94643247231243033</v>
      </c>
      <c r="S379" s="18">
        <f t="shared" si="151"/>
        <v>6.9245641779895708</v>
      </c>
      <c r="T379" s="18">
        <f t="shared" si="152"/>
        <v>3.545984987193139</v>
      </c>
      <c r="U379" s="1">
        <f t="shared" si="142"/>
        <v>0</v>
      </c>
      <c r="V379" s="2">
        <f t="shared" si="153"/>
        <v>575.02216684848963</v>
      </c>
      <c r="W379" s="19">
        <f t="shared" si="154"/>
        <v>248.92734495605612</v>
      </c>
      <c r="X379" s="20"/>
      <c r="Y379" s="2">
        <f t="shared" si="155"/>
        <v>228.97999824539588</v>
      </c>
      <c r="Z379" s="21">
        <f t="shared" si="156"/>
        <v>2.8106238765811749</v>
      </c>
      <c r="AA379" s="2">
        <f t="shared" si="157"/>
        <v>179.60492835308568</v>
      </c>
      <c r="AB379" s="19">
        <f t="shared" si="160"/>
        <v>74.461434257157634</v>
      </c>
      <c r="AC379" s="2"/>
      <c r="AD379" s="18"/>
      <c r="AE379" s="118"/>
      <c r="AG379" s="2"/>
      <c r="AH379" s="19"/>
      <c r="AI379" s="20"/>
      <c r="AJ379" s="21"/>
      <c r="AK379" s="21"/>
      <c r="AM379" s="19"/>
      <c r="AN379" s="18"/>
      <c r="AO379" s="2"/>
      <c r="AP379" s="18"/>
      <c r="AQ379" s="118"/>
      <c r="AS379" s="2"/>
      <c r="AT379" s="19"/>
      <c r="AU379" s="20"/>
      <c r="AV379" s="21"/>
      <c r="AW379" s="21"/>
      <c r="AY379" s="19"/>
      <c r="AZ379" s="18"/>
      <c r="BA379" s="2"/>
      <c r="BB379" s="18"/>
      <c r="BC379" s="118"/>
      <c r="BE379" s="2"/>
      <c r="BF379" s="19"/>
      <c r="BG379" s="20"/>
      <c r="BH379" s="21"/>
      <c r="BI379" s="21"/>
      <c r="BK379" s="19"/>
      <c r="BL379" s="18"/>
      <c r="BM379" s="2"/>
      <c r="BN379" s="18"/>
      <c r="BO379" s="118"/>
      <c r="BQ379" s="2"/>
      <c r="BR379" s="19"/>
      <c r="BS379" s="20"/>
      <c r="BT379" s="21"/>
      <c r="BU379" s="21"/>
      <c r="BW379" s="19"/>
      <c r="BX379" s="18"/>
      <c r="BY379" s="2"/>
      <c r="BZ379" s="18"/>
      <c r="CA379" s="118"/>
      <c r="CC379" s="2"/>
      <c r="CD379" s="19"/>
      <c r="CE379" s="20"/>
      <c r="CF379" s="21"/>
      <c r="CG379" s="21"/>
      <c r="CI379" s="19"/>
      <c r="CJ379" s="18"/>
      <c r="CK379" s="2"/>
      <c r="CL379" s="18"/>
      <c r="CM379" s="118"/>
      <c r="CO379" s="2"/>
      <c r="CP379" s="19"/>
      <c r="CQ379" s="20"/>
      <c r="CR379" s="21"/>
      <c r="CS379" s="21"/>
    </row>
    <row r="380" spans="1:97" x14ac:dyDescent="0.25">
      <c r="A380" s="1">
        <f t="shared" si="143"/>
        <v>354</v>
      </c>
      <c r="B380" s="19">
        <f t="shared" si="144"/>
        <v>130.80805629177107</v>
      </c>
      <c r="C380" s="18">
        <f t="shared" si="158"/>
        <v>5.3826124352092082</v>
      </c>
      <c r="D380" s="2">
        <f t="shared" si="137"/>
        <v>0.93444683925470418</v>
      </c>
      <c r="E380" s="18">
        <f t="shared" si="145"/>
        <v>5.3981865491967866</v>
      </c>
      <c r="F380" s="21">
        <f t="shared" si="138"/>
        <v>2.1717797653691409</v>
      </c>
      <c r="G380" s="1">
        <f t="shared" si="139"/>
        <v>0</v>
      </c>
      <c r="H380" s="2">
        <f t="shared" si="135"/>
        <v>304.3383897993603</v>
      </c>
      <c r="I380" s="19">
        <f t="shared" si="161"/>
        <v>131.74822069236376</v>
      </c>
      <c r="J380" s="20">
        <f t="shared" si="140"/>
        <v>0.923803291077818</v>
      </c>
      <c r="K380" s="21">
        <f t="shared" si="141"/>
        <v>111.77392278312293</v>
      </c>
      <c r="L380" s="21">
        <f t="shared" si="136"/>
        <v>1.7081012845857531</v>
      </c>
      <c r="M380" s="2">
        <f t="shared" si="146"/>
        <v>86.921548504402111</v>
      </c>
      <c r="N380" s="19">
        <f t="shared" si="159"/>
        <v>318.01490474376556</v>
      </c>
      <c r="O380" s="1">
        <f t="shared" si="147"/>
        <v>354</v>
      </c>
      <c r="P380" s="19">
        <f t="shared" si="148"/>
        <v>248.92734495605612</v>
      </c>
      <c r="Q380" s="18">
        <f t="shared" si="149"/>
        <v>6.9245641779895708</v>
      </c>
      <c r="R380" s="2">
        <f t="shared" si="150"/>
        <v>0.94654956811634861</v>
      </c>
      <c r="S380" s="18">
        <f t="shared" si="151"/>
        <v>6.9403400041248435</v>
      </c>
      <c r="T380" s="18">
        <f t="shared" si="152"/>
        <v>3.5619118544130544</v>
      </c>
      <c r="U380" s="1">
        <f t="shared" si="142"/>
        <v>0</v>
      </c>
      <c r="V380" s="2">
        <f t="shared" si="153"/>
        <v>578.58407870290273</v>
      </c>
      <c r="W380" s="19">
        <f t="shared" si="154"/>
        <v>250.46929813978471</v>
      </c>
      <c r="X380" s="20"/>
      <c r="Y380" s="2">
        <f t="shared" si="155"/>
        <v>230.52230607835673</v>
      </c>
      <c r="Z380" s="21">
        <f t="shared" si="156"/>
        <v>2.8234450219912</v>
      </c>
      <c r="AA380" s="2">
        <f t="shared" si="157"/>
        <v>180.82719892537625</v>
      </c>
      <c r="AB380" s="19">
        <f t="shared" si="160"/>
        <v>74.56837442795441</v>
      </c>
      <c r="AC380" s="2"/>
      <c r="AD380" s="18"/>
      <c r="AE380" s="118"/>
      <c r="AG380" s="2"/>
      <c r="AH380" s="19"/>
      <c r="AI380" s="20"/>
      <c r="AJ380" s="21"/>
      <c r="AK380" s="21"/>
      <c r="AM380" s="19"/>
      <c r="AN380" s="18"/>
      <c r="AO380" s="2"/>
      <c r="AP380" s="18"/>
      <c r="AQ380" s="118"/>
      <c r="AS380" s="2"/>
      <c r="AT380" s="19"/>
      <c r="AU380" s="20"/>
      <c r="AV380" s="21"/>
      <c r="AW380" s="21"/>
      <c r="AY380" s="19"/>
      <c r="AZ380" s="18"/>
      <c r="BA380" s="2"/>
      <c r="BB380" s="18"/>
      <c r="BC380" s="118"/>
      <c r="BE380" s="2"/>
      <c r="BF380" s="19"/>
      <c r="BG380" s="20"/>
      <c r="BH380" s="21"/>
      <c r="BI380" s="21"/>
      <c r="BK380" s="19"/>
      <c r="BL380" s="18"/>
      <c r="BM380" s="2"/>
      <c r="BN380" s="18"/>
      <c r="BO380" s="118"/>
      <c r="BQ380" s="2"/>
      <c r="BR380" s="19"/>
      <c r="BS380" s="20"/>
      <c r="BT380" s="21"/>
      <c r="BU380" s="21"/>
      <c r="BW380" s="19"/>
      <c r="BX380" s="18"/>
      <c r="BY380" s="2"/>
      <c r="BZ380" s="18"/>
      <c r="CA380" s="118"/>
      <c r="CC380" s="2"/>
      <c r="CD380" s="19"/>
      <c r="CE380" s="20"/>
      <c r="CF380" s="21"/>
      <c r="CG380" s="21"/>
      <c r="CI380" s="19"/>
      <c r="CJ380" s="18"/>
      <c r="CK380" s="2"/>
      <c r="CL380" s="18"/>
      <c r="CM380" s="118"/>
      <c r="CO380" s="2"/>
      <c r="CP380" s="19"/>
      <c r="CQ380" s="20"/>
      <c r="CR380" s="21"/>
      <c r="CS380" s="21"/>
    </row>
    <row r="381" spans="1:97" x14ac:dyDescent="0.25">
      <c r="A381" s="1">
        <f t="shared" si="143"/>
        <v>355</v>
      </c>
      <c r="B381" s="19">
        <f t="shared" si="144"/>
        <v>131.74822069236376</v>
      </c>
      <c r="C381" s="18">
        <f t="shared" si="158"/>
        <v>5.3981865491967866</v>
      </c>
      <c r="D381" s="2">
        <f t="shared" si="137"/>
        <v>0.93458069251288545</v>
      </c>
      <c r="E381" s="18">
        <f t="shared" si="145"/>
        <v>5.4137628940720015</v>
      </c>
      <c r="F381" s="21">
        <f t="shared" si="138"/>
        <v>2.184132260697365</v>
      </c>
      <c r="G381" s="1">
        <f t="shared" si="139"/>
        <v>0</v>
      </c>
      <c r="H381" s="2">
        <f t="shared" si="135"/>
        <v>306.52252206005767</v>
      </c>
      <c r="I381" s="19">
        <f t="shared" si="161"/>
        <v>132.69373249353146</v>
      </c>
      <c r="J381" s="20">
        <f t="shared" si="140"/>
        <v>0.92374012269283734</v>
      </c>
      <c r="K381" s="21">
        <f t="shared" si="141"/>
        <v>112.71965205200489</v>
      </c>
      <c r="L381" s="21">
        <f t="shared" si="136"/>
        <v>1.7179728812473349</v>
      </c>
      <c r="M381" s="2">
        <f t="shared" si="146"/>
        <v>87.665259708405287</v>
      </c>
      <c r="N381" s="19">
        <f t="shared" si="159"/>
        <v>318.15208304783835</v>
      </c>
      <c r="O381" s="1">
        <f t="shared" si="147"/>
        <v>355</v>
      </c>
      <c r="P381" s="19">
        <f t="shared" si="148"/>
        <v>250.46929813978471</v>
      </c>
      <c r="Q381" s="18">
        <f t="shared" si="149"/>
        <v>6.9403400041248435</v>
      </c>
      <c r="R381" s="2">
        <f t="shared" si="150"/>
        <v>0.946666479586452</v>
      </c>
      <c r="S381" s="18">
        <f t="shared" si="151"/>
        <v>6.956117778784618</v>
      </c>
      <c r="T381" s="18">
        <f t="shared" si="152"/>
        <v>3.5778758922826266</v>
      </c>
      <c r="U381" s="1">
        <f t="shared" si="142"/>
        <v>0</v>
      </c>
      <c r="V381" s="2">
        <f t="shared" si="153"/>
        <v>582.16195459518531</v>
      </c>
      <c r="W381" s="19">
        <f t="shared" si="154"/>
        <v>252.01816216241787</v>
      </c>
      <c r="X381" s="20"/>
      <c r="Y381" s="2">
        <f t="shared" si="155"/>
        <v>232.07152633971512</v>
      </c>
      <c r="Z381" s="21">
        <f t="shared" si="156"/>
        <v>2.8362969328129646</v>
      </c>
      <c r="AA381" s="2">
        <f t="shared" si="157"/>
        <v>182.05503309542516</v>
      </c>
      <c r="AB381" s="19">
        <f t="shared" si="160"/>
        <v>74.675071517066371</v>
      </c>
      <c r="AC381" s="2"/>
      <c r="AD381" s="18"/>
      <c r="AE381" s="118"/>
      <c r="AG381" s="2"/>
      <c r="AH381" s="19"/>
      <c r="AI381" s="20"/>
      <c r="AJ381" s="21"/>
      <c r="AK381" s="21"/>
      <c r="AM381" s="19"/>
      <c r="AN381" s="18"/>
      <c r="AO381" s="2"/>
      <c r="AP381" s="18"/>
      <c r="AQ381" s="118"/>
      <c r="AS381" s="2"/>
      <c r="AT381" s="19"/>
      <c r="AU381" s="20"/>
      <c r="AV381" s="21"/>
      <c r="AW381" s="21"/>
      <c r="AY381" s="19"/>
      <c r="AZ381" s="18"/>
      <c r="BA381" s="2"/>
      <c r="BB381" s="18"/>
      <c r="BC381" s="118"/>
      <c r="BE381" s="2"/>
      <c r="BF381" s="19"/>
      <c r="BG381" s="20"/>
      <c r="BH381" s="21"/>
      <c r="BI381" s="21"/>
      <c r="BK381" s="19"/>
      <c r="BL381" s="18"/>
      <c r="BM381" s="2"/>
      <c r="BN381" s="18"/>
      <c r="BO381" s="118"/>
      <c r="BQ381" s="2"/>
      <c r="BR381" s="19"/>
      <c r="BS381" s="20"/>
      <c r="BT381" s="21"/>
      <c r="BU381" s="21"/>
      <c r="BW381" s="19"/>
      <c r="BX381" s="18"/>
      <c r="BY381" s="2"/>
      <c r="BZ381" s="18"/>
      <c r="CA381" s="118"/>
      <c r="CC381" s="2"/>
      <c r="CD381" s="19"/>
      <c r="CE381" s="20"/>
      <c r="CF381" s="21"/>
      <c r="CG381" s="21"/>
      <c r="CI381" s="19"/>
      <c r="CJ381" s="18"/>
      <c r="CK381" s="2"/>
      <c r="CL381" s="18"/>
      <c r="CM381" s="118"/>
      <c r="CO381" s="2"/>
      <c r="CP381" s="19"/>
      <c r="CQ381" s="20"/>
      <c r="CR381" s="21"/>
      <c r="CS381" s="21"/>
    </row>
    <row r="382" spans="1:97" x14ac:dyDescent="0.25">
      <c r="A382" s="1">
        <f t="shared" si="143"/>
        <v>356</v>
      </c>
      <c r="B382" s="19">
        <f t="shared" si="144"/>
        <v>132.69373249353146</v>
      </c>
      <c r="C382" s="18">
        <f t="shared" si="158"/>
        <v>5.4137628940720015</v>
      </c>
      <c r="D382" s="2">
        <f t="shared" si="137"/>
        <v>0.93471436631505656</v>
      </c>
      <c r="E382" s="18">
        <f t="shared" si="145"/>
        <v>5.4293414668439191</v>
      </c>
      <c r="F382" s="21">
        <f t="shared" si="138"/>
        <v>2.1965210624779603</v>
      </c>
      <c r="G382" s="1">
        <f t="shared" si="139"/>
        <v>0</v>
      </c>
      <c r="H382" s="2">
        <f t="shared" si="135"/>
        <v>308.71904312253565</v>
      </c>
      <c r="I382" s="19">
        <f t="shared" si="161"/>
        <v>133.64460741235308</v>
      </c>
      <c r="J382" s="20">
        <f t="shared" si="140"/>
        <v>0.92367693773278192</v>
      </c>
      <c r="K382" s="21">
        <f t="shared" si="141"/>
        <v>113.67074567205785</v>
      </c>
      <c r="L382" s="21">
        <f t="shared" si="136"/>
        <v>1.7278743391858919</v>
      </c>
      <c r="M382" s="2">
        <f t="shared" si="146"/>
        <v>88.413257257836406</v>
      </c>
      <c r="N382" s="19">
        <f t="shared" si="159"/>
        <v>318.28886666588306</v>
      </c>
      <c r="O382" s="1">
        <f t="shared" si="147"/>
        <v>356</v>
      </c>
      <c r="P382" s="19">
        <f t="shared" si="148"/>
        <v>252.01816216241787</v>
      </c>
      <c r="Q382" s="18">
        <f t="shared" si="149"/>
        <v>6.956117778784618</v>
      </c>
      <c r="R382" s="2">
        <f t="shared" si="150"/>
        <v>0.94678320709168873</v>
      </c>
      <c r="S382" s="18">
        <f t="shared" si="151"/>
        <v>6.9718974989028126</v>
      </c>
      <c r="T382" s="18">
        <f t="shared" si="152"/>
        <v>3.5938771087089281</v>
      </c>
      <c r="U382" s="1">
        <f t="shared" si="142"/>
        <v>0</v>
      </c>
      <c r="V382" s="2">
        <f t="shared" si="153"/>
        <v>585.75583170389427</v>
      </c>
      <c r="W382" s="19">
        <f t="shared" si="154"/>
        <v>253.57395311856894</v>
      </c>
      <c r="X382" s="20"/>
      <c r="Y382" s="2">
        <f t="shared" si="155"/>
        <v>233.62767512778609</v>
      </c>
      <c r="Z382" s="21">
        <f t="shared" si="156"/>
        <v>2.8491796173528239</v>
      </c>
      <c r="AA382" s="2">
        <f t="shared" si="157"/>
        <v>183.2884441851883</v>
      </c>
      <c r="AB382" s="19">
        <f t="shared" si="160"/>
        <v>74.781526597247137</v>
      </c>
      <c r="AC382" s="2"/>
      <c r="AD382" s="18"/>
      <c r="AE382" s="118"/>
      <c r="AG382" s="2"/>
      <c r="AH382" s="19"/>
      <c r="AI382" s="20"/>
      <c r="AJ382" s="21"/>
      <c r="AK382" s="21"/>
      <c r="AM382" s="19"/>
      <c r="AN382" s="18"/>
      <c r="AO382" s="2"/>
      <c r="AP382" s="18"/>
      <c r="AQ382" s="118"/>
      <c r="AS382" s="2"/>
      <c r="AT382" s="19"/>
      <c r="AU382" s="20"/>
      <c r="AV382" s="21"/>
      <c r="AW382" s="21"/>
      <c r="AY382" s="19"/>
      <c r="AZ382" s="18"/>
      <c r="BA382" s="2"/>
      <c r="BB382" s="18"/>
      <c r="BC382" s="118"/>
      <c r="BE382" s="2"/>
      <c r="BF382" s="19"/>
      <c r="BG382" s="20"/>
      <c r="BH382" s="21"/>
      <c r="BI382" s="21"/>
      <c r="BK382" s="19"/>
      <c r="BL382" s="18"/>
      <c r="BM382" s="2"/>
      <c r="BN382" s="18"/>
      <c r="BO382" s="118"/>
      <c r="BQ382" s="2"/>
      <c r="BR382" s="19"/>
      <c r="BS382" s="20"/>
      <c r="BT382" s="21"/>
      <c r="BU382" s="21"/>
      <c r="BW382" s="19"/>
      <c r="BX382" s="18"/>
      <c r="BY382" s="2"/>
      <c r="BZ382" s="18"/>
      <c r="CA382" s="118"/>
      <c r="CC382" s="2"/>
      <c r="CD382" s="19"/>
      <c r="CE382" s="20"/>
      <c r="CF382" s="21"/>
      <c r="CG382" s="21"/>
      <c r="CI382" s="19"/>
      <c r="CJ382" s="18"/>
      <c r="CK382" s="2"/>
      <c r="CL382" s="18"/>
      <c r="CM382" s="118"/>
      <c r="CO382" s="2"/>
      <c r="CP382" s="19"/>
      <c r="CQ382" s="20"/>
      <c r="CR382" s="21"/>
      <c r="CS382" s="21"/>
    </row>
    <row r="383" spans="1:97" x14ac:dyDescent="0.25">
      <c r="A383" s="1">
        <f t="shared" si="143"/>
        <v>357</v>
      </c>
      <c r="B383" s="19">
        <f t="shared" si="144"/>
        <v>133.64460741235308</v>
      </c>
      <c r="C383" s="18">
        <f t="shared" si="158"/>
        <v>5.4293414668439191</v>
      </c>
      <c r="D383" s="2">
        <f t="shared" si="137"/>
        <v>0.9348478602296838</v>
      </c>
      <c r="E383" s="18">
        <f t="shared" si="145"/>
        <v>5.444922264514414</v>
      </c>
      <c r="F383" s="21">
        <f t="shared" si="138"/>
        <v>2.2089461805461177</v>
      </c>
      <c r="G383" s="1">
        <f t="shared" si="139"/>
        <v>0</v>
      </c>
      <c r="H383" s="2">
        <f t="shared" si="135"/>
        <v>310.92798930308174</v>
      </c>
      <c r="I383" s="19">
        <f t="shared" si="161"/>
        <v>134.60086117016525</v>
      </c>
      <c r="J383" s="20">
        <f t="shared" si="140"/>
        <v>0.92361373692604853</v>
      </c>
      <c r="K383" s="21">
        <f t="shared" si="141"/>
        <v>114.62721936823432</v>
      </c>
      <c r="L383" s="21">
        <f t="shared" si="136"/>
        <v>1.7378056686941747</v>
      </c>
      <c r="M383" s="2">
        <f t="shared" si="146"/>
        <v>89.165554084110937</v>
      </c>
      <c r="N383" s="19">
        <f t="shared" si="159"/>
        <v>318.42525780657843</v>
      </c>
      <c r="O383" s="1">
        <f t="shared" si="147"/>
        <v>357</v>
      </c>
      <c r="P383" s="19">
        <f t="shared" si="148"/>
        <v>253.57395311856894</v>
      </c>
      <c r="Q383" s="18">
        <f t="shared" si="149"/>
        <v>6.9718974989028126</v>
      </c>
      <c r="R383" s="2">
        <f t="shared" si="150"/>
        <v>0.94689975100233803</v>
      </c>
      <c r="S383" s="18">
        <f t="shared" si="151"/>
        <v>6.9876791614195186</v>
      </c>
      <c r="T383" s="18">
        <f t="shared" si="152"/>
        <v>3.6099155115833224</v>
      </c>
      <c r="U383" s="1">
        <f t="shared" si="142"/>
        <v>0</v>
      </c>
      <c r="V383" s="2">
        <f t="shared" si="153"/>
        <v>589.36574721547754</v>
      </c>
      <c r="W383" s="19">
        <f t="shared" si="154"/>
        <v>255.13668710626732</v>
      </c>
      <c r="X383" s="20"/>
      <c r="Y383" s="2">
        <f t="shared" si="155"/>
        <v>235.19076854430168</v>
      </c>
      <c r="Z383" s="21">
        <f t="shared" si="156"/>
        <v>2.8620930839008376</v>
      </c>
      <c r="AA383" s="2">
        <f t="shared" si="157"/>
        <v>184.52744552021031</v>
      </c>
      <c r="AB383" s="19">
        <f t="shared" si="160"/>
        <v>74.887740734216862</v>
      </c>
      <c r="AC383" s="2"/>
      <c r="AD383" s="18"/>
      <c r="AE383" s="118"/>
      <c r="AG383" s="2"/>
      <c r="AH383" s="19"/>
      <c r="AI383" s="20"/>
      <c r="AJ383" s="21"/>
      <c r="AK383" s="21"/>
      <c r="AM383" s="19"/>
      <c r="AN383" s="18"/>
      <c r="AO383" s="2"/>
      <c r="AP383" s="18"/>
      <c r="AQ383" s="118"/>
      <c r="AS383" s="2"/>
      <c r="AT383" s="19"/>
      <c r="AU383" s="20"/>
      <c r="AV383" s="21"/>
      <c r="AW383" s="21"/>
      <c r="AY383" s="19"/>
      <c r="AZ383" s="18"/>
      <c r="BA383" s="2"/>
      <c r="BB383" s="18"/>
      <c r="BC383" s="118"/>
      <c r="BE383" s="2"/>
      <c r="BF383" s="19"/>
      <c r="BG383" s="20"/>
      <c r="BH383" s="21"/>
      <c r="BI383" s="21"/>
      <c r="BK383" s="19"/>
      <c r="BL383" s="18"/>
      <c r="BM383" s="2"/>
      <c r="BN383" s="18"/>
      <c r="BO383" s="118"/>
      <c r="BQ383" s="2"/>
      <c r="BR383" s="19"/>
      <c r="BS383" s="20"/>
      <c r="BT383" s="21"/>
      <c r="BU383" s="21"/>
      <c r="BW383" s="19"/>
      <c r="BX383" s="18"/>
      <c r="BY383" s="2"/>
      <c r="BZ383" s="18"/>
      <c r="CA383" s="118"/>
      <c r="CC383" s="2"/>
      <c r="CD383" s="19"/>
      <c r="CE383" s="20"/>
      <c r="CF383" s="21"/>
      <c r="CG383" s="21"/>
      <c r="CI383" s="19"/>
      <c r="CJ383" s="18"/>
      <c r="CK383" s="2"/>
      <c r="CL383" s="18"/>
      <c r="CM383" s="118"/>
      <c r="CO383" s="2"/>
      <c r="CP383" s="19"/>
      <c r="CQ383" s="20"/>
      <c r="CR383" s="21"/>
      <c r="CS383" s="21"/>
    </row>
    <row r="384" spans="1:97" x14ac:dyDescent="0.25">
      <c r="A384" s="1">
        <f t="shared" si="143"/>
        <v>358</v>
      </c>
      <c r="B384" s="19">
        <f t="shared" si="144"/>
        <v>134.60086117016525</v>
      </c>
      <c r="C384" s="18">
        <f t="shared" si="158"/>
        <v>5.444922264514414</v>
      </c>
      <c r="D384" s="2">
        <f t="shared" si="137"/>
        <v>0.93498117384135082</v>
      </c>
      <c r="E384" s="18">
        <f t="shared" si="145"/>
        <v>5.4605052840784367</v>
      </c>
      <c r="F384" s="21">
        <f t="shared" si="138"/>
        <v>2.2214076247133066</v>
      </c>
      <c r="G384" s="1">
        <f t="shared" si="139"/>
        <v>0</v>
      </c>
      <c r="H384" s="2">
        <f t="shared" si="135"/>
        <v>313.14939692779507</v>
      </c>
      <c r="I384" s="19">
        <f t="shared" si="161"/>
        <v>135.56250949255198</v>
      </c>
      <c r="J384" s="20">
        <f t="shared" si="140"/>
        <v>0.9235505209937932</v>
      </c>
      <c r="K384" s="21">
        <f t="shared" si="141"/>
        <v>115.58908886973518</v>
      </c>
      <c r="L384" s="21">
        <f t="shared" si="136"/>
        <v>1.7477668800403381</v>
      </c>
      <c r="M384" s="2">
        <f t="shared" si="146"/>
        <v>89.922163123089433</v>
      </c>
      <c r="N384" s="19">
        <f t="shared" si="159"/>
        <v>318.56125866020187</v>
      </c>
      <c r="O384" s="1">
        <f t="shared" si="147"/>
        <v>358</v>
      </c>
      <c r="P384" s="19">
        <f t="shared" si="148"/>
        <v>255.13668710626732</v>
      </c>
      <c r="Q384" s="18">
        <f t="shared" si="149"/>
        <v>6.9876791614195186</v>
      </c>
      <c r="R384" s="2">
        <f t="shared" si="150"/>
        <v>0.94701611168996047</v>
      </c>
      <c r="S384" s="18">
        <f t="shared" si="151"/>
        <v>7.0034627632810178</v>
      </c>
      <c r="T384" s="18">
        <f t="shared" si="152"/>
        <v>3.6259911087815202</v>
      </c>
      <c r="U384" s="1">
        <f t="shared" si="142"/>
        <v>0</v>
      </c>
      <c r="V384" s="2">
        <f t="shared" si="153"/>
        <v>592.99173832425902</v>
      </c>
      <c r="W384" s="19">
        <f t="shared" si="154"/>
        <v>256.70638022695192</v>
      </c>
      <c r="X384" s="20"/>
      <c r="Y384" s="2">
        <f t="shared" si="155"/>
        <v>236.76082269440408</v>
      </c>
      <c r="Z384" s="21">
        <f t="shared" si="156"/>
        <v>2.8750373407308296</v>
      </c>
      <c r="AA384" s="2">
        <f t="shared" si="157"/>
        <v>185.77205042961759</v>
      </c>
      <c r="AB384" s="19">
        <f t="shared" si="160"/>
        <v>74.993714986723461</v>
      </c>
      <c r="AC384" s="2"/>
      <c r="AD384" s="18"/>
      <c r="AE384" s="118"/>
      <c r="AG384" s="2"/>
      <c r="AH384" s="19"/>
      <c r="AI384" s="20"/>
      <c r="AJ384" s="21"/>
      <c r="AK384" s="21"/>
      <c r="AM384" s="19"/>
      <c r="AN384" s="18"/>
      <c r="AO384" s="2"/>
      <c r="AP384" s="18"/>
      <c r="AQ384" s="118"/>
      <c r="AS384" s="2"/>
      <c r="AT384" s="19"/>
      <c r="AU384" s="20"/>
      <c r="AV384" s="21"/>
      <c r="AW384" s="21"/>
      <c r="AY384" s="19"/>
      <c r="AZ384" s="18"/>
      <c r="BA384" s="2"/>
      <c r="BB384" s="18"/>
      <c r="BC384" s="118"/>
      <c r="BE384" s="2"/>
      <c r="BF384" s="19"/>
      <c r="BG384" s="20"/>
      <c r="BH384" s="21"/>
      <c r="BI384" s="21"/>
      <c r="BK384" s="19"/>
      <c r="BL384" s="18"/>
      <c r="BM384" s="2"/>
      <c r="BN384" s="18"/>
      <c r="BO384" s="118"/>
      <c r="BQ384" s="2"/>
      <c r="BR384" s="19"/>
      <c r="BS384" s="20"/>
      <c r="BT384" s="21"/>
      <c r="BU384" s="21"/>
      <c r="BW384" s="19"/>
      <c r="BX384" s="18"/>
      <c r="BY384" s="2"/>
      <c r="BZ384" s="18"/>
      <c r="CA384" s="118"/>
      <c r="CC384" s="2"/>
      <c r="CD384" s="19"/>
      <c r="CE384" s="20"/>
      <c r="CF384" s="21"/>
      <c r="CG384" s="21"/>
      <c r="CI384" s="19"/>
      <c r="CJ384" s="18"/>
      <c r="CK384" s="2"/>
      <c r="CL384" s="18"/>
      <c r="CM384" s="118"/>
      <c r="CO384" s="2"/>
      <c r="CP384" s="19"/>
      <c r="CQ384" s="20"/>
      <c r="CR384" s="21"/>
      <c r="CS384" s="21"/>
    </row>
    <row r="385" spans="1:97" x14ac:dyDescent="0.25">
      <c r="A385" s="1">
        <f t="shared" si="143"/>
        <v>359</v>
      </c>
      <c r="B385" s="19">
        <f t="shared" si="144"/>
        <v>135.56250949255198</v>
      </c>
      <c r="C385" s="18">
        <f t="shared" si="158"/>
        <v>5.4605052840784367</v>
      </c>
      <c r="D385" s="2">
        <f t="shared" si="137"/>
        <v>0.93511430675047968</v>
      </c>
      <c r="E385" s="18">
        <f t="shared" si="145"/>
        <v>5.4760905225242782</v>
      </c>
      <c r="F385" s="21">
        <f t="shared" si="138"/>
        <v>2.2339054047673703</v>
      </c>
      <c r="G385" s="1">
        <f t="shared" si="139"/>
        <v>0</v>
      </c>
      <c r="H385" s="2">
        <f t="shared" si="135"/>
        <v>315.38330233256244</v>
      </c>
      <c r="I385" s="19">
        <f t="shared" si="161"/>
        <v>136.52956810933438</v>
      </c>
      <c r="J385" s="20">
        <f t="shared" si="140"/>
        <v>0.92348729064998392</v>
      </c>
      <c r="K385" s="21">
        <f t="shared" si="141"/>
        <v>116.55636990999945</v>
      </c>
      <c r="L385" s="21">
        <f t="shared" si="136"/>
        <v>1.7577579834680412</v>
      </c>
      <c r="M385" s="2">
        <f t="shared" si="146"/>
        <v>90.683097315066945</v>
      </c>
      <c r="N385" s="19">
        <f t="shared" si="159"/>
        <v>318.69687139883371</v>
      </c>
      <c r="O385" s="1">
        <f t="shared" si="147"/>
        <v>359</v>
      </c>
      <c r="P385" s="19">
        <f t="shared" si="148"/>
        <v>256.70638022695192</v>
      </c>
      <c r="Q385" s="18">
        <f t="shared" si="149"/>
        <v>7.0034627632810178</v>
      </c>
      <c r="R385" s="2">
        <f t="shared" si="150"/>
        <v>0.9471322895273504</v>
      </c>
      <c r="S385" s="18">
        <f t="shared" si="151"/>
        <v>7.0192483014398066</v>
      </c>
      <c r="T385" s="18">
        <f t="shared" si="152"/>
        <v>3.642103908163655</v>
      </c>
      <c r="U385" s="1">
        <f t="shared" si="142"/>
        <v>0</v>
      </c>
      <c r="V385" s="2">
        <f t="shared" si="153"/>
        <v>596.63384223242258</v>
      </c>
      <c r="W385" s="19">
        <f t="shared" si="154"/>
        <v>258.28304858546431</v>
      </c>
      <c r="X385" s="20"/>
      <c r="Y385" s="2">
        <f t="shared" si="155"/>
        <v>238.33785368663894</v>
      </c>
      <c r="Z385" s="21">
        <f t="shared" si="156"/>
        <v>2.8880123961004611</v>
      </c>
      <c r="AA385" s="2">
        <f t="shared" si="157"/>
        <v>187.0222722461113</v>
      </c>
      <c r="AB385" s="19">
        <f t="shared" si="160"/>
        <v>75.099450406603168</v>
      </c>
      <c r="AC385" s="2"/>
      <c r="AD385" s="18"/>
      <c r="AE385" s="118"/>
      <c r="AG385" s="2"/>
      <c r="AH385" s="19"/>
      <c r="AI385" s="20"/>
      <c r="AJ385" s="21"/>
      <c r="AK385" s="21"/>
      <c r="AM385" s="19"/>
      <c r="AN385" s="18"/>
      <c r="AO385" s="2"/>
      <c r="AP385" s="18"/>
      <c r="AQ385" s="118"/>
      <c r="AS385" s="2"/>
      <c r="AT385" s="19"/>
      <c r="AU385" s="20"/>
      <c r="AV385" s="21"/>
      <c r="AW385" s="21"/>
      <c r="AY385" s="19"/>
      <c r="AZ385" s="18"/>
      <c r="BA385" s="2"/>
      <c r="BB385" s="18"/>
      <c r="BC385" s="118"/>
      <c r="BE385" s="2"/>
      <c r="BF385" s="19"/>
      <c r="BG385" s="20"/>
      <c r="BH385" s="21"/>
      <c r="BI385" s="21"/>
      <c r="BK385" s="19"/>
      <c r="BL385" s="18"/>
      <c r="BM385" s="2"/>
      <c r="BN385" s="18"/>
      <c r="BO385" s="118"/>
      <c r="BQ385" s="2"/>
      <c r="BR385" s="19"/>
      <c r="BS385" s="20"/>
      <c r="BT385" s="21"/>
      <c r="BU385" s="21"/>
      <c r="BW385" s="19"/>
      <c r="BX385" s="18"/>
      <c r="BY385" s="2"/>
      <c r="BZ385" s="18"/>
      <c r="CA385" s="118"/>
      <c r="CC385" s="2"/>
      <c r="CD385" s="19"/>
      <c r="CE385" s="20"/>
      <c r="CF385" s="21"/>
      <c r="CG385" s="21"/>
      <c r="CI385" s="19"/>
      <c r="CJ385" s="18"/>
      <c r="CK385" s="2"/>
      <c r="CL385" s="18"/>
      <c r="CM385" s="118"/>
      <c r="CO385" s="2"/>
      <c r="CP385" s="19"/>
      <c r="CQ385" s="20"/>
      <c r="CR385" s="21"/>
      <c r="CS385" s="21"/>
    </row>
    <row r="386" spans="1:97" x14ac:dyDescent="0.25">
      <c r="A386" s="1">
        <f t="shared" si="143"/>
        <v>360</v>
      </c>
      <c r="B386" s="19">
        <f t="shared" si="144"/>
        <v>136.52956810933438</v>
      </c>
      <c r="C386" s="18">
        <f t="shared" si="158"/>
        <v>5.4760905225242782</v>
      </c>
      <c r="D386" s="2">
        <f t="shared" si="137"/>
        <v>0.93524725857305879</v>
      </c>
      <c r="E386" s="18">
        <f t="shared" si="145"/>
        <v>5.4916779768338291</v>
      </c>
      <c r="F386" s="21">
        <f t="shared" si="138"/>
        <v>2.2464395304726121</v>
      </c>
      <c r="G386" s="1">
        <f t="shared" si="139"/>
        <v>0</v>
      </c>
      <c r="H386" s="2">
        <f t="shared" si="135"/>
        <v>317.62974186303506</v>
      </c>
      <c r="I386" s="19">
        <f t="shared" si="161"/>
        <v>137.50205275456062</v>
      </c>
      <c r="J386" s="20">
        <f t="shared" si="140"/>
        <v>0.92342404660145772</v>
      </c>
      <c r="K386" s="21">
        <f t="shared" si="141"/>
        <v>117.52907822669408</v>
      </c>
      <c r="L386" s="21">
        <f t="shared" si="136"/>
        <v>1.7677789891965445</v>
      </c>
      <c r="M386" s="2">
        <f t="shared" si="146"/>
        <v>91.448369604762419</v>
      </c>
      <c r="N386" s="19">
        <f t="shared" si="159"/>
        <v>318.83209817655796</v>
      </c>
      <c r="O386" s="1">
        <f t="shared" si="147"/>
        <v>360</v>
      </c>
      <c r="P386" s="19">
        <f t="shared" si="148"/>
        <v>258.28304858546431</v>
      </c>
      <c r="Q386" s="18">
        <f t="shared" si="149"/>
        <v>7.0192483014398066</v>
      </c>
      <c r="R386" s="2">
        <f t="shared" si="150"/>
        <v>0.94724828488848911</v>
      </c>
      <c r="S386" s="18">
        <f t="shared" si="151"/>
        <v>7.0350357728546147</v>
      </c>
      <c r="T386" s="18">
        <f t="shared" si="152"/>
        <v>3.6582539175743447</v>
      </c>
      <c r="U386" s="1">
        <f t="shared" si="142"/>
        <v>0</v>
      </c>
      <c r="V386" s="2">
        <f t="shared" si="153"/>
        <v>600.29209614999695</v>
      </c>
      <c r="W386" s="19">
        <f t="shared" si="154"/>
        <v>259.86670829004197</v>
      </c>
      <c r="X386" s="20"/>
      <c r="Y386" s="2">
        <f t="shared" si="155"/>
        <v>239.92187763294862</v>
      </c>
      <c r="Z386" s="21">
        <f t="shared" si="156"/>
        <v>2.9010182582512942</v>
      </c>
      <c r="AA386" s="2">
        <f t="shared" si="157"/>
        <v>188.27812430596035</v>
      </c>
      <c r="AB386" s="19">
        <f t="shared" si="160"/>
        <v>75.204948038840442</v>
      </c>
      <c r="AC386" s="2"/>
      <c r="AD386" s="18"/>
      <c r="AE386" s="118"/>
      <c r="AG386" s="2"/>
      <c r="AH386" s="19"/>
      <c r="AI386" s="20"/>
      <c r="AJ386" s="21"/>
      <c r="AK386" s="21"/>
      <c r="AM386" s="19"/>
      <c r="AN386" s="18"/>
      <c r="AO386" s="2"/>
      <c r="AP386" s="18"/>
      <c r="AQ386" s="118"/>
      <c r="AS386" s="2"/>
      <c r="AT386" s="19"/>
      <c r="AU386" s="20"/>
      <c r="AV386" s="21"/>
      <c r="AW386" s="21"/>
      <c r="AY386" s="19"/>
      <c r="AZ386" s="18"/>
      <c r="BA386" s="2"/>
      <c r="BB386" s="18"/>
      <c r="BC386" s="118"/>
      <c r="BE386" s="2"/>
      <c r="BF386" s="19"/>
      <c r="BG386" s="20"/>
      <c r="BH386" s="21"/>
      <c r="BI386" s="21"/>
      <c r="BK386" s="19"/>
      <c r="BL386" s="18"/>
      <c r="BM386" s="2"/>
      <c r="BN386" s="18"/>
      <c r="BO386" s="118"/>
      <c r="BQ386" s="2"/>
      <c r="BR386" s="19"/>
      <c r="BS386" s="20"/>
      <c r="BT386" s="21"/>
      <c r="BU386" s="21"/>
      <c r="BW386" s="19"/>
      <c r="BX386" s="18"/>
      <c r="BY386" s="2"/>
      <c r="BZ386" s="18"/>
      <c r="CA386" s="118"/>
      <c r="CC386" s="2"/>
      <c r="CD386" s="19"/>
      <c r="CE386" s="20"/>
      <c r="CF386" s="21"/>
      <c r="CG386" s="21"/>
      <c r="CI386" s="19"/>
      <c r="CJ386" s="18"/>
      <c r="CK386" s="2"/>
      <c r="CL386" s="18"/>
      <c r="CM386" s="118"/>
      <c r="CO386" s="2"/>
      <c r="CP386" s="19"/>
      <c r="CQ386" s="20"/>
      <c r="CR386" s="21"/>
      <c r="CS386" s="21"/>
    </row>
    <row r="387" spans="1:97" x14ac:dyDescent="0.25">
      <c r="A387" s="1">
        <f t="shared" si="143"/>
        <v>361</v>
      </c>
      <c r="B387" s="19">
        <f t="shared" si="144"/>
        <v>137.50205275456062</v>
      </c>
      <c r="C387" s="18">
        <f t="shared" si="158"/>
        <v>5.4916779768338291</v>
      </c>
      <c r="D387" s="2">
        <f t="shared" si="137"/>
        <v>0.93538002894037198</v>
      </c>
      <c r="E387" s="18">
        <f t="shared" si="145"/>
        <v>5.5072676439828356</v>
      </c>
      <c r="F387" s="21">
        <f t="shared" si="138"/>
        <v>2.2590100115698877</v>
      </c>
      <c r="G387" s="1">
        <f t="shared" si="139"/>
        <v>0</v>
      </c>
      <c r="H387" s="2">
        <f t="shared" si="135"/>
        <v>319.88875187460496</v>
      </c>
      <c r="I387" s="19">
        <f t="shared" si="161"/>
        <v>138.47997916649564</v>
      </c>
      <c r="J387" s="20">
        <f t="shared" si="140"/>
        <v>0.92336078954797374</v>
      </c>
      <c r="K387" s="21">
        <f t="shared" si="141"/>
        <v>118.50722956170384</v>
      </c>
      <c r="L387" s="21">
        <f t="shared" si="136"/>
        <v>1.7778299074208099</v>
      </c>
      <c r="M387" s="2">
        <f t="shared" si="146"/>
        <v>92.217992941308225</v>
      </c>
      <c r="N387" s="19">
        <f t="shared" si="159"/>
        <v>318.96694112966105</v>
      </c>
      <c r="O387" s="1">
        <f t="shared" si="147"/>
        <v>361</v>
      </c>
      <c r="P387" s="19">
        <f t="shared" si="148"/>
        <v>259.86670829004197</v>
      </c>
      <c r="Q387" s="18">
        <f t="shared" si="149"/>
        <v>7.0350357728546147</v>
      </c>
      <c r="R387" s="2">
        <f t="shared" si="150"/>
        <v>0.94736409814849942</v>
      </c>
      <c r="S387" s="18">
        <f t="shared" si="151"/>
        <v>7.0508251744904227</v>
      </c>
      <c r="T387" s="18">
        <f t="shared" si="152"/>
        <v>3.6744411448427576</v>
      </c>
      <c r="U387" s="1">
        <f t="shared" si="142"/>
        <v>0</v>
      </c>
      <c r="V387" s="2">
        <f t="shared" si="153"/>
        <v>603.96653729483967</v>
      </c>
      <c r="W387" s="19">
        <f t="shared" si="154"/>
        <v>261.45737545231157</v>
      </c>
      <c r="X387" s="20"/>
      <c r="Y387" s="2">
        <f t="shared" si="155"/>
        <v>241.51291064866552</v>
      </c>
      <c r="Z387" s="21">
        <f t="shared" si="156"/>
        <v>2.9140549354088607</v>
      </c>
      <c r="AA387" s="2">
        <f t="shared" si="157"/>
        <v>189.5396199489945</v>
      </c>
      <c r="AB387" s="19">
        <f t="shared" si="160"/>
        <v>75.310208921627236</v>
      </c>
      <c r="AC387" s="2"/>
      <c r="AD387" s="18"/>
      <c r="AE387" s="118"/>
      <c r="AG387" s="2"/>
      <c r="AH387" s="19"/>
      <c r="AI387" s="20"/>
      <c r="AJ387" s="21"/>
      <c r="AK387" s="21"/>
      <c r="AM387" s="19"/>
      <c r="AN387" s="18"/>
      <c r="AO387" s="2"/>
      <c r="AP387" s="18"/>
      <c r="AQ387" s="118"/>
      <c r="AS387" s="2"/>
      <c r="AT387" s="19"/>
      <c r="AU387" s="20"/>
      <c r="AV387" s="21"/>
      <c r="AW387" s="21"/>
      <c r="AY387" s="19"/>
      <c r="AZ387" s="18"/>
      <c r="BA387" s="2"/>
      <c r="BB387" s="18"/>
      <c r="BC387" s="118"/>
      <c r="BE387" s="2"/>
      <c r="BF387" s="19"/>
      <c r="BG387" s="20"/>
      <c r="BH387" s="21"/>
      <c r="BI387" s="21"/>
      <c r="BK387" s="19"/>
      <c r="BL387" s="18"/>
      <c r="BM387" s="2"/>
      <c r="BN387" s="18"/>
      <c r="BO387" s="118"/>
      <c r="BQ387" s="2"/>
      <c r="BR387" s="19"/>
      <c r="BS387" s="20"/>
      <c r="BT387" s="21"/>
      <c r="BU387" s="21"/>
      <c r="BW387" s="19"/>
      <c r="BX387" s="18"/>
      <c r="BY387" s="2"/>
      <c r="BZ387" s="18"/>
      <c r="CA387" s="118"/>
      <c r="CC387" s="2"/>
      <c r="CD387" s="19"/>
      <c r="CE387" s="20"/>
      <c r="CF387" s="21"/>
      <c r="CG387" s="21"/>
      <c r="CI387" s="19"/>
      <c r="CJ387" s="18"/>
      <c r="CK387" s="2"/>
      <c r="CL387" s="18"/>
      <c r="CM387" s="118"/>
      <c r="CO387" s="2"/>
      <c r="CP387" s="19"/>
      <c r="CQ387" s="20"/>
      <c r="CR387" s="21"/>
      <c r="CS387" s="21"/>
    </row>
    <row r="388" spans="1:97" x14ac:dyDescent="0.25">
      <c r="A388" s="1">
        <f t="shared" si="143"/>
        <v>362</v>
      </c>
      <c r="B388" s="19">
        <f t="shared" si="144"/>
        <v>138.47997916649564</v>
      </c>
      <c r="C388" s="18">
        <f t="shared" si="158"/>
        <v>5.5072676439828356</v>
      </c>
      <c r="D388" s="2">
        <f t="shared" si="137"/>
        <v>0.93551261749873316</v>
      </c>
      <c r="E388" s="18">
        <f t="shared" si="145"/>
        <v>5.5228595209411475</v>
      </c>
      <c r="F388" s="21">
        <f t="shared" si="138"/>
        <v>2.27161685777669</v>
      </c>
      <c r="G388" s="1">
        <f t="shared" si="139"/>
        <v>0</v>
      </c>
      <c r="H388" s="2">
        <f t="shared" si="135"/>
        <v>322.16036873238158</v>
      </c>
      <c r="I388" s="19">
        <f t="shared" si="161"/>
        <v>139.46336308761107</v>
      </c>
      <c r="J388" s="20">
        <f t="shared" si="140"/>
        <v>0.92329752018226996</v>
      </c>
      <c r="K388" s="21">
        <f t="shared" si="141"/>
        <v>119.49083966112114</v>
      </c>
      <c r="L388" s="21">
        <f t="shared" si="136"/>
        <v>1.7879107483115948</v>
      </c>
      <c r="M388" s="2">
        <f t="shared" si="146"/>
        <v>92.991980278239652</v>
      </c>
      <c r="N388" s="19">
        <f t="shared" si="159"/>
        <v>319.10140237682714</v>
      </c>
      <c r="O388" s="1">
        <f t="shared" si="147"/>
        <v>362</v>
      </c>
      <c r="P388" s="19">
        <f t="shared" si="148"/>
        <v>261.45737545231157</v>
      </c>
      <c r="Q388" s="18">
        <f t="shared" si="149"/>
        <v>7.0508251744904227</v>
      </c>
      <c r="R388" s="2">
        <f t="shared" si="150"/>
        <v>0.94747972968359906</v>
      </c>
      <c r="S388" s="18">
        <f t="shared" si="151"/>
        <v>7.0666165033184827</v>
      </c>
      <c r="T388" s="18">
        <f t="shared" si="152"/>
        <v>3.6906655977826772</v>
      </c>
      <c r="U388" s="1">
        <f t="shared" si="142"/>
        <v>0</v>
      </c>
      <c r="V388" s="2">
        <f t="shared" si="153"/>
        <v>607.65720289262242</v>
      </c>
      <c r="W388" s="19">
        <f t="shared" si="154"/>
        <v>263.05506618728242</v>
      </c>
      <c r="X388" s="20"/>
      <c r="Y388" s="2">
        <f t="shared" si="155"/>
        <v>243.11096885250544</v>
      </c>
      <c r="Z388" s="21">
        <f t="shared" si="156"/>
        <v>2.9271224357827257</v>
      </c>
      <c r="AA388" s="2">
        <f t="shared" si="157"/>
        <v>190.8067725185974</v>
      </c>
      <c r="AB388" s="19">
        <f t="shared" si="160"/>
        <v>75.415234086421634</v>
      </c>
      <c r="AC388" s="2"/>
      <c r="AD388" s="18"/>
      <c r="AE388" s="118"/>
      <c r="AG388" s="2"/>
      <c r="AH388" s="19"/>
      <c r="AI388" s="20"/>
      <c r="AJ388" s="21"/>
      <c r="AK388" s="21"/>
      <c r="AM388" s="19"/>
      <c r="AN388" s="18"/>
      <c r="AO388" s="2"/>
      <c r="AP388" s="18"/>
      <c r="AQ388" s="118"/>
      <c r="AS388" s="2"/>
      <c r="AT388" s="19"/>
      <c r="AU388" s="20"/>
      <c r="AV388" s="21"/>
      <c r="AW388" s="21"/>
      <c r="AY388" s="19"/>
      <c r="AZ388" s="18"/>
      <c r="BA388" s="2"/>
      <c r="BB388" s="18"/>
      <c r="BC388" s="118"/>
      <c r="BE388" s="2"/>
      <c r="BF388" s="19"/>
      <c r="BG388" s="20"/>
      <c r="BH388" s="21"/>
      <c r="BI388" s="21"/>
      <c r="BK388" s="19"/>
      <c r="BL388" s="18"/>
      <c r="BM388" s="2"/>
      <c r="BN388" s="18"/>
      <c r="BO388" s="118"/>
      <c r="BQ388" s="2"/>
      <c r="BR388" s="19"/>
      <c r="BS388" s="20"/>
      <c r="BT388" s="21"/>
      <c r="BU388" s="21"/>
      <c r="BW388" s="19"/>
      <c r="BX388" s="18"/>
      <c r="BY388" s="2"/>
      <c r="BZ388" s="18"/>
      <c r="CA388" s="118"/>
      <c r="CC388" s="2"/>
      <c r="CD388" s="19"/>
      <c r="CE388" s="20"/>
      <c r="CF388" s="21"/>
      <c r="CG388" s="21"/>
      <c r="CI388" s="19"/>
      <c r="CJ388" s="18"/>
      <c r="CK388" s="2"/>
      <c r="CL388" s="18"/>
      <c r="CM388" s="118"/>
      <c r="CO388" s="2"/>
      <c r="CP388" s="19"/>
      <c r="CQ388" s="20"/>
      <c r="CR388" s="21"/>
      <c r="CS388" s="21"/>
    </row>
    <row r="389" spans="1:97" x14ac:dyDescent="0.25">
      <c r="A389" s="1">
        <f t="shared" si="143"/>
        <v>363</v>
      </c>
      <c r="B389" s="19">
        <f t="shared" si="144"/>
        <v>139.46336308761107</v>
      </c>
      <c r="C389" s="18">
        <f t="shared" si="158"/>
        <v>5.5228595209411475</v>
      </c>
      <c r="D389" s="2">
        <f t="shared" si="137"/>
        <v>0.93564502390922355</v>
      </c>
      <c r="E389" s="18">
        <f t="shared" si="145"/>
        <v>5.5384536046729682</v>
      </c>
      <c r="F389" s="21">
        <f t="shared" si="138"/>
        <v>2.2842600787872498</v>
      </c>
      <c r="G389" s="1">
        <f t="shared" si="139"/>
        <v>0</v>
      </c>
      <c r="H389" s="2">
        <f t="shared" si="135"/>
        <v>324.44462881116885</v>
      </c>
      <c r="I389" s="19">
        <f t="shared" si="161"/>
        <v>140.45222026457526</v>
      </c>
      <c r="J389" s="20">
        <f t="shared" si="140"/>
        <v>0.9232342391901156</v>
      </c>
      <c r="K389" s="21">
        <f t="shared" si="141"/>
        <v>120.47992427523602</v>
      </c>
      <c r="L389" s="21">
        <f t="shared" si="136"/>
        <v>1.7980215220155575</v>
      </c>
      <c r="M389" s="2">
        <f t="shared" si="146"/>
        <v>93.770344573484479</v>
      </c>
      <c r="N389" s="19">
        <f t="shared" si="159"/>
        <v>319.2354840193313</v>
      </c>
      <c r="O389" s="1">
        <f t="shared" si="147"/>
        <v>363</v>
      </c>
      <c r="P389" s="19">
        <f t="shared" si="148"/>
        <v>263.05506618728242</v>
      </c>
      <c r="Q389" s="18">
        <f t="shared" si="149"/>
        <v>7.0666165033184827</v>
      </c>
      <c r="R389" s="2">
        <f t="shared" si="150"/>
        <v>0.94759517987105835</v>
      </c>
      <c r="S389" s="18">
        <f t="shared" si="151"/>
        <v>7.0824097563163333</v>
      </c>
      <c r="T389" s="18">
        <f t="shared" si="152"/>
        <v>3.7069272841925676</v>
      </c>
      <c r="U389" s="1">
        <f t="shared" si="142"/>
        <v>0</v>
      </c>
      <c r="V389" s="2">
        <f t="shared" si="153"/>
        <v>611.36413017681502</v>
      </c>
      <c r="W389" s="19">
        <f t="shared" si="154"/>
        <v>264.65979661333984</v>
      </c>
      <c r="X389" s="20"/>
      <c r="Y389" s="2">
        <f t="shared" si="155"/>
        <v>244.71606836656082</v>
      </c>
      <c r="Z389" s="21">
        <f t="shared" si="156"/>
        <v>2.9402207675665557</v>
      </c>
      <c r="AA389" s="2">
        <f t="shared" si="157"/>
        <v>192.0795953616998</v>
      </c>
      <c r="AB389" s="19">
        <f t="shared" si="160"/>
        <v>75.520024558005829</v>
      </c>
      <c r="AC389" s="2"/>
      <c r="AD389" s="18"/>
      <c r="AE389" s="118"/>
      <c r="AG389" s="2"/>
      <c r="AH389" s="19"/>
      <c r="AI389" s="20"/>
      <c r="AJ389" s="21"/>
      <c r="AK389" s="21"/>
      <c r="AM389" s="19"/>
      <c r="AN389" s="18"/>
      <c r="AO389" s="2"/>
      <c r="AP389" s="18"/>
      <c r="AQ389" s="118"/>
      <c r="AS389" s="2"/>
      <c r="AT389" s="19"/>
      <c r="AU389" s="20"/>
      <c r="AV389" s="21"/>
      <c r="AW389" s="21"/>
      <c r="AY389" s="19"/>
      <c r="AZ389" s="18"/>
      <c r="BA389" s="2"/>
      <c r="BB389" s="18"/>
      <c r="BC389" s="118"/>
      <c r="BE389" s="2"/>
      <c r="BF389" s="19"/>
      <c r="BG389" s="20"/>
      <c r="BH389" s="21"/>
      <c r="BI389" s="21"/>
      <c r="BK389" s="19"/>
      <c r="BL389" s="18"/>
      <c r="BM389" s="2"/>
      <c r="BN389" s="18"/>
      <c r="BO389" s="118"/>
      <c r="BQ389" s="2"/>
      <c r="BR389" s="19"/>
      <c r="BS389" s="20"/>
      <c r="BT389" s="21"/>
      <c r="BU389" s="21"/>
      <c r="BW389" s="19"/>
      <c r="BX389" s="18"/>
      <c r="BY389" s="2"/>
      <c r="BZ389" s="18"/>
      <c r="CA389" s="118"/>
      <c r="CC389" s="2"/>
      <c r="CD389" s="19"/>
      <c r="CE389" s="20"/>
      <c r="CF389" s="21"/>
      <c r="CG389" s="21"/>
      <c r="CI389" s="19"/>
      <c r="CJ389" s="18"/>
      <c r="CK389" s="2"/>
      <c r="CL389" s="18"/>
      <c r="CM389" s="118"/>
      <c r="CO389" s="2"/>
      <c r="CP389" s="19"/>
      <c r="CQ389" s="20"/>
      <c r="CR389" s="21"/>
      <c r="CS389" s="21"/>
    </row>
    <row r="390" spans="1:97" x14ac:dyDescent="0.25">
      <c r="A390" s="1">
        <f t="shared" si="143"/>
        <v>364</v>
      </c>
      <c r="B390" s="19">
        <f t="shared" si="144"/>
        <v>140.45222026457526</v>
      </c>
      <c r="C390" s="18">
        <f t="shared" si="158"/>
        <v>5.5384536046729682</v>
      </c>
      <c r="D390" s="2">
        <f t="shared" si="137"/>
        <v>0.93577724784743488</v>
      </c>
      <c r="E390" s="18">
        <f t="shared" si="145"/>
        <v>5.5540498921370922</v>
      </c>
      <c r="F390" s="21">
        <f t="shared" si="138"/>
        <v>2.296939684272616</v>
      </c>
      <c r="G390" s="1">
        <f t="shared" si="139"/>
        <v>0</v>
      </c>
      <c r="H390" s="2">
        <f t="shared" si="135"/>
        <v>326.74156849544147</v>
      </c>
      <c r="I390" s="19">
        <f t="shared" si="161"/>
        <v>141.44656644824306</v>
      </c>
      <c r="J390" s="20">
        <f t="shared" si="140"/>
        <v>0.92317094725036741</v>
      </c>
      <c r="K390" s="21">
        <f t="shared" si="141"/>
        <v>121.47449915852606</v>
      </c>
      <c r="L390" s="21">
        <f t="shared" si="136"/>
        <v>1.8081622386553471</v>
      </c>
      <c r="M390" s="2">
        <f t="shared" si="146"/>
        <v>94.553098789352589</v>
      </c>
      <c r="N390" s="19">
        <f t="shared" si="159"/>
        <v>319.36918814122964</v>
      </c>
      <c r="O390" s="1">
        <f t="shared" si="147"/>
        <v>364</v>
      </c>
      <c r="P390" s="19">
        <f t="shared" si="148"/>
        <v>264.65979661333984</v>
      </c>
      <c r="Q390" s="18">
        <f t="shared" si="149"/>
        <v>7.0824097563163333</v>
      </c>
      <c r="R390" s="2">
        <f t="shared" si="150"/>
        <v>0.94771044908915503</v>
      </c>
      <c r="S390" s="18">
        <f t="shared" si="151"/>
        <v>7.0982049304678192</v>
      </c>
      <c r="T390" s="18">
        <f t="shared" si="152"/>
        <v>3.7232262118556365</v>
      </c>
      <c r="U390" s="1">
        <f t="shared" si="142"/>
        <v>0</v>
      </c>
      <c r="V390" s="2">
        <f t="shared" si="153"/>
        <v>615.08735638867063</v>
      </c>
      <c r="W390" s="19">
        <f t="shared" si="154"/>
        <v>266.27158285223834</v>
      </c>
      <c r="X390" s="20"/>
      <c r="Y390" s="2">
        <f t="shared" si="155"/>
        <v>246.32822531629432</v>
      </c>
      <c r="Z390" s="21">
        <f t="shared" si="156"/>
        <v>2.9533499389381817</v>
      </c>
      <c r="AA390" s="2">
        <f t="shared" si="157"/>
        <v>193.35810182877262</v>
      </c>
      <c r="AB390" s="19">
        <f t="shared" si="160"/>
        <v>75.62458135454348</v>
      </c>
      <c r="AC390" s="2"/>
      <c r="AD390" s="18"/>
      <c r="AE390" s="118"/>
      <c r="AG390" s="2"/>
      <c r="AH390" s="19"/>
      <c r="AI390" s="20"/>
      <c r="AJ390" s="21"/>
      <c r="AK390" s="21"/>
      <c r="AM390" s="19"/>
      <c r="AN390" s="18"/>
      <c r="AO390" s="2"/>
      <c r="AP390" s="18"/>
      <c r="AQ390" s="118"/>
      <c r="AS390" s="2"/>
      <c r="AT390" s="19"/>
      <c r="AU390" s="20"/>
      <c r="AV390" s="21"/>
      <c r="AW390" s="21"/>
      <c r="AY390" s="19"/>
      <c r="AZ390" s="18"/>
      <c r="BA390" s="2"/>
      <c r="BB390" s="18"/>
      <c r="BC390" s="118"/>
      <c r="BE390" s="2"/>
      <c r="BF390" s="19"/>
      <c r="BG390" s="20"/>
      <c r="BH390" s="21"/>
      <c r="BI390" s="21"/>
      <c r="BK390" s="19"/>
      <c r="BL390" s="18"/>
      <c r="BM390" s="2"/>
      <c r="BN390" s="18"/>
      <c r="BO390" s="118"/>
      <c r="BQ390" s="2"/>
      <c r="BR390" s="19"/>
      <c r="BS390" s="20"/>
      <c r="BT390" s="21"/>
      <c r="BU390" s="21"/>
      <c r="BW390" s="19"/>
      <c r="BX390" s="18"/>
      <c r="BY390" s="2"/>
      <c r="BZ390" s="18"/>
      <c r="CA390" s="118"/>
      <c r="CC390" s="2"/>
      <c r="CD390" s="19"/>
      <c r="CE390" s="20"/>
      <c r="CF390" s="21"/>
      <c r="CG390" s="21"/>
      <c r="CI390" s="19"/>
      <c r="CJ390" s="18"/>
      <c r="CK390" s="2"/>
      <c r="CL390" s="18"/>
      <c r="CM390" s="118"/>
      <c r="CO390" s="2"/>
      <c r="CP390" s="19"/>
      <c r="CQ390" s="20"/>
      <c r="CR390" s="21"/>
      <c r="CS390" s="21"/>
    </row>
    <row r="391" spans="1:97" x14ac:dyDescent="0.25">
      <c r="A391" s="1">
        <f t="shared" si="143"/>
        <v>365</v>
      </c>
      <c r="B391" s="19">
        <f t="shared" si="144"/>
        <v>141.44656644824306</v>
      </c>
      <c r="C391" s="18">
        <f t="shared" si="158"/>
        <v>5.5540498921370922</v>
      </c>
      <c r="D391" s="2">
        <f t="shared" si="137"/>
        <v>0.93590928900321313</v>
      </c>
      <c r="E391" s="18">
        <f t="shared" si="145"/>
        <v>5.5696483802871457</v>
      </c>
      <c r="F391" s="21">
        <f t="shared" si="138"/>
        <v>2.3096556838807505</v>
      </c>
      <c r="G391" s="1">
        <f t="shared" si="139"/>
        <v>0</v>
      </c>
      <c r="H391" s="2">
        <f t="shared" si="135"/>
        <v>329.05122417932222</v>
      </c>
      <c r="I391" s="19">
        <f t="shared" si="161"/>
        <v>142.44641739364599</v>
      </c>
      <c r="J391" s="20">
        <f t="shared" si="140"/>
        <v>0.92310764503502363</v>
      </c>
      <c r="K391" s="21">
        <f t="shared" si="141"/>
        <v>122.47458006964642</v>
      </c>
      <c r="L391" s="21">
        <f t="shared" si="136"/>
        <v>1.8183329083297062</v>
      </c>
      <c r="M391" s="2">
        <f t="shared" si="146"/>
        <v>95.340255892525619</v>
      </c>
      <c r="N391" s="19">
        <f t="shared" si="159"/>
        <v>319.5025168095471</v>
      </c>
      <c r="O391" s="1">
        <f t="shared" si="147"/>
        <v>365</v>
      </c>
      <c r="P391" s="19">
        <f t="shared" si="148"/>
        <v>266.27158285223834</v>
      </c>
      <c r="Q391" s="18">
        <f t="shared" si="149"/>
        <v>7.0982049304678192</v>
      </c>
      <c r="R391" s="2">
        <f t="shared" si="150"/>
        <v>0.94782553771713263</v>
      </c>
      <c r="S391" s="18">
        <f t="shared" si="151"/>
        <v>7.1140020227631044</v>
      </c>
      <c r="T391" s="18">
        <f t="shared" si="152"/>
        <v>3.739562388539901</v>
      </c>
      <c r="U391" s="1">
        <f t="shared" si="142"/>
        <v>0</v>
      </c>
      <c r="V391" s="2">
        <f t="shared" si="153"/>
        <v>618.82691877721049</v>
      </c>
      <c r="W391" s="19">
        <f t="shared" si="154"/>
        <v>267.89044102909543</v>
      </c>
      <c r="X391" s="20"/>
      <c r="Y391" s="2">
        <f t="shared" si="155"/>
        <v>247.94745583053211</v>
      </c>
      <c r="Z391" s="21">
        <f t="shared" si="156"/>
        <v>2.9665099580596661</v>
      </c>
      <c r="AA391" s="2">
        <f t="shared" si="157"/>
        <v>194.64230527382009</v>
      </c>
      <c r="AB391" s="19">
        <f t="shared" si="160"/>
        <v>75.728905487636467</v>
      </c>
      <c r="AC391" s="2"/>
      <c r="AD391" s="18"/>
      <c r="AE391" s="118"/>
      <c r="AG391" s="2"/>
      <c r="AH391" s="19"/>
      <c r="AI391" s="20"/>
      <c r="AJ391" s="21"/>
      <c r="AK391" s="21"/>
      <c r="AM391" s="19"/>
      <c r="AN391" s="18"/>
      <c r="AO391" s="2"/>
      <c r="AP391" s="18"/>
      <c r="AQ391" s="118"/>
      <c r="AS391" s="2"/>
      <c r="AT391" s="19"/>
      <c r="AU391" s="20"/>
      <c r="AV391" s="21"/>
      <c r="AW391" s="21"/>
      <c r="AY391" s="19"/>
      <c r="AZ391" s="18"/>
      <c r="BA391" s="2"/>
      <c r="BB391" s="18"/>
      <c r="BC391" s="118"/>
      <c r="BE391" s="2"/>
      <c r="BF391" s="19"/>
      <c r="BG391" s="20"/>
      <c r="BH391" s="21"/>
      <c r="BI391" s="21"/>
      <c r="BK391" s="19"/>
      <c r="BL391" s="18"/>
      <c r="BM391" s="2"/>
      <c r="BN391" s="18"/>
      <c r="BO391" s="118"/>
      <c r="BQ391" s="2"/>
      <c r="BR391" s="19"/>
      <c r="BS391" s="20"/>
      <c r="BT391" s="21"/>
      <c r="BU391" s="21"/>
      <c r="BW391" s="19"/>
      <c r="BX391" s="18"/>
      <c r="BY391" s="2"/>
      <c r="BZ391" s="18"/>
      <c r="CA391" s="118"/>
      <c r="CC391" s="2"/>
      <c r="CD391" s="19"/>
      <c r="CE391" s="20"/>
      <c r="CF391" s="21"/>
      <c r="CG391" s="21"/>
      <c r="CI391" s="19"/>
      <c r="CJ391" s="18"/>
      <c r="CK391" s="2"/>
      <c r="CL391" s="18"/>
      <c r="CM391" s="118"/>
      <c r="CO391" s="2"/>
      <c r="CP391" s="19"/>
      <c r="CQ391" s="20"/>
      <c r="CR391" s="21"/>
      <c r="CS391" s="21"/>
    </row>
    <row r="392" spans="1:97" x14ac:dyDescent="0.25">
      <c r="A392" s="1">
        <f t="shared" si="143"/>
        <v>366</v>
      </c>
      <c r="B392" s="19">
        <f t="shared" si="144"/>
        <v>142.44641739364599</v>
      </c>
      <c r="C392" s="18">
        <f t="shared" si="158"/>
        <v>5.5696483802871457</v>
      </c>
      <c r="D392" s="2">
        <f t="shared" si="137"/>
        <v>0.9360411470804102</v>
      </c>
      <c r="E392" s="18">
        <f t="shared" si="145"/>
        <v>5.5852490660718193</v>
      </c>
      <c r="F392" s="21">
        <f t="shared" si="138"/>
        <v>2.32240808723662</v>
      </c>
      <c r="G392" s="1">
        <f t="shared" si="139"/>
        <v>0</v>
      </c>
      <c r="H392" s="2">
        <f t="shared" si="135"/>
        <v>331.37363226655884</v>
      </c>
      <c r="I392" s="19">
        <f t="shared" si="161"/>
        <v>143.45178885998217</v>
      </c>
      <c r="J392" s="20">
        <f t="shared" si="140"/>
        <v>0.92304433320927726</v>
      </c>
      <c r="K392" s="21">
        <f t="shared" si="141"/>
        <v>123.48018277141988</v>
      </c>
      <c r="L392" s="21">
        <f t="shared" si="136"/>
        <v>1.8285335411135681</v>
      </c>
      <c r="M392" s="2">
        <f t="shared" si="146"/>
        <v>96.131828854046645</v>
      </c>
      <c r="N392" s="19">
        <f t="shared" si="159"/>
        <v>319.63547207446265</v>
      </c>
      <c r="O392" s="1">
        <f t="shared" si="147"/>
        <v>366</v>
      </c>
      <c r="P392" s="19">
        <f t="shared" si="148"/>
        <v>267.89044102909543</v>
      </c>
      <c r="Q392" s="18">
        <f t="shared" si="149"/>
        <v>7.1140020227631044</v>
      </c>
      <c r="R392" s="2">
        <f t="shared" si="150"/>
        <v>0.94794044613515827</v>
      </c>
      <c r="S392" s="18">
        <f t="shared" si="151"/>
        <v>7.1298010301986903</v>
      </c>
      <c r="T392" s="18">
        <f t="shared" si="152"/>
        <v>3.7559358219982495</v>
      </c>
      <c r="U392" s="1">
        <f t="shared" si="142"/>
        <v>0</v>
      </c>
      <c r="V392" s="2">
        <f t="shared" si="153"/>
        <v>622.58285459920876</v>
      </c>
      <c r="W392" s="19">
        <f t="shared" si="154"/>
        <v>269.51638727238475</v>
      </c>
      <c r="X392" s="20"/>
      <c r="Y392" s="2">
        <f t="shared" si="155"/>
        <v>249.57377604145734</v>
      </c>
      <c r="Z392" s="21">
        <f t="shared" si="156"/>
        <v>2.9797008330773664</v>
      </c>
      <c r="AA392" s="2">
        <f t="shared" si="157"/>
        <v>195.93221905437306</v>
      </c>
      <c r="AB392" s="19">
        <f t="shared" si="160"/>
        <v>75.832997962381057</v>
      </c>
      <c r="AC392" s="2"/>
      <c r="AD392" s="18"/>
      <c r="AE392" s="118"/>
      <c r="AG392" s="2"/>
      <c r="AH392" s="19"/>
      <c r="AI392" s="20"/>
      <c r="AJ392" s="21"/>
      <c r="AK392" s="21"/>
      <c r="AM392" s="19"/>
      <c r="AN392" s="18"/>
      <c r="AO392" s="2"/>
      <c r="AP392" s="18"/>
      <c r="AQ392" s="118"/>
      <c r="AS392" s="2"/>
      <c r="AT392" s="19"/>
      <c r="AU392" s="20"/>
      <c r="AV392" s="21"/>
      <c r="AW392" s="21"/>
      <c r="AY392" s="19"/>
      <c r="AZ392" s="18"/>
      <c r="BA392" s="2"/>
      <c r="BB392" s="18"/>
      <c r="BC392" s="118"/>
      <c r="BE392" s="2"/>
      <c r="BF392" s="19"/>
      <c r="BG392" s="20"/>
      <c r="BH392" s="21"/>
      <c r="BI392" s="21"/>
      <c r="BK392" s="19"/>
      <c r="BL392" s="18"/>
      <c r="BM392" s="2"/>
      <c r="BN392" s="18"/>
      <c r="BO392" s="118"/>
      <c r="BQ392" s="2"/>
      <c r="BR392" s="19"/>
      <c r="BS392" s="20"/>
      <c r="BT392" s="21"/>
      <c r="BU392" s="21"/>
      <c r="BW392" s="19"/>
      <c r="BX392" s="18"/>
      <c r="BY392" s="2"/>
      <c r="BZ392" s="18"/>
      <c r="CA392" s="118"/>
      <c r="CC392" s="2"/>
      <c r="CD392" s="19"/>
      <c r="CE392" s="20"/>
      <c r="CF392" s="21"/>
      <c r="CG392" s="21"/>
      <c r="CI392" s="19"/>
      <c r="CJ392" s="18"/>
      <c r="CK392" s="2"/>
      <c r="CL392" s="18"/>
      <c r="CM392" s="118"/>
      <c r="CO392" s="2"/>
      <c r="CP392" s="19"/>
      <c r="CQ392" s="20"/>
      <c r="CR392" s="21"/>
      <c r="CS392" s="21"/>
    </row>
    <row r="393" spans="1:97" x14ac:dyDescent="0.25">
      <c r="A393" s="1">
        <f t="shared" si="143"/>
        <v>367</v>
      </c>
      <c r="B393" s="19">
        <f t="shared" si="144"/>
        <v>143.45178885998217</v>
      </c>
      <c r="C393" s="18">
        <f t="shared" si="158"/>
        <v>5.5852490660718193</v>
      </c>
      <c r="D393" s="2">
        <f t="shared" si="137"/>
        <v>0.93617282179663464</v>
      </c>
      <c r="E393" s="18">
        <f t="shared" si="145"/>
        <v>5.6008519464350961</v>
      </c>
      <c r="F393" s="21">
        <f t="shared" si="138"/>
        <v>2.3351969039422813</v>
      </c>
      <c r="G393" s="1">
        <f t="shared" si="139"/>
        <v>0</v>
      </c>
      <c r="H393" s="2">
        <f t="shared" si="135"/>
        <v>333.70882917050113</v>
      </c>
      <c r="I393" s="19">
        <f t="shared" si="161"/>
        <v>144.46269661060654</v>
      </c>
      <c r="J393" s="20">
        <f t="shared" si="140"/>
        <v>0.92298101243157127</v>
      </c>
      <c r="K393" s="21">
        <f t="shared" si="141"/>
        <v>124.49132303082689</v>
      </c>
      <c r="L393" s="21">
        <f t="shared" si="136"/>
        <v>1.8387641470581519</v>
      </c>
      <c r="M393" s="2">
        <f t="shared" si="146"/>
        <v>96.927830649309911</v>
      </c>
      <c r="N393" s="19">
        <f t="shared" si="159"/>
        <v>319.76805596949174</v>
      </c>
      <c r="O393" s="1">
        <f t="shared" si="147"/>
        <v>367</v>
      </c>
      <c r="P393" s="19">
        <f t="shared" si="148"/>
        <v>269.51638727238475</v>
      </c>
      <c r="Q393" s="18">
        <f t="shared" si="149"/>
        <v>7.1298010301986903</v>
      </c>
      <c r="R393" s="2">
        <f t="shared" si="150"/>
        <v>0.94805517472428169</v>
      </c>
      <c r="S393" s="18">
        <f t="shared" si="151"/>
        <v>7.1456019497774284</v>
      </c>
      <c r="T393" s="18">
        <f t="shared" si="152"/>
        <v>3.7723465199685071</v>
      </c>
      <c r="U393" s="1">
        <f t="shared" si="142"/>
        <v>0</v>
      </c>
      <c r="V393" s="2">
        <f t="shared" si="153"/>
        <v>626.35520111917731</v>
      </c>
      <c r="W393" s="19">
        <f t="shared" si="154"/>
        <v>271.14943771392956</v>
      </c>
      <c r="X393" s="20"/>
      <c r="Y393" s="2">
        <f t="shared" si="155"/>
        <v>251.20720208460369</v>
      </c>
      <c r="Z393" s="21">
        <f t="shared" si="156"/>
        <v>2.992922572122001</v>
      </c>
      <c r="AA393" s="2">
        <f t="shared" si="157"/>
        <v>197.22785653148216</v>
      </c>
      <c r="AB393" s="19">
        <f t="shared" si="160"/>
        <v>75.936859777423422</v>
      </c>
      <c r="AC393" s="2"/>
      <c r="AD393" s="18"/>
      <c r="AE393" s="118"/>
      <c r="AG393" s="2"/>
      <c r="AH393" s="19"/>
      <c r="AI393" s="20"/>
      <c r="AJ393" s="21"/>
      <c r="AK393" s="21"/>
      <c r="AM393" s="19"/>
      <c r="AN393" s="18"/>
      <c r="AO393" s="2"/>
      <c r="AP393" s="18"/>
      <c r="AQ393" s="118"/>
      <c r="AS393" s="2"/>
      <c r="AT393" s="19"/>
      <c r="AU393" s="20"/>
      <c r="AV393" s="21"/>
      <c r="AW393" s="21"/>
      <c r="AY393" s="19"/>
      <c r="AZ393" s="18"/>
      <c r="BA393" s="2"/>
      <c r="BB393" s="18"/>
      <c r="BC393" s="118"/>
      <c r="BE393" s="2"/>
      <c r="BF393" s="19"/>
      <c r="BG393" s="20"/>
      <c r="BH393" s="21"/>
      <c r="BI393" s="21"/>
      <c r="BK393" s="19"/>
      <c r="BL393" s="18"/>
      <c r="BM393" s="2"/>
      <c r="BN393" s="18"/>
      <c r="BO393" s="118"/>
      <c r="BQ393" s="2"/>
      <c r="BR393" s="19"/>
      <c r="BS393" s="20"/>
      <c r="BT393" s="21"/>
      <c r="BU393" s="21"/>
      <c r="BW393" s="19"/>
      <c r="BX393" s="18"/>
      <c r="BY393" s="2"/>
      <c r="BZ393" s="18"/>
      <c r="CA393" s="118"/>
      <c r="CC393" s="2"/>
      <c r="CD393" s="19"/>
      <c r="CE393" s="20"/>
      <c r="CF393" s="21"/>
      <c r="CG393" s="21"/>
      <c r="CI393" s="19"/>
      <c r="CJ393" s="18"/>
      <c r="CK393" s="2"/>
      <c r="CL393" s="18"/>
      <c r="CM393" s="118"/>
      <c r="CO393" s="2"/>
      <c r="CP393" s="19"/>
      <c r="CQ393" s="20"/>
      <c r="CR393" s="21"/>
      <c r="CS393" s="21"/>
    </row>
    <row r="394" spans="1:97" x14ac:dyDescent="0.25">
      <c r="A394" s="1">
        <f t="shared" si="143"/>
        <v>368</v>
      </c>
      <c r="B394" s="19">
        <f t="shared" si="144"/>
        <v>144.46269661060654</v>
      </c>
      <c r="C394" s="18">
        <f t="shared" si="158"/>
        <v>5.6008519464350961</v>
      </c>
      <c r="D394" s="2">
        <f t="shared" si="137"/>
        <v>0.93630431288300997</v>
      </c>
      <c r="E394" s="18">
        <f t="shared" si="145"/>
        <v>5.6164570183164795</v>
      </c>
      <c r="F394" s="21">
        <f t="shared" si="138"/>
        <v>2.3480221435769808</v>
      </c>
      <c r="G394" s="1">
        <f t="shared" si="139"/>
        <v>0</v>
      </c>
      <c r="H394" s="2">
        <f t="shared" si="135"/>
        <v>336.05685131407813</v>
      </c>
      <c r="I394" s="19">
        <f t="shared" si="161"/>
        <v>145.47915641302083</v>
      </c>
      <c r="J394" s="20">
        <f t="shared" si="140"/>
        <v>0.92291768335365121</v>
      </c>
      <c r="K394" s="21">
        <f t="shared" si="141"/>
        <v>125.50801661899573</v>
      </c>
      <c r="L394" s="21">
        <f t="shared" si="136"/>
        <v>1.8490247361910643</v>
      </c>
      <c r="M394" s="2">
        <f t="shared" si="146"/>
        <v>97.728274258050632</v>
      </c>
      <c r="N394" s="19">
        <f t="shared" si="159"/>
        <v>319.90027051166663</v>
      </c>
      <c r="O394" s="1">
        <f t="shared" si="147"/>
        <v>368</v>
      </c>
      <c r="P394" s="19">
        <f t="shared" si="148"/>
        <v>271.14943771392956</v>
      </c>
      <c r="Q394" s="18">
        <f t="shared" si="149"/>
        <v>7.1456019497774284</v>
      </c>
      <c r="R394" s="2">
        <f t="shared" si="150"/>
        <v>0.94816972386639586</v>
      </c>
      <c r="S394" s="18">
        <f t="shared" si="151"/>
        <v>7.1614047785085351</v>
      </c>
      <c r="T394" s="18">
        <f t="shared" si="152"/>
        <v>3.7887944901734962</v>
      </c>
      <c r="U394" s="1">
        <f t="shared" si="142"/>
        <v>0</v>
      </c>
      <c r="V394" s="2">
        <f t="shared" si="153"/>
        <v>630.14399560935078</v>
      </c>
      <c r="W394" s="19">
        <f t="shared" si="154"/>
        <v>272.78960848889642</v>
      </c>
      <c r="X394" s="20"/>
      <c r="Y394" s="2">
        <f t="shared" si="155"/>
        <v>252.84775009884882</v>
      </c>
      <c r="Z394" s="21">
        <f t="shared" si="156"/>
        <v>3.0061751833087089</v>
      </c>
      <c r="AA394" s="2">
        <f t="shared" si="157"/>
        <v>198.52923106971105</v>
      </c>
      <c r="AB394" s="19">
        <f t="shared" si="160"/>
        <v>76.040491925014635</v>
      </c>
      <c r="AC394" s="2"/>
      <c r="AD394" s="18"/>
      <c r="AE394" s="118"/>
      <c r="AG394" s="2"/>
      <c r="AH394" s="19"/>
      <c r="AI394" s="20"/>
      <c r="AJ394" s="21"/>
      <c r="AK394" s="21"/>
      <c r="AM394" s="19"/>
      <c r="AN394" s="18"/>
      <c r="AO394" s="2"/>
      <c r="AP394" s="18"/>
      <c r="AQ394" s="118"/>
      <c r="AS394" s="2"/>
      <c r="AT394" s="19"/>
      <c r="AU394" s="20"/>
      <c r="AV394" s="21"/>
      <c r="AW394" s="21"/>
    </row>
    <row r="395" spans="1:97" x14ac:dyDescent="0.25">
      <c r="A395" s="1">
        <f t="shared" si="143"/>
        <v>369</v>
      </c>
      <c r="B395" s="19">
        <f t="shared" si="144"/>
        <v>145.47915641302083</v>
      </c>
      <c r="C395" s="18">
        <f t="shared" si="158"/>
        <v>5.6164570183164795</v>
      </c>
      <c r="D395" s="2">
        <f t="shared" si="137"/>
        <v>0.93643562008393411</v>
      </c>
      <c r="E395" s="18">
        <f t="shared" si="145"/>
        <v>5.6320642786512121</v>
      </c>
      <c r="F395" s="21">
        <f t="shared" si="138"/>
        <v>2.3608838156972358</v>
      </c>
      <c r="G395" s="1">
        <f t="shared" si="139"/>
        <v>0</v>
      </c>
      <c r="H395" s="2">
        <f t="shared" si="135"/>
        <v>338.41773512977539</v>
      </c>
      <c r="I395" s="19">
        <f t="shared" si="161"/>
        <v>146.50118403886381</v>
      </c>
      <c r="J395" s="20">
        <f t="shared" si="140"/>
        <v>0.9228543466206206</v>
      </c>
      <c r="K395" s="21">
        <f t="shared" si="141"/>
        <v>126.53027931119263</v>
      </c>
      <c r="L395" s="21">
        <f t="shared" si="136"/>
        <v>1.8593153185163922</v>
      </c>
      <c r="M395" s="2">
        <f t="shared" si="146"/>
        <v>98.533172664334785</v>
      </c>
      <c r="N395" s="19">
        <f t="shared" si="159"/>
        <v>320.03211770171407</v>
      </c>
      <c r="O395" s="1">
        <f t="shared" si="147"/>
        <v>369</v>
      </c>
      <c r="P395" s="19">
        <f t="shared" si="148"/>
        <v>272.78960848889642</v>
      </c>
      <c r="Q395" s="18">
        <f t="shared" si="149"/>
        <v>7.1614047785085351</v>
      </c>
      <c r="R395" s="2">
        <f t="shared" si="150"/>
        <v>0.9482840939441961</v>
      </c>
      <c r="S395" s="18">
        <f t="shared" si="151"/>
        <v>7.1772095134076048</v>
      </c>
      <c r="T395" s="18">
        <f t="shared" si="152"/>
        <v>3.8052797403211001</v>
      </c>
      <c r="U395" s="1">
        <f t="shared" si="142"/>
        <v>0</v>
      </c>
      <c r="V395" s="2">
        <f t="shared" si="153"/>
        <v>633.94927534967189</v>
      </c>
      <c r="W395" s="19">
        <f t="shared" si="154"/>
        <v>274.43691573578872</v>
      </c>
      <c r="X395" s="20"/>
      <c r="Y395" s="2">
        <f t="shared" si="155"/>
        <v>254.49543622640786</v>
      </c>
      <c r="Z395" s="21">
        <f t="shared" si="156"/>
        <v>3.0194586747371197</v>
      </c>
      <c r="AA395" s="2">
        <f t="shared" si="157"/>
        <v>199.83635603712972</v>
      </c>
      <c r="AB395" s="19">
        <f t="shared" si="160"/>
        <v>76.143895391065001</v>
      </c>
      <c r="AC395" s="2"/>
      <c r="AD395" s="18"/>
      <c r="AE395" s="118"/>
      <c r="AG395" s="2"/>
      <c r="AH395" s="19"/>
      <c r="AI395" s="20"/>
      <c r="AJ395" s="21"/>
      <c r="AK395" s="21"/>
      <c r="AM395" s="19"/>
      <c r="AN395" s="18"/>
      <c r="AO395" s="2"/>
      <c r="AP395" s="18"/>
      <c r="AQ395" s="118"/>
      <c r="AS395" s="2"/>
      <c r="AT395" s="19"/>
      <c r="AU395" s="20"/>
      <c r="AV395" s="21"/>
      <c r="AW395" s="21"/>
    </row>
    <row r="396" spans="1:97" x14ac:dyDescent="0.25">
      <c r="A396" s="1">
        <f t="shared" si="143"/>
        <v>370</v>
      </c>
      <c r="B396" s="19">
        <f t="shared" si="144"/>
        <v>146.50118403886381</v>
      </c>
      <c r="C396" s="18">
        <f t="shared" si="158"/>
        <v>5.6320642786512121</v>
      </c>
      <c r="D396" s="2">
        <f t="shared" si="137"/>
        <v>0.93656674315684429</v>
      </c>
      <c r="E396" s="18">
        <f t="shared" si="145"/>
        <v>5.6476737243704926</v>
      </c>
      <c r="F396" s="21">
        <f t="shared" si="138"/>
        <v>2.3737819298369298</v>
      </c>
      <c r="G396" s="1">
        <f t="shared" si="139"/>
        <v>0</v>
      </c>
      <c r="H396" s="2">
        <f t="shared" si="135"/>
        <v>340.79151705961232</v>
      </c>
      <c r="I396" s="19">
        <f t="shared" si="161"/>
        <v>147.52879526390143</v>
      </c>
      <c r="J396" s="20">
        <f t="shared" si="140"/>
        <v>0.92279100287099258</v>
      </c>
      <c r="K396" s="21">
        <f t="shared" si="141"/>
        <v>127.55812688681202</v>
      </c>
      <c r="L396" s="21">
        <f t="shared" si="136"/>
        <v>1.8696359040148021</v>
      </c>
      <c r="M396" s="2">
        <f t="shared" si="146"/>
        <v>99.342538856548984</v>
      </c>
      <c r="N396" s="19">
        <f t="shared" si="159"/>
        <v>320.16359952423062</v>
      </c>
      <c r="O396" s="1">
        <f t="shared" si="147"/>
        <v>370</v>
      </c>
      <c r="P396" s="19">
        <f t="shared" si="148"/>
        <v>274.43691573578872</v>
      </c>
      <c r="Q396" s="18">
        <f t="shared" si="149"/>
        <v>7.1772095134076048</v>
      </c>
      <c r="R396" s="2">
        <f t="shared" si="150"/>
        <v>0.94839828534114201</v>
      </c>
      <c r="S396" s="18">
        <f t="shared" si="151"/>
        <v>7.1930161514966242</v>
      </c>
      <c r="T396" s="18">
        <f t="shared" si="152"/>
        <v>3.8218022781043253</v>
      </c>
      <c r="U396" s="1">
        <f t="shared" si="142"/>
        <v>0</v>
      </c>
      <c r="V396" s="2">
        <f t="shared" si="153"/>
        <v>637.77107762777621</v>
      </c>
      <c r="W396" s="19">
        <f t="shared" si="154"/>
        <v>276.09137559643989</v>
      </c>
      <c r="X396" s="20"/>
      <c r="Y396" s="2">
        <f t="shared" si="155"/>
        <v>256.15027661282704</v>
      </c>
      <c r="Z396" s="21">
        <f t="shared" si="156"/>
        <v>3.0327730544914102</v>
      </c>
      <c r="AA396" s="2">
        <f t="shared" si="157"/>
        <v>201.14924480530783</v>
      </c>
      <c r="AB396" s="19">
        <f t="shared" si="160"/>
        <v>76.247071155197858</v>
      </c>
      <c r="AC396" s="2"/>
      <c r="AD396" s="18"/>
      <c r="AE396" s="118"/>
      <c r="AG396" s="2"/>
      <c r="AH396" s="19"/>
      <c r="AI396" s="20"/>
      <c r="AJ396" s="21"/>
      <c r="AK396" s="21"/>
      <c r="AM396" s="19"/>
      <c r="AN396" s="18"/>
      <c r="AO396" s="2"/>
      <c r="AP396" s="18"/>
      <c r="AQ396" s="118"/>
      <c r="AS396" s="2"/>
      <c r="AT396" s="19"/>
      <c r="AU396" s="20"/>
      <c r="AV396" s="21"/>
      <c r="AW396" s="21"/>
    </row>
    <row r="397" spans="1:97" x14ac:dyDescent="0.25">
      <c r="A397" s="1">
        <f t="shared" si="143"/>
        <v>371</v>
      </c>
      <c r="B397" s="19">
        <f t="shared" si="144"/>
        <v>147.52879526390143</v>
      </c>
      <c r="C397" s="18">
        <f t="shared" si="158"/>
        <v>5.6476737243704926</v>
      </c>
      <c r="D397" s="2">
        <f t="shared" si="137"/>
        <v>0.9366976818719831</v>
      </c>
      <c r="E397" s="18">
        <f t="shared" si="145"/>
        <v>5.663285352401692</v>
      </c>
      <c r="F397" s="21">
        <f t="shared" si="138"/>
        <v>2.3867164955074038</v>
      </c>
      <c r="G397" s="1">
        <f t="shared" si="139"/>
        <v>0</v>
      </c>
      <c r="H397" s="2">
        <f t="shared" si="135"/>
        <v>343.17823355511973</v>
      </c>
      <c r="I397" s="19">
        <f t="shared" si="161"/>
        <v>148.5620058680172</v>
      </c>
      <c r="J397" s="20">
        <f t="shared" si="140"/>
        <v>0.92272765273674451</v>
      </c>
      <c r="K397" s="21">
        <f t="shared" si="141"/>
        <v>128.59157512936673</v>
      </c>
      <c r="L397" s="21">
        <f t="shared" si="136"/>
        <v>1.8799865026436366</v>
      </c>
      <c r="M397" s="2">
        <f t="shared" si="146"/>
        <v>100.15638582739038</v>
      </c>
      <c r="N397" s="19">
        <f t="shared" si="159"/>
        <v>320.29471794785553</v>
      </c>
      <c r="O397" s="1">
        <f t="shared" si="147"/>
        <v>371</v>
      </c>
      <c r="P397" s="19">
        <f t="shared" si="148"/>
        <v>276.09137559643989</v>
      </c>
      <c r="Q397" s="18">
        <f t="shared" si="149"/>
        <v>7.1930161514966242</v>
      </c>
      <c r="R397" s="2">
        <f t="shared" si="150"/>
        <v>0.94851229844142015</v>
      </c>
      <c r="S397" s="18">
        <f t="shared" si="151"/>
        <v>7.2088246898039809</v>
      </c>
      <c r="T397" s="18">
        <f t="shared" si="152"/>
        <v>3.8383621112013597</v>
      </c>
      <c r="U397" s="1">
        <f t="shared" si="142"/>
        <v>0</v>
      </c>
      <c r="V397" s="2">
        <f t="shared" si="153"/>
        <v>641.60943973897758</v>
      </c>
      <c r="W397" s="19">
        <f t="shared" si="154"/>
        <v>277.75300421600758</v>
      </c>
      <c r="X397" s="20"/>
      <c r="Y397" s="2">
        <f t="shared" si="155"/>
        <v>257.81228740697725</v>
      </c>
      <c r="Z397" s="21">
        <f t="shared" si="156"/>
        <v>3.0461183306403692</v>
      </c>
      <c r="AA397" s="2">
        <f t="shared" si="157"/>
        <v>202.467910749308</v>
      </c>
      <c r="AB397" s="19">
        <f t="shared" si="160"/>
        <v>76.350020190802809</v>
      </c>
      <c r="AC397" s="2"/>
      <c r="AD397" s="18"/>
      <c r="AE397" s="118"/>
      <c r="AG397" s="2"/>
      <c r="AH397" s="19"/>
      <c r="AI397" s="20"/>
      <c r="AJ397" s="21"/>
      <c r="AK397" s="21"/>
      <c r="AM397" s="19"/>
      <c r="AN397" s="18"/>
      <c r="AO397" s="2"/>
      <c r="AP397" s="18"/>
      <c r="AQ397" s="118"/>
      <c r="AS397" s="2"/>
      <c r="AT397" s="19"/>
      <c r="AU397" s="20"/>
      <c r="AV397" s="21"/>
      <c r="AW397" s="21"/>
    </row>
    <row r="398" spans="1:97" x14ac:dyDescent="0.25">
      <c r="A398" s="1">
        <f t="shared" si="143"/>
        <v>372</v>
      </c>
      <c r="B398" s="19">
        <f t="shared" si="144"/>
        <v>148.5620058680172</v>
      </c>
      <c r="C398" s="18">
        <f t="shared" si="158"/>
        <v>5.663285352401692</v>
      </c>
      <c r="D398" s="2">
        <f t="shared" si="137"/>
        <v>0.9368284360121707</v>
      </c>
      <c r="E398" s="18">
        <f t="shared" si="145"/>
        <v>5.6788991596685614</v>
      </c>
      <c r="F398" s="21">
        <f t="shared" si="138"/>
        <v>2.399687522197544</v>
      </c>
      <c r="G398" s="1">
        <f t="shared" si="139"/>
        <v>0</v>
      </c>
      <c r="H398" s="2">
        <f t="shared" si="135"/>
        <v>345.57792107731728</v>
      </c>
      <c r="I398" s="19">
        <f t="shared" si="161"/>
        <v>149.6008316352023</v>
      </c>
      <c r="J398" s="20">
        <f t="shared" si="140"/>
        <v>0.92266429684337048</v>
      </c>
      <c r="K398" s="21">
        <f t="shared" si="141"/>
        <v>129.63063982647827</v>
      </c>
      <c r="L398" s="21">
        <f t="shared" si="136"/>
        <v>1.8903671243370122</v>
      </c>
      <c r="M398" s="2">
        <f t="shared" si="146"/>
        <v>100.97472657385661</v>
      </c>
      <c r="N398" s="19">
        <f t="shared" si="159"/>
        <v>320.42547492544156</v>
      </c>
      <c r="O398" s="1">
        <f t="shared" si="147"/>
        <v>372</v>
      </c>
      <c r="P398" s="19">
        <f t="shared" si="148"/>
        <v>277.75300421600758</v>
      </c>
      <c r="Q398" s="18">
        <f t="shared" si="149"/>
        <v>7.2088246898039809</v>
      </c>
      <c r="R398" s="2">
        <f t="shared" si="150"/>
        <v>0.94862613362990589</v>
      </c>
      <c r="S398" s="18">
        <f t="shared" si="151"/>
        <v>7.2246351253644789</v>
      </c>
      <c r="T398" s="18">
        <f t="shared" si="152"/>
        <v>3.8549592472756444</v>
      </c>
      <c r="U398" s="1">
        <f t="shared" si="142"/>
        <v>0</v>
      </c>
      <c r="V398" s="2">
        <f t="shared" si="153"/>
        <v>645.46439898625317</v>
      </c>
      <c r="W398" s="19">
        <f t="shared" si="154"/>
        <v>279.42181774296671</v>
      </c>
      <c r="X398" s="20"/>
      <c r="Y398" s="2">
        <f t="shared" si="155"/>
        <v>259.48148476104762</v>
      </c>
      <c r="Z398" s="21">
        <f t="shared" si="156"/>
        <v>3.0594945112374661</v>
      </c>
      <c r="AA398" s="2">
        <f t="shared" si="157"/>
        <v>203.79236724767921</v>
      </c>
      <c r="AB398" s="19">
        <f t="shared" si="160"/>
        <v>76.452743465088389</v>
      </c>
      <c r="AC398" s="2"/>
      <c r="AD398" s="18"/>
      <c r="AE398" s="118"/>
      <c r="AG398" s="2"/>
      <c r="AH398" s="19"/>
      <c r="AI398" s="20"/>
      <c r="AJ398" s="21"/>
      <c r="AK398" s="21"/>
      <c r="AM398" s="19"/>
      <c r="AN398" s="18"/>
      <c r="AO398" s="2"/>
      <c r="AP398" s="18"/>
      <c r="AQ398" s="118"/>
      <c r="AS398" s="2"/>
      <c r="AT398" s="19"/>
      <c r="AU398" s="20"/>
      <c r="AV398" s="21"/>
      <c r="AW398" s="21"/>
    </row>
    <row r="399" spans="1:97" x14ac:dyDescent="0.25">
      <c r="A399" s="1">
        <f t="shared" si="143"/>
        <v>373</v>
      </c>
      <c r="B399" s="19">
        <f t="shared" si="144"/>
        <v>149.6008316352023</v>
      </c>
      <c r="C399" s="18">
        <f t="shared" si="158"/>
        <v>5.6788991596685614</v>
      </c>
      <c r="D399" s="2">
        <f t="shared" si="137"/>
        <v>0.93695900537257848</v>
      </c>
      <c r="E399" s="18">
        <f t="shared" si="145"/>
        <v>5.6945151430914374</v>
      </c>
      <c r="F399" s="21">
        <f t="shared" si="138"/>
        <v>2.4126950193738739</v>
      </c>
      <c r="G399" s="1">
        <f t="shared" si="139"/>
        <v>0</v>
      </c>
      <c r="H399" s="2">
        <f t="shared" si="135"/>
        <v>347.99061609669121</v>
      </c>
      <c r="I399" s="19">
        <f t="shared" si="161"/>
        <v>150.64528835354596</v>
      </c>
      <c r="J399" s="20">
        <f t="shared" si="140"/>
        <v>0.92260093580993396</v>
      </c>
      <c r="K399" s="21">
        <f t="shared" si="141"/>
        <v>130.67533676986716</v>
      </c>
      <c r="L399" s="21">
        <f t="shared" si="136"/>
        <v>1.9007777790059126</v>
      </c>
      <c r="M399" s="2">
        <f t="shared" si="146"/>
        <v>101.7975740972358</v>
      </c>
      <c r="N399" s="19">
        <f t="shared" si="159"/>
        <v>320.55587239422329</v>
      </c>
      <c r="O399" s="1">
        <f t="shared" si="147"/>
        <v>373</v>
      </c>
      <c r="P399" s="19">
        <f t="shared" si="148"/>
        <v>279.42181774296671</v>
      </c>
      <c r="Q399" s="18">
        <f t="shared" si="149"/>
        <v>7.2246351253644789</v>
      </c>
      <c r="R399" s="2">
        <f t="shared" si="150"/>
        <v>0.94873979129212738</v>
      </c>
      <c r="S399" s="18">
        <f t="shared" si="151"/>
        <v>7.2404474552193481</v>
      </c>
      <c r="T399" s="18">
        <f t="shared" si="152"/>
        <v>3.8715936939759215</v>
      </c>
      <c r="U399" s="1">
        <f t="shared" si="142"/>
        <v>0</v>
      </c>
      <c r="V399" s="2">
        <f t="shared" si="153"/>
        <v>649.33599268022897</v>
      </c>
      <c r="W399" s="19">
        <f t="shared" si="154"/>
        <v>281.09783232910343</v>
      </c>
      <c r="X399" s="20"/>
      <c r="Y399" s="2">
        <f t="shared" si="155"/>
        <v>261.15788483053922</v>
      </c>
      <c r="Z399" s="21">
        <f t="shared" si="156"/>
        <v>3.0729016043209025</v>
      </c>
      <c r="AA399" s="2">
        <f t="shared" si="157"/>
        <v>205.12262768245017</v>
      </c>
      <c r="AB399" s="19">
        <f t="shared" si="160"/>
        <v>76.555241939134163</v>
      </c>
      <c r="AC399" s="2"/>
      <c r="AD399" s="18"/>
      <c r="AE399" s="118"/>
      <c r="AG399" s="2"/>
      <c r="AH399" s="19"/>
      <c r="AI399" s="20"/>
      <c r="AJ399" s="21"/>
      <c r="AK399" s="21"/>
      <c r="AM399" s="19"/>
      <c r="AN399" s="18"/>
      <c r="AO399" s="2"/>
      <c r="AP399" s="18"/>
      <c r="AQ399" s="118"/>
      <c r="AS399" s="2"/>
      <c r="AT399" s="19"/>
      <c r="AU399" s="20"/>
      <c r="AV399" s="21"/>
      <c r="AW399" s="21"/>
    </row>
    <row r="400" spans="1:97" x14ac:dyDescent="0.25">
      <c r="A400" s="1">
        <f t="shared" si="143"/>
        <v>374</v>
      </c>
      <c r="B400" s="19">
        <f t="shared" si="144"/>
        <v>150.64528835354596</v>
      </c>
      <c r="C400" s="18">
        <f t="shared" si="158"/>
        <v>5.6945151430914374</v>
      </c>
      <c r="D400" s="2">
        <f t="shared" si="137"/>
        <v>0.93708938976050704</v>
      </c>
      <c r="E400" s="18">
        <f t="shared" si="145"/>
        <v>5.7101332995874454</v>
      </c>
      <c r="F400" s="21">
        <f t="shared" si="138"/>
        <v>2.4257389964806473</v>
      </c>
      <c r="G400" s="1">
        <f t="shared" si="139"/>
        <v>0</v>
      </c>
      <c r="H400" s="2">
        <f t="shared" si="135"/>
        <v>350.41635509317189</v>
      </c>
      <c r="I400" s="19">
        <f t="shared" si="161"/>
        <v>151.69539181522592</v>
      </c>
      <c r="J400" s="20">
        <f t="shared" si="140"/>
        <v>0.92253757024912142</v>
      </c>
      <c r="K400" s="21">
        <f t="shared" si="141"/>
        <v>131.72568175534329</v>
      </c>
      <c r="L400" s="21">
        <f t="shared" si="136"/>
        <v>1.9112184765382896</v>
      </c>
      <c r="M400" s="2">
        <f t="shared" si="146"/>
        <v>102.62494140309653</v>
      </c>
      <c r="N400" s="19">
        <f t="shared" si="159"/>
        <v>320.68591227598313</v>
      </c>
      <c r="O400" s="1">
        <f t="shared" si="147"/>
        <v>374</v>
      </c>
      <c r="P400" s="19">
        <f t="shared" si="148"/>
        <v>281.09783232910343</v>
      </c>
      <c r="Q400" s="18">
        <f t="shared" si="149"/>
        <v>7.2404474552193481</v>
      </c>
      <c r="R400" s="2">
        <f t="shared" si="150"/>
        <v>0.94885327181422974</v>
      </c>
      <c r="S400" s="18">
        <f t="shared" si="151"/>
        <v>7.2562616764162522</v>
      </c>
      <c r="T400" s="18">
        <f t="shared" si="152"/>
        <v>3.8882654589363024</v>
      </c>
      <c r="U400" s="1">
        <f t="shared" si="142"/>
        <v>0</v>
      </c>
      <c r="V400" s="2">
        <f t="shared" si="153"/>
        <v>653.22425813916527</v>
      </c>
      <c r="W400" s="19">
        <f t="shared" si="154"/>
        <v>282.78106412950876</v>
      </c>
      <c r="X400" s="20"/>
      <c r="Y400" s="2">
        <f t="shared" si="155"/>
        <v>262.84150377425863</v>
      </c>
      <c r="Z400" s="21">
        <f t="shared" si="156"/>
        <v>3.0863396179136813</v>
      </c>
      <c r="AA400" s="2">
        <f t="shared" si="157"/>
        <v>206.45870543912275</v>
      </c>
      <c r="AB400" s="19">
        <f t="shared" si="160"/>
        <v>76.657516567942295</v>
      </c>
      <c r="AC400" s="2"/>
      <c r="AD400" s="18"/>
      <c r="AE400" s="118"/>
      <c r="AG400" s="2"/>
      <c r="AH400" s="19"/>
      <c r="AI400" s="20"/>
      <c r="AJ400" s="21"/>
      <c r="AK400" s="21"/>
      <c r="AM400" s="19"/>
      <c r="AN400" s="18"/>
      <c r="AO400" s="2"/>
      <c r="AP400" s="18"/>
      <c r="AQ400" s="118"/>
      <c r="AS400" s="2"/>
      <c r="AT400" s="19"/>
      <c r="AU400" s="20"/>
      <c r="AV400" s="21"/>
      <c r="AW400" s="21"/>
    </row>
    <row r="401" spans="1:49" x14ac:dyDescent="0.25">
      <c r="A401" s="1">
        <f t="shared" si="143"/>
        <v>375</v>
      </c>
      <c r="B401" s="19">
        <f t="shared" si="144"/>
        <v>151.69539181522592</v>
      </c>
      <c r="C401" s="18">
        <f t="shared" si="158"/>
        <v>5.7101332995874454</v>
      </c>
      <c r="D401" s="2">
        <f t="shared" si="137"/>
        <v>0.93721958899516722</v>
      </c>
      <c r="E401" s="18">
        <f t="shared" si="145"/>
        <v>5.7257536260706985</v>
      </c>
      <c r="F401" s="21">
        <f t="shared" si="138"/>
        <v>2.43881946293993</v>
      </c>
      <c r="G401" s="1">
        <f t="shared" si="139"/>
        <v>0</v>
      </c>
      <c r="H401" s="2">
        <f t="shared" si="135"/>
        <v>352.85517455611182</v>
      </c>
      <c r="I401" s="19">
        <f t="shared" si="161"/>
        <v>152.75115781649862</v>
      </c>
      <c r="J401" s="20">
        <f t="shared" si="140"/>
        <v>0.92247420076729358</v>
      </c>
      <c r="K401" s="21">
        <f t="shared" si="141"/>
        <v>132.78169058279627</v>
      </c>
      <c r="L401" s="21">
        <f t="shared" si="136"/>
        <v>1.9216892267991526</v>
      </c>
      <c r="M401" s="2">
        <f t="shared" si="146"/>
        <v>103.45684150127798</v>
      </c>
      <c r="N401" s="19">
        <f t="shared" si="159"/>
        <v>320.81559647721548</v>
      </c>
      <c r="O401" s="1">
        <f t="shared" si="147"/>
        <v>375</v>
      </c>
      <c r="P401" s="19">
        <f t="shared" si="148"/>
        <v>282.78106412950876</v>
      </c>
      <c r="Q401" s="18">
        <f t="shared" si="149"/>
        <v>7.2562616764162522</v>
      </c>
      <c r="R401" s="2">
        <f t="shared" si="150"/>
        <v>0.9489665755829404</v>
      </c>
      <c r="S401" s="18">
        <f t="shared" si="151"/>
        <v>7.2720777860093015</v>
      </c>
      <c r="T401" s="18">
        <f t="shared" si="152"/>
        <v>3.9049745497763286</v>
      </c>
      <c r="U401" s="1">
        <f t="shared" si="142"/>
        <v>0</v>
      </c>
      <c r="V401" s="2">
        <f t="shared" si="153"/>
        <v>657.12923268894156</v>
      </c>
      <c r="W401" s="19">
        <f t="shared" si="154"/>
        <v>284.47152930257209</v>
      </c>
      <c r="X401" s="20"/>
      <c r="Y401" s="2">
        <f t="shared" si="155"/>
        <v>264.53235775431176</v>
      </c>
      <c r="Z401" s="21">
        <f t="shared" si="156"/>
        <v>3.099808560023666</v>
      </c>
      <c r="AA401" s="2">
        <f t="shared" si="157"/>
        <v>207.80061390666546</v>
      </c>
      <c r="AB401" s="19">
        <f t="shared" si="160"/>
        <v>76.759568300488567</v>
      </c>
      <c r="AC401" s="2"/>
      <c r="AD401" s="18"/>
      <c r="AE401" s="118"/>
      <c r="AG401" s="2"/>
      <c r="AH401" s="19"/>
      <c r="AI401" s="20"/>
      <c r="AJ401" s="21"/>
      <c r="AK401" s="21"/>
      <c r="AM401" s="19"/>
      <c r="AN401" s="18"/>
      <c r="AO401" s="2"/>
      <c r="AP401" s="18"/>
      <c r="AQ401" s="118"/>
      <c r="AS401" s="2"/>
      <c r="AT401" s="19"/>
      <c r="AU401" s="20"/>
      <c r="AV401" s="21"/>
      <c r="AW401" s="21"/>
    </row>
    <row r="402" spans="1:49" x14ac:dyDescent="0.25">
      <c r="A402" s="1">
        <f t="shared" si="143"/>
        <v>376</v>
      </c>
      <c r="B402" s="19">
        <f t="shared" si="144"/>
        <v>152.75115781649862</v>
      </c>
      <c r="C402" s="18">
        <f t="shared" si="158"/>
        <v>5.7257536260706985</v>
      </c>
      <c r="D402" s="2">
        <f t="shared" si="137"/>
        <v>0.93734960290746516</v>
      </c>
      <c r="E402" s="18">
        <f t="shared" si="145"/>
        <v>5.7413761194524895</v>
      </c>
      <c r="F402" s="21">
        <f t="shared" si="138"/>
        <v>2.4519364281517033</v>
      </c>
      <c r="G402" s="1">
        <f t="shared" si="139"/>
        <v>0</v>
      </c>
      <c r="H402" s="2">
        <f t="shared" si="135"/>
        <v>355.30711098426355</v>
      </c>
      <c r="I402" s="19">
        <f t="shared" si="161"/>
        <v>153.81260215768984</v>
      </c>
      <c r="J402" s="20">
        <f t="shared" si="140"/>
        <v>0.92241082796453877</v>
      </c>
      <c r="K402" s="21">
        <f t="shared" si="141"/>
        <v>133.84337905618597</v>
      </c>
      <c r="L402" s="21">
        <f t="shared" si="136"/>
        <v>1.9321900396306724</v>
      </c>
      <c r="M402" s="2">
        <f t="shared" si="146"/>
        <v>104.29328740587999</v>
      </c>
      <c r="N402" s="19">
        <f t="shared" si="159"/>
        <v>320.94492688928835</v>
      </c>
      <c r="O402" s="1">
        <f t="shared" si="147"/>
        <v>376</v>
      </c>
      <c r="P402" s="19">
        <f t="shared" si="148"/>
        <v>284.47152930257209</v>
      </c>
      <c r="Q402" s="18">
        <f t="shared" si="149"/>
        <v>7.2720777860093015</v>
      </c>
      <c r="R402" s="2">
        <f t="shared" si="150"/>
        <v>0.94907970298553312</v>
      </c>
      <c r="S402" s="18">
        <f t="shared" si="151"/>
        <v>7.2878957810590608</v>
      </c>
      <c r="T402" s="18">
        <f t="shared" si="152"/>
        <v>3.9217209741010275</v>
      </c>
      <c r="U402" s="1">
        <f t="shared" si="142"/>
        <v>0</v>
      </c>
      <c r="V402" s="2">
        <f t="shared" si="153"/>
        <v>661.05095366304261</v>
      </c>
      <c r="W402" s="19">
        <f t="shared" si="154"/>
        <v>286.16924400997516</v>
      </c>
      <c r="X402" s="20"/>
      <c r="Y402" s="2">
        <f t="shared" si="155"/>
        <v>266.23046293609752</v>
      </c>
      <c r="Z402" s="21">
        <f t="shared" si="156"/>
        <v>3.11330843864364</v>
      </c>
      <c r="AA402" s="2">
        <f t="shared" si="157"/>
        <v>209.14836647750687</v>
      </c>
      <c r="AB402" s="19">
        <f t="shared" si="160"/>
        <v>76.86139807977284</v>
      </c>
      <c r="AC402" s="2"/>
      <c r="AD402" s="18"/>
      <c r="AE402" s="118"/>
      <c r="AG402" s="2"/>
      <c r="AH402" s="19"/>
      <c r="AI402" s="20"/>
      <c r="AJ402" s="21"/>
      <c r="AK402" s="21"/>
      <c r="AM402" s="19"/>
      <c r="AN402" s="18"/>
      <c r="AO402" s="2"/>
      <c r="AP402" s="18"/>
      <c r="AQ402" s="118"/>
      <c r="AS402" s="2"/>
      <c r="AT402" s="19"/>
      <c r="AU402" s="20"/>
      <c r="AV402" s="21"/>
      <c r="AW402" s="21"/>
    </row>
    <row r="403" spans="1:49" x14ac:dyDescent="0.25">
      <c r="A403" s="1">
        <f t="shared" si="143"/>
        <v>377</v>
      </c>
      <c r="B403" s="19">
        <f t="shared" si="144"/>
        <v>153.81260215768984</v>
      </c>
      <c r="C403" s="18">
        <f t="shared" si="158"/>
        <v>5.7413761194524895</v>
      </c>
      <c r="D403" s="2">
        <f t="shared" si="137"/>
        <v>0.93747943133978884</v>
      </c>
      <c r="E403" s="18">
        <f t="shared" si="145"/>
        <v>5.7570007766414859</v>
      </c>
      <c r="F403" s="21">
        <f t="shared" si="138"/>
        <v>2.4650899014939416</v>
      </c>
      <c r="G403" s="1">
        <f t="shared" si="139"/>
        <v>0</v>
      </c>
      <c r="H403" s="2">
        <f t="shared" si="135"/>
        <v>357.77220088575751</v>
      </c>
      <c r="I403" s="19">
        <f t="shared" si="161"/>
        <v>154.87974064318507</v>
      </c>
      <c r="J403" s="20">
        <f t="shared" si="140"/>
        <v>0.92234745243472371</v>
      </c>
      <c r="K403" s="21">
        <f t="shared" si="141"/>
        <v>134.91076298353283</v>
      </c>
      <c r="L403" s="21">
        <f t="shared" si="136"/>
        <v>1.9427209248522694</v>
      </c>
      <c r="M403" s="2">
        <f t="shared" si="146"/>
        <v>105.13429213525328</v>
      </c>
      <c r="N403" s="19">
        <f t="shared" si="159"/>
        <v>321.0739053886029</v>
      </c>
      <c r="O403" s="1">
        <f t="shared" si="147"/>
        <v>377</v>
      </c>
      <c r="P403" s="19">
        <f t="shared" si="148"/>
        <v>286.16924400997516</v>
      </c>
      <c r="Q403" s="18">
        <f t="shared" si="149"/>
        <v>7.2878957810590608</v>
      </c>
      <c r="R403" s="2">
        <f t="shared" si="150"/>
        <v>0.9491926544097965</v>
      </c>
      <c r="S403" s="18">
        <f t="shared" si="151"/>
        <v>7.3037156586325578</v>
      </c>
      <c r="T403" s="18">
        <f t="shared" si="152"/>
        <v>3.9385047395009751</v>
      </c>
      <c r="U403" s="1">
        <f t="shared" si="142"/>
        <v>0</v>
      </c>
      <c r="V403" s="2">
        <f t="shared" si="153"/>
        <v>664.98945840254362</v>
      </c>
      <c r="W403" s="19">
        <f t="shared" si="154"/>
        <v>287.87422441668554</v>
      </c>
      <c r="X403" s="20"/>
      <c r="Y403" s="2">
        <f t="shared" si="155"/>
        <v>267.93583548830145</v>
      </c>
      <c r="Z403" s="21">
        <f t="shared" si="156"/>
        <v>3.1268392617513698</v>
      </c>
      <c r="AA403" s="2">
        <f t="shared" si="157"/>
        <v>210.5019765475291</v>
      </c>
      <c r="AB403" s="19">
        <f t="shared" si="160"/>
        <v>76.963006842869035</v>
      </c>
      <c r="AC403" s="2"/>
      <c r="AD403" s="18"/>
      <c r="AE403" s="118"/>
      <c r="AG403" s="2"/>
      <c r="AH403" s="19"/>
      <c r="AI403" s="20"/>
      <c r="AJ403" s="21"/>
      <c r="AK403" s="21"/>
      <c r="AM403" s="19"/>
      <c r="AN403" s="18"/>
      <c r="AO403" s="2"/>
      <c r="AP403" s="18"/>
      <c r="AQ403" s="118"/>
      <c r="AS403" s="2"/>
      <c r="AT403" s="19"/>
      <c r="AU403" s="20"/>
      <c r="AV403" s="21"/>
      <c r="AW403" s="21"/>
    </row>
    <row r="404" spans="1:49" x14ac:dyDescent="0.25">
      <c r="A404" s="1">
        <f t="shared" si="143"/>
        <v>378</v>
      </c>
      <c r="B404" s="19">
        <f t="shared" si="144"/>
        <v>154.87974064318507</v>
      </c>
      <c r="C404" s="18">
        <f t="shared" si="158"/>
        <v>5.7570007766414859</v>
      </c>
      <c r="D404" s="2">
        <f t="shared" si="137"/>
        <v>0.93760907414580064</v>
      </c>
      <c r="E404" s="18">
        <f t="shared" si="145"/>
        <v>5.7726275945439163</v>
      </c>
      <c r="F404" s="21">
        <f t="shared" si="138"/>
        <v>2.4782798923227083</v>
      </c>
      <c r="G404" s="1">
        <f t="shared" si="139"/>
        <v>0</v>
      </c>
      <c r="H404" s="2">
        <f t="shared" si="135"/>
        <v>360.2504807780802</v>
      </c>
      <c r="I404" s="19">
        <f t="shared" si="161"/>
        <v>155.95258908142</v>
      </c>
      <c r="J404" s="20">
        <f t="shared" si="140"/>
        <v>0.92228407476554708</v>
      </c>
      <c r="K404" s="21">
        <f t="shared" si="141"/>
        <v>135.98385817690857</v>
      </c>
      <c r="L404" s="21">
        <f t="shared" si="136"/>
        <v>1.9532818922607122</v>
      </c>
      <c r="M404" s="2">
        <f t="shared" si="146"/>
        <v>105.97986871198951</v>
      </c>
      <c r="N404" s="19">
        <f t="shared" si="159"/>
        <v>321.20253383675112</v>
      </c>
      <c r="O404" s="1">
        <f t="shared" si="147"/>
        <v>378</v>
      </c>
      <c r="P404" s="19">
        <f t="shared" si="148"/>
        <v>287.87422441668554</v>
      </c>
      <c r="Q404" s="18">
        <f t="shared" si="149"/>
        <v>7.3037156586325578</v>
      </c>
      <c r="R404" s="2">
        <f t="shared" si="150"/>
        <v>0.94930543024399894</v>
      </c>
      <c r="S404" s="18">
        <f t="shared" si="151"/>
        <v>7.3195374158032909</v>
      </c>
      <c r="T404" s="18">
        <f t="shared" si="152"/>
        <v>3.9553258535523552</v>
      </c>
      <c r="U404" s="1">
        <f t="shared" si="142"/>
        <v>0</v>
      </c>
      <c r="V404" s="2">
        <f t="shared" si="153"/>
        <v>668.944784256096</v>
      </c>
      <c r="W404" s="19">
        <f t="shared" si="154"/>
        <v>289.58648669095066</v>
      </c>
      <c r="X404" s="20"/>
      <c r="Y404" s="2">
        <f t="shared" si="155"/>
        <v>269.64849158288962</v>
      </c>
      <c r="Z404" s="21">
        <f t="shared" si="156"/>
        <v>3.1404010373096649</v>
      </c>
      <c r="AA404" s="2">
        <f t="shared" si="157"/>
        <v>211.86145751606142</v>
      </c>
      <c r="AB404" s="19">
        <f t="shared" si="160"/>
        <v>77.064395520974557</v>
      </c>
      <c r="AC404" s="2"/>
      <c r="AD404" s="18"/>
      <c r="AE404" s="118"/>
      <c r="AG404" s="2"/>
      <c r="AH404" s="19"/>
      <c r="AI404" s="20"/>
      <c r="AJ404" s="21"/>
      <c r="AK404" s="21"/>
      <c r="AM404" s="19"/>
      <c r="AN404" s="18"/>
      <c r="AO404" s="2"/>
      <c r="AP404" s="18"/>
      <c r="AQ404" s="118"/>
      <c r="AS404" s="2"/>
      <c r="AT404" s="19"/>
      <c r="AU404" s="20"/>
      <c r="AV404" s="21"/>
      <c r="AW404" s="21"/>
    </row>
    <row r="405" spans="1:49" x14ac:dyDescent="0.25">
      <c r="A405" s="1">
        <f t="shared" si="143"/>
        <v>379</v>
      </c>
      <c r="B405" s="19">
        <f t="shared" si="144"/>
        <v>155.95258908142</v>
      </c>
      <c r="C405" s="18">
        <f t="shared" si="158"/>
        <v>5.7726275945439163</v>
      </c>
      <c r="D405" s="2">
        <f t="shared" si="137"/>
        <v>0.93773853119022998</v>
      </c>
      <c r="E405" s="18">
        <f t="shared" si="145"/>
        <v>5.7882565700637532</v>
      </c>
      <c r="F405" s="21">
        <f t="shared" si="138"/>
        <v>2.4915064099722479</v>
      </c>
      <c r="G405" s="1">
        <f t="shared" si="139"/>
        <v>0</v>
      </c>
      <c r="H405" s="2">
        <f t="shared" si="135"/>
        <v>362.74198718805246</v>
      </c>
      <c r="I405" s="19">
        <f t="shared" si="161"/>
        <v>157.03116328487118</v>
      </c>
      <c r="J405" s="20">
        <f t="shared" si="140"/>
        <v>0.92222069553858865</v>
      </c>
      <c r="K405" s="21">
        <f t="shared" si="141"/>
        <v>137.06268045242655</v>
      </c>
      <c r="L405" s="21">
        <f t="shared" si="136"/>
        <v>1.9638729516302145</v>
      </c>
      <c r="M405" s="2">
        <f t="shared" si="146"/>
        <v>106.83003016291168</v>
      </c>
      <c r="N405" s="19">
        <f t="shared" si="159"/>
        <v>321.33081408067113</v>
      </c>
      <c r="O405" s="1">
        <f t="shared" si="147"/>
        <v>379</v>
      </c>
      <c r="P405" s="19">
        <f t="shared" si="148"/>
        <v>289.58648669095066</v>
      </c>
      <c r="Q405" s="18">
        <f t="shared" si="149"/>
        <v>7.3195374158032909</v>
      </c>
      <c r="R405" s="2">
        <f t="shared" si="150"/>
        <v>0.94941803087685739</v>
      </c>
      <c r="S405" s="18">
        <f t="shared" si="151"/>
        <v>7.3353610496512385</v>
      </c>
      <c r="T405" s="18">
        <f t="shared" si="152"/>
        <v>3.972184323817018</v>
      </c>
      <c r="U405" s="1">
        <f t="shared" si="142"/>
        <v>0</v>
      </c>
      <c r="V405" s="2">
        <f t="shared" si="153"/>
        <v>672.91696857991303</v>
      </c>
      <c r="W405" s="19">
        <f t="shared" si="154"/>
        <v>291.30604700429137</v>
      </c>
      <c r="X405" s="20"/>
      <c r="Y405" s="2">
        <f t="shared" si="155"/>
        <v>271.36844739510241</v>
      </c>
      <c r="Z405" s="21">
        <f t="shared" si="156"/>
        <v>3.1539937732664369</v>
      </c>
      <c r="AA405" s="2">
        <f t="shared" si="157"/>
        <v>213.22682278587374</v>
      </c>
      <c r="AB405" s="19">
        <f t="shared" si="160"/>
        <v>77.165565039459239</v>
      </c>
      <c r="AC405" s="2"/>
      <c r="AD405" s="18"/>
      <c r="AE405" s="118"/>
      <c r="AG405" s="2"/>
      <c r="AH405" s="19"/>
      <c r="AI405" s="20"/>
      <c r="AJ405" s="21"/>
      <c r="AK405" s="21"/>
      <c r="AM405" s="19"/>
      <c r="AN405" s="18"/>
      <c r="AO405" s="2"/>
      <c r="AP405" s="18"/>
      <c r="AQ405" s="118"/>
      <c r="AS405" s="2"/>
      <c r="AT405" s="19"/>
      <c r="AU405" s="20"/>
      <c r="AV405" s="21"/>
      <c r="AW405" s="21"/>
    </row>
    <row r="406" spans="1:49" x14ac:dyDescent="0.25">
      <c r="A406" s="1">
        <f t="shared" si="143"/>
        <v>380</v>
      </c>
      <c r="B406" s="19">
        <f t="shared" si="144"/>
        <v>157.03116328487118</v>
      </c>
      <c r="C406" s="18">
        <f t="shared" si="158"/>
        <v>5.7882565700637532</v>
      </c>
      <c r="D406" s="2">
        <f t="shared" si="137"/>
        <v>0.93786780234867173</v>
      </c>
      <c r="E406" s="18">
        <f t="shared" si="145"/>
        <v>5.8038877001028979</v>
      </c>
      <c r="F406" s="21">
        <f t="shared" si="138"/>
        <v>2.5047694637550704</v>
      </c>
      <c r="G406" s="1">
        <f t="shared" si="139"/>
        <v>0</v>
      </c>
      <c r="H406" s="2">
        <f t="shared" si="135"/>
        <v>365.24675665180752</v>
      </c>
      <c r="I406" s="19">
        <f t="shared" si="161"/>
        <v>158.11547907004655</v>
      </c>
      <c r="J406" s="20">
        <f t="shared" si="140"/>
        <v>0.92215731532936329</v>
      </c>
      <c r="K406" s="21">
        <f t="shared" si="141"/>
        <v>138.1472456302325</v>
      </c>
      <c r="L406" s="21">
        <f t="shared" si="136"/>
        <v>1.9744941127125248</v>
      </c>
      <c r="M406" s="2">
        <f t="shared" si="146"/>
        <v>107.6847895190643</v>
      </c>
      <c r="N406" s="19">
        <f t="shared" si="159"/>
        <v>321.45874795280065</v>
      </c>
      <c r="O406" s="1">
        <f t="shared" si="147"/>
        <v>380</v>
      </c>
      <c r="P406" s="19">
        <f t="shared" si="148"/>
        <v>291.30604700429137</v>
      </c>
      <c r="Q406" s="18">
        <f t="shared" si="149"/>
        <v>7.3353610496512385</v>
      </c>
      <c r="R406" s="2">
        <f t="shared" si="150"/>
        <v>0.94953045669750524</v>
      </c>
      <c r="S406" s="18">
        <f t="shared" si="151"/>
        <v>7.3511865572628636</v>
      </c>
      <c r="T406" s="18">
        <f t="shared" si="152"/>
        <v>3.9890801578425386</v>
      </c>
      <c r="U406" s="1">
        <f t="shared" si="142"/>
        <v>0</v>
      </c>
      <c r="V406" s="2">
        <f t="shared" si="153"/>
        <v>676.90604873775555</v>
      </c>
      <c r="W406" s="19">
        <f t="shared" si="154"/>
        <v>293.0329215314959</v>
      </c>
      <c r="X406" s="20"/>
      <c r="Y406" s="2">
        <f t="shared" si="155"/>
        <v>273.09571910344823</v>
      </c>
      <c r="Z406" s="21">
        <f t="shared" si="156"/>
        <v>3.1676174775547596</v>
      </c>
      <c r="AA406" s="2">
        <f t="shared" si="157"/>
        <v>214.59808576317016</v>
      </c>
      <c r="AB406" s="19">
        <f t="shared" si="160"/>
        <v>77.266516317913712</v>
      </c>
      <c r="AC406" s="2"/>
      <c r="AD406" s="18"/>
      <c r="AE406" s="118"/>
      <c r="AG406" s="2"/>
      <c r="AH406" s="19"/>
      <c r="AI406" s="20"/>
      <c r="AJ406" s="21"/>
      <c r="AK406" s="21"/>
      <c r="AM406" s="19"/>
      <c r="AN406" s="18"/>
      <c r="AO406" s="2"/>
      <c r="AP406" s="18"/>
      <c r="AQ406" s="118"/>
      <c r="AS406" s="2"/>
      <c r="AT406" s="19"/>
      <c r="AU406" s="20"/>
      <c r="AV406" s="21"/>
      <c r="AW406" s="21"/>
    </row>
    <row r="407" spans="1:49" x14ac:dyDescent="0.25">
      <c r="A407" s="1">
        <f t="shared" si="143"/>
        <v>381</v>
      </c>
      <c r="B407" s="19">
        <f t="shared" si="144"/>
        <v>158.11547907004655</v>
      </c>
      <c r="C407" s="18">
        <f t="shared" si="158"/>
        <v>5.8038877001028979</v>
      </c>
      <c r="D407" s="2">
        <f t="shared" si="137"/>
        <v>0.9379968875073863</v>
      </c>
      <c r="E407" s="18">
        <f t="shared" si="145"/>
        <v>5.8195209815613547</v>
      </c>
      <c r="F407" s="21">
        <f t="shared" si="138"/>
        <v>2.5180690629620446</v>
      </c>
      <c r="G407" s="1">
        <f t="shared" si="139"/>
        <v>0</v>
      </c>
      <c r="H407" s="2">
        <f t="shared" si="135"/>
        <v>367.76482571476959</v>
      </c>
      <c r="I407" s="19">
        <f t="shared" si="161"/>
        <v>159.205552257476</v>
      </c>
      <c r="J407" s="20">
        <f t="shared" si="140"/>
        <v>0.92209393470736922</v>
      </c>
      <c r="K407" s="21">
        <f t="shared" si="141"/>
        <v>139.23756953449507</v>
      </c>
      <c r="L407" s="21">
        <f t="shared" si="136"/>
        <v>1.9851453852370258</v>
      </c>
      <c r="M407" s="2">
        <f t="shared" si="146"/>
        <v>108.54415981570371</v>
      </c>
      <c r="N407" s="19">
        <f t="shared" si="159"/>
        <v>321.58633727122839</v>
      </c>
      <c r="O407" s="1">
        <f t="shared" si="147"/>
        <v>381</v>
      </c>
      <c r="P407" s="19">
        <f t="shared" si="148"/>
        <v>293.0329215314959</v>
      </c>
      <c r="Q407" s="18">
        <f t="shared" si="149"/>
        <v>7.3511865572628636</v>
      </c>
      <c r="R407" s="2">
        <f t="shared" si="150"/>
        <v>0.94964270809546059</v>
      </c>
      <c r="S407" s="18">
        <f t="shared" si="151"/>
        <v>7.3670139357311211</v>
      </c>
      <c r="T407" s="18">
        <f t="shared" si="152"/>
        <v>4.0060133631622747</v>
      </c>
      <c r="U407" s="1">
        <f t="shared" si="142"/>
        <v>0</v>
      </c>
      <c r="V407" s="2">
        <f t="shared" si="153"/>
        <v>680.91206210091786</v>
      </c>
      <c r="W407" s="19">
        <f t="shared" si="154"/>
        <v>294.76712645061377</v>
      </c>
      <c r="X407" s="20"/>
      <c r="Y407" s="2">
        <f t="shared" si="155"/>
        <v>274.83032288969747</v>
      </c>
      <c r="Z407" s="21">
        <f t="shared" si="156"/>
        <v>3.181272158092928</v>
      </c>
      <c r="AA407" s="2">
        <f t="shared" si="157"/>
        <v>215.97525985758267</v>
      </c>
      <c r="AB407" s="19">
        <f t="shared" si="160"/>
        <v>77.367250270197346</v>
      </c>
      <c r="AC407" s="2"/>
      <c r="AD407" s="18"/>
      <c r="AE407" s="118"/>
      <c r="AG407" s="2"/>
      <c r="AH407" s="19"/>
      <c r="AI407" s="20"/>
      <c r="AJ407" s="21"/>
      <c r="AK407" s="21"/>
      <c r="AM407" s="19"/>
      <c r="AN407" s="18"/>
      <c r="AO407" s="2"/>
      <c r="AP407" s="18"/>
      <c r="AQ407" s="118"/>
      <c r="AS407" s="2"/>
      <c r="AT407" s="19"/>
      <c r="AU407" s="20"/>
      <c r="AV407" s="21"/>
      <c r="AW407" s="21"/>
    </row>
    <row r="408" spans="1:49" x14ac:dyDescent="0.25">
      <c r="A408" s="1">
        <f t="shared" si="143"/>
        <v>382</v>
      </c>
      <c r="B408" s="19">
        <f t="shared" si="144"/>
        <v>159.205552257476</v>
      </c>
      <c r="C408" s="18">
        <f t="shared" si="158"/>
        <v>5.8195209815613547</v>
      </c>
      <c r="D408" s="2">
        <f t="shared" si="137"/>
        <v>0.93812578656310297</v>
      </c>
      <c r="E408" s="18">
        <f t="shared" si="145"/>
        <v>5.8351564113374064</v>
      </c>
      <c r="F408" s="21">
        <f t="shared" si="138"/>
        <v>2.5314052168624865</v>
      </c>
      <c r="G408" s="1">
        <f t="shared" si="139"/>
        <v>0</v>
      </c>
      <c r="H408" s="2">
        <f t="shared" si="135"/>
        <v>370.29623093163207</v>
      </c>
      <c r="I408" s="19">
        <f t="shared" si="161"/>
        <v>160.3013986717022</v>
      </c>
      <c r="J408" s="20">
        <f t="shared" si="140"/>
        <v>0.922030554236141</v>
      </c>
      <c r="K408" s="21">
        <f t="shared" si="141"/>
        <v>140.33366799339652</v>
      </c>
      <c r="L408" s="21">
        <f t="shared" si="136"/>
        <v>1.9958267789108253</v>
      </c>
      <c r="M408" s="2">
        <f t="shared" si="146"/>
        <v>109.40815409228848</v>
      </c>
      <c r="N408" s="19">
        <f t="shared" si="159"/>
        <v>321.71358383984352</v>
      </c>
      <c r="O408" s="1">
        <f t="shared" si="147"/>
        <v>382</v>
      </c>
      <c r="P408" s="19">
        <f t="shared" si="148"/>
        <v>294.76712645061377</v>
      </c>
      <c r="Q408" s="18">
        <f t="shared" si="149"/>
        <v>7.3670139357311211</v>
      </c>
      <c r="R408" s="2">
        <f t="shared" si="150"/>
        <v>0.949754785460597</v>
      </c>
      <c r="S408" s="18">
        <f t="shared" si="151"/>
        <v>7.3828431821554643</v>
      </c>
      <c r="T408" s="18">
        <f t="shared" si="152"/>
        <v>4.0229839472954252</v>
      </c>
      <c r="U408" s="1">
        <f t="shared" si="142"/>
        <v>0</v>
      </c>
      <c r="V408" s="2">
        <f t="shared" si="153"/>
        <v>684.93504604821328</v>
      </c>
      <c r="W408" s="19">
        <f t="shared" si="154"/>
        <v>296.50867794294948</v>
      </c>
      <c r="X408" s="20"/>
      <c r="Y408" s="2">
        <f t="shared" si="155"/>
        <v>276.57227493887638</v>
      </c>
      <c r="Z408" s="21">
        <f t="shared" si="156"/>
        <v>3.194957822784517</v>
      </c>
      <c r="AA408" s="2">
        <f t="shared" si="157"/>
        <v>217.3583584821647</v>
      </c>
      <c r="AB408" s="19">
        <f t="shared" si="160"/>
        <v>77.467767804485661</v>
      </c>
      <c r="AC408" s="2"/>
      <c r="AD408" s="18"/>
      <c r="AE408" s="118"/>
      <c r="AG408" s="2"/>
      <c r="AH408" s="19"/>
      <c r="AI408" s="20"/>
      <c r="AJ408" s="21"/>
      <c r="AK408" s="21"/>
      <c r="AM408" s="19"/>
      <c r="AN408" s="18"/>
      <c r="AO408" s="2"/>
      <c r="AP408" s="18"/>
      <c r="AQ408" s="118"/>
      <c r="AS408" s="2"/>
      <c r="AT408" s="19"/>
      <c r="AU408" s="20"/>
      <c r="AV408" s="21"/>
      <c r="AW408" s="21"/>
    </row>
    <row r="409" spans="1:49" x14ac:dyDescent="0.25">
      <c r="A409" s="1">
        <f t="shared" si="143"/>
        <v>383</v>
      </c>
      <c r="B409" s="19">
        <f t="shared" si="144"/>
        <v>160.3013986717022</v>
      </c>
      <c r="C409" s="18">
        <f t="shared" si="158"/>
        <v>5.8351564113374064</v>
      </c>
      <c r="D409" s="2">
        <f t="shared" si="137"/>
        <v>0.93825449942282735</v>
      </c>
      <c r="E409" s="18">
        <f t="shared" si="145"/>
        <v>5.8507939863277869</v>
      </c>
      <c r="F409" s="21">
        <f t="shared" si="138"/>
        <v>2.5447779347042481</v>
      </c>
      <c r="G409" s="1">
        <f t="shared" si="139"/>
        <v>0</v>
      </c>
      <c r="H409" s="2">
        <f t="shared" si="135"/>
        <v>372.84100886633638</v>
      </c>
      <c r="I409" s="19">
        <f t="shared" si="161"/>
        <v>161.40303414127115</v>
      </c>
      <c r="J409" s="20">
        <f t="shared" si="140"/>
        <v>0.92196717447329923</v>
      </c>
      <c r="K409" s="21">
        <f t="shared" si="141"/>
        <v>141.43555683912345</v>
      </c>
      <c r="L409" s="21">
        <f t="shared" si="136"/>
        <v>2.0065383034188518</v>
      </c>
      <c r="M409" s="2">
        <f t="shared" si="146"/>
        <v>110.2767853924698</v>
      </c>
      <c r="N409" s="19">
        <f t="shared" si="159"/>
        <v>321.84048944848303</v>
      </c>
      <c r="O409" s="1">
        <f t="shared" si="147"/>
        <v>383</v>
      </c>
      <c r="P409" s="19">
        <f t="shared" si="148"/>
        <v>296.50867794294948</v>
      </c>
      <c r="Q409" s="18">
        <f t="shared" si="149"/>
        <v>7.3828431821554643</v>
      </c>
      <c r="R409" s="2">
        <f t="shared" si="150"/>
        <v>0.94986668918311201</v>
      </c>
      <c r="S409" s="18">
        <f t="shared" si="151"/>
        <v>7.3986742936418493</v>
      </c>
      <c r="T409" s="18">
        <f t="shared" si="152"/>
        <v>4.0399919177470904</v>
      </c>
      <c r="U409" s="1">
        <f t="shared" si="142"/>
        <v>0</v>
      </c>
      <c r="V409" s="2">
        <f t="shared" si="153"/>
        <v>688.97503796596038</v>
      </c>
      <c r="W409" s="19">
        <f t="shared" si="154"/>
        <v>298.25759219305644</v>
      </c>
      <c r="X409" s="20"/>
      <c r="Y409" s="2">
        <f t="shared" si="155"/>
        <v>278.32159143926089</v>
      </c>
      <c r="Z409" s="21">
        <f t="shared" si="156"/>
        <v>3.2086744795184416</v>
      </c>
      <c r="AA409" s="2">
        <f t="shared" si="157"/>
        <v>218.74739505338482</v>
      </c>
      <c r="AB409" s="19">
        <f t="shared" si="160"/>
        <v>77.568069823317273</v>
      </c>
      <c r="AC409" s="2"/>
      <c r="AD409" s="18"/>
      <c r="AE409" s="118"/>
      <c r="AG409" s="2"/>
      <c r="AH409" s="19"/>
      <c r="AI409" s="20"/>
      <c r="AJ409" s="21"/>
      <c r="AK409" s="21"/>
      <c r="AM409" s="19"/>
      <c r="AN409" s="18"/>
      <c r="AO409" s="2"/>
      <c r="AP409" s="18"/>
      <c r="AQ409" s="118"/>
      <c r="AS409" s="2"/>
      <c r="AT409" s="19"/>
      <c r="AU409" s="20"/>
      <c r="AV409" s="21"/>
      <c r="AW409" s="21"/>
    </row>
    <row r="410" spans="1:49" x14ac:dyDescent="0.25">
      <c r="A410" s="1">
        <f t="shared" si="143"/>
        <v>384</v>
      </c>
      <c r="B410" s="19">
        <f t="shared" si="144"/>
        <v>161.40303414127115</v>
      </c>
      <c r="C410" s="18">
        <f t="shared" si="158"/>
        <v>5.8507939863277869</v>
      </c>
      <c r="D410" s="2">
        <f t="shared" si="137"/>
        <v>0.93838302600364953</v>
      </c>
      <c r="E410" s="18">
        <f t="shared" si="145"/>
        <v>5.8664337034278473</v>
      </c>
      <c r="F410" s="21">
        <f t="shared" si="138"/>
        <v>2.558187225713807</v>
      </c>
      <c r="G410" s="1">
        <f t="shared" si="139"/>
        <v>0</v>
      </c>
      <c r="H410" s="2">
        <f t="shared" ref="H410:H473" si="162">(B410*2.31)+F410-G410</f>
        <v>375.3991960920502</v>
      </c>
      <c r="I410" s="19">
        <f t="shared" si="161"/>
        <v>162.51047449872303</v>
      </c>
      <c r="J410" s="20">
        <f t="shared" si="140"/>
        <v>0.92190379597060057</v>
      </c>
      <c r="K410" s="21">
        <f t="shared" si="141"/>
        <v>142.54325190785752</v>
      </c>
      <c r="L410" s="21">
        <f t="shared" ref="L410:L473" si="163">($C$11*((0.4085*E410/$C$5^2))^2)/64.4</f>
        <v>2.0172799684239453</v>
      </c>
      <c r="M410" s="2">
        <f t="shared" si="146"/>
        <v>111.1500667640819</v>
      </c>
      <c r="N410" s="19">
        <f t="shared" si="159"/>
        <v>321.96705587307736</v>
      </c>
      <c r="O410" s="1">
        <f t="shared" si="147"/>
        <v>384</v>
      </c>
      <c r="P410" s="19">
        <f t="shared" si="148"/>
        <v>298.25759219305644</v>
      </c>
      <c r="Q410" s="18">
        <f t="shared" si="149"/>
        <v>7.3986742936418493</v>
      </c>
      <c r="R410" s="2">
        <f t="shared" si="150"/>
        <v>0.94997841965349883</v>
      </c>
      <c r="S410" s="18">
        <f t="shared" si="151"/>
        <v>7.4145072673027412</v>
      </c>
      <c r="T410" s="18">
        <f t="shared" si="152"/>
        <v>4.0570372820083245</v>
      </c>
      <c r="U410" s="1">
        <f t="shared" si="142"/>
        <v>0</v>
      </c>
      <c r="V410" s="2">
        <f t="shared" si="153"/>
        <v>693.03207524796869</v>
      </c>
      <c r="W410" s="19">
        <f t="shared" si="154"/>
        <v>300.01388538873101</v>
      </c>
      <c r="X410" s="20"/>
      <c r="Y410" s="2">
        <f t="shared" si="155"/>
        <v>280.07828858237048</v>
      </c>
      <c r="Z410" s="21">
        <f t="shared" si="156"/>
        <v>3.2224221361690146</v>
      </c>
      <c r="AA410" s="2">
        <f t="shared" si="157"/>
        <v>220.14238299112031</v>
      </c>
      <c r="AB410" s="19">
        <f t="shared" si="160"/>
        <v>77.668157223640293</v>
      </c>
      <c r="AC410" s="2"/>
      <c r="AD410" s="18"/>
      <c r="AE410" s="118"/>
      <c r="AG410" s="2"/>
      <c r="AH410" s="19"/>
      <c r="AI410" s="20"/>
      <c r="AJ410" s="21"/>
      <c r="AK410" s="21"/>
      <c r="AM410" s="19"/>
      <c r="AN410" s="18"/>
      <c r="AO410" s="2"/>
      <c r="AP410" s="18"/>
      <c r="AQ410" s="118"/>
      <c r="AS410" s="2"/>
      <c r="AT410" s="19"/>
      <c r="AU410" s="20"/>
      <c r="AV410" s="21"/>
      <c r="AW410" s="21"/>
    </row>
    <row r="411" spans="1:49" x14ac:dyDescent="0.25">
      <c r="A411" s="1">
        <f t="shared" si="143"/>
        <v>385</v>
      </c>
      <c r="B411" s="19">
        <f t="shared" si="144"/>
        <v>162.51047449872303</v>
      </c>
      <c r="C411" s="18">
        <f t="shared" si="158"/>
        <v>5.8664337034278473</v>
      </c>
      <c r="D411" s="2">
        <f t="shared" ref="D411:D474" si="164">$C$17*I410^$C$18</f>
        <v>0.93851136623255793</v>
      </c>
      <c r="E411" s="18">
        <f t="shared" si="145"/>
        <v>5.8820755595317236</v>
      </c>
      <c r="F411" s="21">
        <f t="shared" ref="F411:F474" si="165">(($C$7*($C$16/12)*(E411)^1.852)/($C$5^4.871)+L411)-G411</f>
        <v>2.571633099096359</v>
      </c>
      <c r="G411" s="1">
        <f t="shared" ref="G411:G474" si="166">$C$9*($C$16/12)/100</f>
        <v>0</v>
      </c>
      <c r="H411" s="2">
        <f t="shared" si="162"/>
        <v>377.97082919114655</v>
      </c>
      <c r="I411" s="19">
        <f t="shared" si="161"/>
        <v>163.62373558058292</v>
      </c>
      <c r="J411" s="20">
        <f t="shared" ref="J411:J474" si="167">(1-1.27*0.05)*($D$26/((E411*60)/((A411/($C$16/12)+1))))</f>
        <v>0.92184041927398797</v>
      </c>
      <c r="K411" s="21">
        <f t="shared" ref="K411:K474" si="168">K410+(F411*0.433)</f>
        <v>143.65676903976626</v>
      </c>
      <c r="L411" s="21">
        <f t="shared" si="163"/>
        <v>2.0280517835669589</v>
      </c>
      <c r="M411" s="2">
        <f t="shared" si="146"/>
        <v>112.02801125913253</v>
      </c>
      <c r="N411" s="19">
        <f t="shared" si="159"/>
        <v>322.09328487579404</v>
      </c>
      <c r="O411" s="1">
        <f t="shared" si="147"/>
        <v>385</v>
      </c>
      <c r="P411" s="19">
        <f t="shared" si="148"/>
        <v>300.01388538873101</v>
      </c>
      <c r="Q411" s="18">
        <f t="shared" si="149"/>
        <v>7.4145072673027412</v>
      </c>
      <c r="R411" s="2">
        <f t="shared" si="150"/>
        <v>0.95008997726251709</v>
      </c>
      <c r="S411" s="18">
        <f t="shared" si="151"/>
        <v>7.4303421002571168</v>
      </c>
      <c r="T411" s="18">
        <f t="shared" si="152"/>
        <v>4.0741200475561943</v>
      </c>
      <c r="U411" s="1">
        <f t="shared" ref="U411:U474" si="169">$C$9*($C$16/12)/100</f>
        <v>0</v>
      </c>
      <c r="V411" s="2">
        <f t="shared" si="153"/>
        <v>697.10619529552491</v>
      </c>
      <c r="W411" s="19">
        <f t="shared" si="154"/>
        <v>301.77757372100643</v>
      </c>
      <c r="X411" s="20"/>
      <c r="Y411" s="2">
        <f t="shared" si="155"/>
        <v>281.84238256296231</v>
      </c>
      <c r="Z411" s="21">
        <f t="shared" si="156"/>
        <v>3.2362008005960003</v>
      </c>
      <c r="AA411" s="2">
        <f t="shared" si="157"/>
        <v>221.54333571865104</v>
      </c>
      <c r="AB411" s="19">
        <f t="shared" si="160"/>
        <v>77.768030896858335</v>
      </c>
      <c r="AC411" s="2"/>
      <c r="AD411" s="18"/>
      <c r="AE411" s="118"/>
      <c r="AG411" s="2"/>
      <c r="AH411" s="19"/>
      <c r="AI411" s="20"/>
      <c r="AJ411" s="21"/>
      <c r="AK411" s="21"/>
      <c r="AM411" s="19"/>
      <c r="AN411" s="18"/>
      <c r="AO411" s="2"/>
      <c r="AP411" s="18"/>
      <c r="AQ411" s="118"/>
      <c r="AS411" s="2"/>
      <c r="AT411" s="19"/>
      <c r="AU411" s="20"/>
      <c r="AV411" s="21"/>
      <c r="AW411" s="21"/>
    </row>
    <row r="412" spans="1:49" x14ac:dyDescent="0.25">
      <c r="A412" s="1">
        <f t="shared" ref="A412:A475" si="170">A411+$C$16/12</f>
        <v>386</v>
      </c>
      <c r="B412" s="19">
        <f t="shared" ref="B412:B475" si="171">I411</f>
        <v>163.62373558058292</v>
      </c>
      <c r="C412" s="18">
        <f t="shared" si="158"/>
        <v>5.8820755595317236</v>
      </c>
      <c r="D412" s="2">
        <f t="shared" si="164"/>
        <v>0.93863952004625428</v>
      </c>
      <c r="E412" s="18">
        <f t="shared" ref="E412:E475" si="172">C412+D412/60</f>
        <v>5.8977195515324947</v>
      </c>
      <c r="F412" s="21">
        <f t="shared" si="165"/>
        <v>2.5851155640358963</v>
      </c>
      <c r="G412" s="1">
        <f t="shared" si="166"/>
        <v>0</v>
      </c>
      <c r="H412" s="2">
        <f t="shared" si="162"/>
        <v>380.55594475518245</v>
      </c>
      <c r="I412" s="19">
        <f t="shared" si="161"/>
        <v>164.7428332273517</v>
      </c>
      <c r="J412" s="20">
        <f t="shared" si="167"/>
        <v>0.92177704492364043</v>
      </c>
      <c r="K412" s="21">
        <f t="shared" si="168"/>
        <v>144.7761240789938</v>
      </c>
      <c r="L412" s="21">
        <f t="shared" si="163"/>
        <v>2.0388537584668374</v>
      </c>
      <c r="M412" s="2">
        <f t="shared" ref="M412:M475" si="173">(L412/2.31)+M411</f>
        <v>112.9106319337935</v>
      </c>
      <c r="N412" s="19">
        <f t="shared" si="159"/>
        <v>322.21917820517967</v>
      </c>
      <c r="O412" s="1">
        <f t="shared" ref="O412:O475" si="174">O411+$C$16/12</f>
        <v>386</v>
      </c>
      <c r="P412" s="19">
        <f t="shared" ref="P412:P475" si="175">W411</f>
        <v>301.77757372100643</v>
      </c>
      <c r="Q412" s="18">
        <f t="shared" ref="Q412:Q475" si="176">S411</f>
        <v>7.4303421002571168</v>
      </c>
      <c r="R412" s="2">
        <f t="shared" ref="R412:R475" si="177">$C$17*W411^$C$18</f>
        <v>0.95020136240116526</v>
      </c>
      <c r="S412" s="18">
        <f t="shared" ref="S412:S475" si="178">Q412+R412/60</f>
        <v>7.4461787896304692</v>
      </c>
      <c r="T412" s="18">
        <f t="shared" ref="T412:T475" si="179">(($C$7*($C$16/12)*(S412)^1.852)/($C$5^4.871)+Z412)-U412</f>
        <v>4.0912402218538375</v>
      </c>
      <c r="U412" s="1">
        <f t="shared" si="169"/>
        <v>0</v>
      </c>
      <c r="V412" s="2">
        <f t="shared" ref="V412:V475" si="180">(P412*2.31)+T412-U412</f>
        <v>701.19743551737872</v>
      </c>
      <c r="W412" s="19">
        <f t="shared" ref="W412:W475" si="181">V412/2.31</f>
        <v>303.54867338414664</v>
      </c>
      <c r="X412" s="20"/>
      <c r="Y412" s="2">
        <f t="shared" ref="Y412:Y475" si="182">Y411+(T412*0.433)</f>
        <v>283.613889579025</v>
      </c>
      <c r="Z412" s="21">
        <f t="shared" ref="Z412:Z475" si="183">($C$11*((0.4085*S412/$C$5^2))^2)/64.4</f>
        <v>3.2500104806446806</v>
      </c>
      <c r="AA412" s="2">
        <f t="shared" ref="AA412:AA475" si="184">(Z412/2.31)+AA411</f>
        <v>222.95026666265306</v>
      </c>
      <c r="AB412" s="19">
        <f t="shared" si="160"/>
        <v>77.867691728875982</v>
      </c>
      <c r="AC412" s="2"/>
      <c r="AD412" s="18"/>
      <c r="AE412" s="118"/>
      <c r="AG412" s="2"/>
      <c r="AH412" s="19"/>
      <c r="AI412" s="20"/>
      <c r="AJ412" s="21"/>
      <c r="AK412" s="21"/>
      <c r="AM412" s="19"/>
      <c r="AN412" s="18"/>
      <c r="AO412" s="2"/>
      <c r="AP412" s="18"/>
      <c r="AQ412" s="118"/>
      <c r="AS412" s="2"/>
      <c r="AT412" s="19"/>
      <c r="AU412" s="20"/>
      <c r="AV412" s="21"/>
      <c r="AW412" s="21"/>
    </row>
    <row r="413" spans="1:49" x14ac:dyDescent="0.25">
      <c r="A413" s="1">
        <f t="shared" si="170"/>
        <v>387</v>
      </c>
      <c r="B413" s="19">
        <f t="shared" si="171"/>
        <v>164.7428332273517</v>
      </c>
      <c r="C413" s="18">
        <f t="shared" ref="C413:C476" si="185">E412</f>
        <v>5.8977195515324947</v>
      </c>
      <c r="D413" s="2">
        <f t="shared" si="164"/>
        <v>0.93876748739097138</v>
      </c>
      <c r="E413" s="18">
        <f t="shared" si="172"/>
        <v>5.9133656763223446</v>
      </c>
      <c r="F413" s="21">
        <f t="shared" si="165"/>
        <v>2.5986346296953102</v>
      </c>
      <c r="G413" s="1">
        <f t="shared" si="166"/>
        <v>0</v>
      </c>
      <c r="H413" s="2">
        <f t="shared" si="162"/>
        <v>383.15457938487776</v>
      </c>
      <c r="I413" s="19">
        <f t="shared" si="161"/>
        <v>165.86778328349686</v>
      </c>
      <c r="J413" s="20">
        <f t="shared" si="167"/>
        <v>0.92171367345402289</v>
      </c>
      <c r="K413" s="21">
        <f t="shared" si="168"/>
        <v>145.90133287365188</v>
      </c>
      <c r="L413" s="21">
        <f t="shared" si="163"/>
        <v>2.049685902720725</v>
      </c>
      <c r="M413" s="2">
        <f t="shared" si="173"/>
        <v>113.79794184839122</v>
      </c>
      <c r="N413" s="19">
        <f t="shared" ref="N413:N476" si="186">($C$16/12)/(0.4085*E412/$C$5^2)+N412</f>
        <v>322.34473759629975</v>
      </c>
      <c r="O413" s="1">
        <f t="shared" si="174"/>
        <v>387</v>
      </c>
      <c r="P413" s="19">
        <f t="shared" si="175"/>
        <v>303.54867338414664</v>
      </c>
      <c r="Q413" s="18">
        <f t="shared" si="176"/>
        <v>7.4461787896304692</v>
      </c>
      <c r="R413" s="2">
        <f t="shared" si="177"/>
        <v>0.95031257546065162</v>
      </c>
      <c r="S413" s="18">
        <f t="shared" si="178"/>
        <v>7.4620173325548134</v>
      </c>
      <c r="T413" s="18">
        <f t="shared" si="179"/>
        <v>4.1083978123505158</v>
      </c>
      <c r="U413" s="1">
        <f t="shared" si="169"/>
        <v>0</v>
      </c>
      <c r="V413" s="2">
        <f t="shared" si="180"/>
        <v>705.30583332972924</v>
      </c>
      <c r="W413" s="19">
        <f t="shared" si="181"/>
        <v>305.32720057564035</v>
      </c>
      <c r="X413" s="20"/>
      <c r="Y413" s="2">
        <f t="shared" si="182"/>
        <v>285.39282583177277</v>
      </c>
      <c r="Z413" s="21">
        <f t="shared" si="183"/>
        <v>3.2638511841459024</v>
      </c>
      <c r="AA413" s="2">
        <f t="shared" si="184"/>
        <v>224.36318925319242</v>
      </c>
      <c r="AB413" s="19">
        <f t="shared" ref="AB413:AB476" si="187">($C$16/12)/(0.4085*S412/$C$5^2)+AB412</f>
        <v>77.967140600143836</v>
      </c>
      <c r="AC413" s="2"/>
      <c r="AD413" s="18"/>
      <c r="AE413" s="118"/>
      <c r="AG413" s="2"/>
      <c r="AH413" s="19"/>
      <c r="AI413" s="20"/>
      <c r="AJ413" s="21"/>
      <c r="AK413" s="21"/>
      <c r="AM413" s="19"/>
      <c r="AN413" s="18"/>
      <c r="AO413" s="2"/>
      <c r="AP413" s="18"/>
      <c r="AQ413" s="118"/>
      <c r="AS413" s="2"/>
      <c r="AT413" s="19"/>
      <c r="AU413" s="20"/>
      <c r="AV413" s="21"/>
      <c r="AW413" s="21"/>
    </row>
    <row r="414" spans="1:49" x14ac:dyDescent="0.25">
      <c r="A414" s="1">
        <f t="shared" si="170"/>
        <v>388</v>
      </c>
      <c r="B414" s="19">
        <f t="shared" si="171"/>
        <v>165.86778328349686</v>
      </c>
      <c r="C414" s="18">
        <f t="shared" si="185"/>
        <v>5.9133656763223446</v>
      </c>
      <c r="D414" s="2">
        <f t="shared" si="164"/>
        <v>0.93889526822229519</v>
      </c>
      <c r="E414" s="18">
        <f t="shared" si="172"/>
        <v>5.9290139307927161</v>
      </c>
      <c r="F414" s="21">
        <f t="shared" si="165"/>
        <v>2.6121903052164672</v>
      </c>
      <c r="G414" s="1">
        <f t="shared" si="166"/>
        <v>0</v>
      </c>
      <c r="H414" s="2">
        <f t="shared" si="162"/>
        <v>385.76676969009424</v>
      </c>
      <c r="I414" s="19">
        <f t="shared" si="161"/>
        <v>166.99860159744338</v>
      </c>
      <c r="J414" s="20">
        <f t="shared" si="167"/>
        <v>0.921650305393935</v>
      </c>
      <c r="K414" s="21">
        <f t="shared" si="168"/>
        <v>147.0324112758106</v>
      </c>
      <c r="L414" s="21">
        <f t="shared" si="163"/>
        <v>2.0605482259040464</v>
      </c>
      <c r="M414" s="2">
        <f t="shared" si="173"/>
        <v>114.6899540673973</v>
      </c>
      <c r="N414" s="19">
        <f t="shared" si="186"/>
        <v>322.46996477087691</v>
      </c>
      <c r="O414" s="1">
        <f t="shared" si="174"/>
        <v>388</v>
      </c>
      <c r="P414" s="19">
        <f t="shared" si="175"/>
        <v>305.32720057564035</v>
      </c>
      <c r="Q414" s="18">
        <f t="shared" si="176"/>
        <v>7.4620173325548134</v>
      </c>
      <c r="R414" s="2">
        <f t="shared" si="177"/>
        <v>0.95042361683236909</v>
      </c>
      <c r="S414" s="18">
        <f t="shared" si="178"/>
        <v>7.4778577261686863</v>
      </c>
      <c r="T414" s="18">
        <f t="shared" si="179"/>
        <v>4.1255928264816797</v>
      </c>
      <c r="U414" s="1">
        <f t="shared" si="169"/>
        <v>0</v>
      </c>
      <c r="V414" s="2">
        <f t="shared" si="180"/>
        <v>709.43142615621093</v>
      </c>
      <c r="W414" s="19">
        <f t="shared" si="181"/>
        <v>307.11317149619521</v>
      </c>
      <c r="X414" s="20"/>
      <c r="Y414" s="2">
        <f t="shared" si="182"/>
        <v>287.17920752563936</v>
      </c>
      <c r="Z414" s="21">
        <f t="shared" si="183"/>
        <v>3.2777229189161465</v>
      </c>
      <c r="AA414" s="2">
        <f t="shared" si="184"/>
        <v>225.78211692371889</v>
      </c>
      <c r="AB414" s="19">
        <f t="shared" si="187"/>
        <v>78.066378385703075</v>
      </c>
      <c r="AC414" s="2"/>
      <c r="AD414" s="18"/>
      <c r="AE414" s="118"/>
      <c r="AG414" s="2"/>
      <c r="AH414" s="19"/>
      <c r="AI414" s="20"/>
      <c r="AJ414" s="21"/>
      <c r="AK414" s="21"/>
      <c r="AM414" s="19"/>
      <c r="AN414" s="18"/>
      <c r="AO414" s="2"/>
      <c r="AP414" s="18"/>
      <c r="AQ414" s="118"/>
      <c r="AS414" s="2"/>
      <c r="AT414" s="19"/>
      <c r="AU414" s="20"/>
      <c r="AV414" s="21"/>
      <c r="AW414" s="21"/>
    </row>
    <row r="415" spans="1:49" x14ac:dyDescent="0.25">
      <c r="A415" s="1">
        <f t="shared" si="170"/>
        <v>389</v>
      </c>
      <c r="B415" s="19">
        <f t="shared" si="171"/>
        <v>166.99860159744338</v>
      </c>
      <c r="C415" s="18">
        <f t="shared" si="185"/>
        <v>5.9290139307927161</v>
      </c>
      <c r="D415" s="2">
        <f t="shared" si="164"/>
        <v>0.93902286250498868</v>
      </c>
      <c r="E415" s="18">
        <f t="shared" si="172"/>
        <v>5.9446643118344662</v>
      </c>
      <c r="F415" s="21">
        <f t="shared" si="165"/>
        <v>2.625782599720305</v>
      </c>
      <c r="G415" s="1">
        <f t="shared" si="166"/>
        <v>0</v>
      </c>
      <c r="H415" s="2">
        <f t="shared" si="162"/>
        <v>388.39255228981455</v>
      </c>
      <c r="I415" s="19">
        <f t="shared" si="161"/>
        <v>168.13530402156474</v>
      </c>
      <c r="J415" s="20">
        <f t="shared" si="167"/>
        <v>0.92158694126655927</v>
      </c>
      <c r="K415" s="21">
        <f t="shared" si="168"/>
        <v>148.1693751414895</v>
      </c>
      <c r="L415" s="21">
        <f t="shared" si="163"/>
        <v>2.0714407375706063</v>
      </c>
      <c r="M415" s="2">
        <f t="shared" si="173"/>
        <v>115.5866816594192</v>
      </c>
      <c r="N415" s="19">
        <f t="shared" si="186"/>
        <v>322.59486143742743</v>
      </c>
      <c r="O415" s="1">
        <f t="shared" si="174"/>
        <v>389</v>
      </c>
      <c r="P415" s="19">
        <f t="shared" si="175"/>
        <v>307.11317149619521</v>
      </c>
      <c r="Q415" s="18">
        <f t="shared" si="176"/>
        <v>7.4778577261686863</v>
      </c>
      <c r="R415" s="2">
        <f t="shared" si="177"/>
        <v>0.95053448690786702</v>
      </c>
      <c r="S415" s="18">
        <f t="shared" si="178"/>
        <v>7.4936999676171503</v>
      </c>
      <c r="T415" s="18">
        <f t="shared" si="179"/>
        <v>4.142825271669011</v>
      </c>
      <c r="U415" s="1">
        <f t="shared" si="169"/>
        <v>0</v>
      </c>
      <c r="V415" s="2">
        <f t="shared" si="180"/>
        <v>713.57425142787997</v>
      </c>
      <c r="W415" s="19">
        <f t="shared" si="181"/>
        <v>308.9066023497316</v>
      </c>
      <c r="X415" s="20"/>
      <c r="Y415" s="2">
        <f t="shared" si="182"/>
        <v>288.97305086827203</v>
      </c>
      <c r="Z415" s="21">
        <f t="shared" si="183"/>
        <v>3.2916256927575716</v>
      </c>
      <c r="AA415" s="2">
        <f t="shared" si="184"/>
        <v>227.20706311105982</v>
      </c>
      <c r="AB415" s="19">
        <f t="shared" si="187"/>
        <v>78.165405955229573</v>
      </c>
      <c r="AC415" s="2"/>
      <c r="AD415" s="18"/>
      <c r="AE415" s="118"/>
      <c r="AG415" s="2"/>
      <c r="AH415" s="19"/>
      <c r="AI415" s="20"/>
      <c r="AJ415" s="21"/>
      <c r="AK415" s="21"/>
      <c r="AM415" s="19"/>
      <c r="AN415" s="18"/>
      <c r="AO415" s="2"/>
      <c r="AP415" s="18"/>
      <c r="AQ415" s="118"/>
      <c r="AS415" s="2"/>
      <c r="AT415" s="19"/>
      <c r="AU415" s="20"/>
      <c r="AV415" s="21"/>
      <c r="AW415" s="21"/>
    </row>
    <row r="416" spans="1:49" x14ac:dyDescent="0.25">
      <c r="A416" s="1">
        <f t="shared" si="170"/>
        <v>390</v>
      </c>
      <c r="B416" s="19">
        <f t="shared" si="171"/>
        <v>168.13530402156474</v>
      </c>
      <c r="C416" s="18">
        <f t="shared" si="185"/>
        <v>5.9446643118344662</v>
      </c>
      <c r="D416" s="2">
        <f t="shared" si="164"/>
        <v>0.93915027021281738</v>
      </c>
      <c r="E416" s="18">
        <f t="shared" si="172"/>
        <v>5.9603168163380129</v>
      </c>
      <c r="F416" s="21">
        <f t="shared" si="165"/>
        <v>2.6394115223069154</v>
      </c>
      <c r="G416" s="1">
        <f t="shared" si="166"/>
        <v>0</v>
      </c>
      <c r="H416" s="2">
        <f t="shared" si="162"/>
        <v>391.03196381212149</v>
      </c>
      <c r="I416" s="19">
        <f t="shared" si="161"/>
        <v>169.27790641217379</v>
      </c>
      <c r="J416" s="20">
        <f t="shared" si="167"/>
        <v>0.92152358158951142</v>
      </c>
      <c r="K416" s="21">
        <f t="shared" si="168"/>
        <v>149.31224033064839</v>
      </c>
      <c r="L416" s="21">
        <f t="shared" si="163"/>
        <v>2.0823634472526753</v>
      </c>
      <c r="M416" s="2">
        <f t="shared" si="173"/>
        <v>116.48813769719092</v>
      </c>
      <c r="N416" s="19">
        <f t="shared" si="186"/>
        <v>322.71942929139578</v>
      </c>
      <c r="O416" s="1">
        <f t="shared" si="174"/>
        <v>390</v>
      </c>
      <c r="P416" s="19">
        <f t="shared" si="175"/>
        <v>308.9066023497316</v>
      </c>
      <c r="Q416" s="18">
        <f t="shared" si="176"/>
        <v>7.4936999676171503</v>
      </c>
      <c r="R416" s="2">
        <f t="shared" si="177"/>
        <v>0.95064518607882609</v>
      </c>
      <c r="S416" s="18">
        <f t="shared" si="178"/>
        <v>7.5095440540517977</v>
      </c>
      <c r="T416" s="18">
        <f t="shared" si="179"/>
        <v>4.1600951553204855</v>
      </c>
      <c r="U416" s="1">
        <f t="shared" si="169"/>
        <v>0</v>
      </c>
      <c r="V416" s="2">
        <f t="shared" si="180"/>
        <v>717.73434658320048</v>
      </c>
      <c r="W416" s="19">
        <f t="shared" si="181"/>
        <v>310.70750934337684</v>
      </c>
      <c r="X416" s="20"/>
      <c r="Y416" s="2">
        <f t="shared" si="182"/>
        <v>290.77437207052577</v>
      </c>
      <c r="Z416" s="21">
        <f t="shared" si="183"/>
        <v>3.3055595134580775</v>
      </c>
      <c r="AA416" s="2">
        <f t="shared" si="184"/>
        <v>228.63804125541398</v>
      </c>
      <c r="AB416" s="19">
        <f t="shared" si="187"/>
        <v>78.264224173077551</v>
      </c>
      <c r="AC416" s="2"/>
      <c r="AD416" s="18"/>
      <c r="AE416" s="118"/>
      <c r="AG416" s="2"/>
      <c r="AH416" s="19"/>
      <c r="AI416" s="20"/>
      <c r="AJ416" s="21"/>
      <c r="AK416" s="21"/>
      <c r="AM416" s="19"/>
      <c r="AN416" s="18"/>
      <c r="AO416" s="2"/>
      <c r="AP416" s="18"/>
      <c r="AQ416" s="118"/>
      <c r="AS416" s="2"/>
      <c r="AT416" s="19"/>
      <c r="AU416" s="20"/>
      <c r="AV416" s="21"/>
      <c r="AW416" s="21"/>
    </row>
    <row r="417" spans="1:49" x14ac:dyDescent="0.25">
      <c r="A417" s="1">
        <f t="shared" si="170"/>
        <v>391</v>
      </c>
      <c r="B417" s="19">
        <f t="shared" si="171"/>
        <v>169.27790641217379</v>
      </c>
      <c r="C417" s="18">
        <f t="shared" si="185"/>
        <v>5.9603168163380129</v>
      </c>
      <c r="D417" s="2">
        <f t="shared" si="164"/>
        <v>0.93927749132838112</v>
      </c>
      <c r="E417" s="18">
        <f t="shared" si="172"/>
        <v>5.9759714411934857</v>
      </c>
      <c r="F417" s="21">
        <f t="shared" si="165"/>
        <v>2.653077082055638</v>
      </c>
      <c r="G417" s="1">
        <f t="shared" si="166"/>
        <v>0</v>
      </c>
      <c r="H417" s="2">
        <f t="shared" si="162"/>
        <v>393.68504089417712</v>
      </c>
      <c r="I417" s="19">
        <f t="shared" ref="I417:I480" si="188">H417/2.31</f>
        <v>170.42642462951389</v>
      </c>
      <c r="J417" s="20">
        <f t="shared" si="167"/>
        <v>0.92146022687488793</v>
      </c>
      <c r="K417" s="21">
        <f t="shared" si="168"/>
        <v>150.46102270717847</v>
      </c>
      <c r="L417" s="21">
        <f t="shared" si="163"/>
        <v>2.0933163644610882</v>
      </c>
      <c r="M417" s="2">
        <f t="shared" si="173"/>
        <v>117.39433525756368</v>
      </c>
      <c r="N417" s="19">
        <f t="shared" si="186"/>
        <v>322.84367001528778</v>
      </c>
      <c r="O417" s="1">
        <f t="shared" si="174"/>
        <v>391</v>
      </c>
      <c r="P417" s="19">
        <f t="shared" si="175"/>
        <v>310.70750934337684</v>
      </c>
      <c r="Q417" s="18">
        <f t="shared" si="176"/>
        <v>7.5095440540517977</v>
      </c>
      <c r="R417" s="2">
        <f t="shared" si="177"/>
        <v>0.95075571473703246</v>
      </c>
      <c r="S417" s="18">
        <f t="shared" si="178"/>
        <v>7.525389982630748</v>
      </c>
      <c r="T417" s="18">
        <f t="shared" si="179"/>
        <v>4.1774024848304308</v>
      </c>
      <c r="U417" s="1">
        <f t="shared" si="169"/>
        <v>0</v>
      </c>
      <c r="V417" s="2">
        <f t="shared" si="180"/>
        <v>721.91174906803087</v>
      </c>
      <c r="W417" s="19">
        <f t="shared" si="181"/>
        <v>312.51590868745927</v>
      </c>
      <c r="X417" s="20"/>
      <c r="Y417" s="2">
        <f t="shared" si="182"/>
        <v>292.58318734645735</v>
      </c>
      <c r="Z417" s="21">
        <f t="shared" si="183"/>
        <v>3.319524388791363</v>
      </c>
      <c r="AA417" s="2">
        <f t="shared" si="184"/>
        <v>230.0750648003453</v>
      </c>
      <c r="AB417" s="19">
        <f t="shared" si="187"/>
        <v>78.362833898322833</v>
      </c>
      <c r="AC417" s="2"/>
      <c r="AD417" s="18"/>
      <c r="AE417" s="118"/>
      <c r="AG417" s="2"/>
      <c r="AH417" s="19"/>
      <c r="AI417" s="20"/>
      <c r="AJ417" s="21"/>
      <c r="AK417" s="21"/>
      <c r="AM417" s="19"/>
      <c r="AN417" s="18"/>
      <c r="AO417" s="2"/>
      <c r="AP417" s="18"/>
      <c r="AQ417" s="118"/>
      <c r="AS417" s="2"/>
      <c r="AT417" s="19"/>
      <c r="AU417" s="20"/>
      <c r="AV417" s="21"/>
      <c r="AW417" s="21"/>
    </row>
    <row r="418" spans="1:49" x14ac:dyDescent="0.25">
      <c r="A418" s="1">
        <f t="shared" si="170"/>
        <v>392</v>
      </c>
      <c r="B418" s="19">
        <f t="shared" si="171"/>
        <v>170.42642462951389</v>
      </c>
      <c r="C418" s="18">
        <f t="shared" si="185"/>
        <v>5.9759714411934857</v>
      </c>
      <c r="D418" s="2">
        <f t="shared" si="164"/>
        <v>0.93940452584294387</v>
      </c>
      <c r="E418" s="18">
        <f t="shared" si="172"/>
        <v>5.9916281832908682</v>
      </c>
      <c r="F418" s="21">
        <f t="shared" si="165"/>
        <v>2.6667792880251397</v>
      </c>
      <c r="G418" s="1">
        <f t="shared" si="166"/>
        <v>0</v>
      </c>
      <c r="H418" s="2">
        <f t="shared" si="162"/>
        <v>396.35182018220223</v>
      </c>
      <c r="I418" s="19">
        <f t="shared" si="188"/>
        <v>171.58087453774988</v>
      </c>
      <c r="J418" s="20">
        <f t="shared" si="167"/>
        <v>0.92139687762931333</v>
      </c>
      <c r="K418" s="21">
        <f t="shared" si="168"/>
        <v>151.61573813889336</v>
      </c>
      <c r="L418" s="21">
        <f t="shared" si="163"/>
        <v>2.1042994986853274</v>
      </c>
      <c r="M418" s="2">
        <f t="shared" si="173"/>
        <v>118.30528742149673</v>
      </c>
      <c r="N418" s="19">
        <f t="shared" si="186"/>
        <v>322.96758527880172</v>
      </c>
      <c r="O418" s="1">
        <f t="shared" si="174"/>
        <v>392</v>
      </c>
      <c r="P418" s="19">
        <f t="shared" si="175"/>
        <v>312.51590868745927</v>
      </c>
      <c r="Q418" s="18">
        <f t="shared" si="176"/>
        <v>7.525389982630748</v>
      </c>
      <c r="R418" s="2">
        <f t="shared" si="177"/>
        <v>0.95086607327435335</v>
      </c>
      <c r="S418" s="18">
        <f t="shared" si="178"/>
        <v>7.5412377505186541</v>
      </c>
      <c r="T418" s="18">
        <f t="shared" si="179"/>
        <v>4.1947472675795758</v>
      </c>
      <c r="U418" s="1">
        <f t="shared" si="169"/>
        <v>0</v>
      </c>
      <c r="V418" s="2">
        <f t="shared" si="180"/>
        <v>726.10649633561059</v>
      </c>
      <c r="W418" s="19">
        <f t="shared" si="181"/>
        <v>314.3318165955024</v>
      </c>
      <c r="X418" s="20"/>
      <c r="Y418" s="2">
        <f t="shared" si="182"/>
        <v>294.39951291331931</v>
      </c>
      <c r="Z418" s="21">
        <f t="shared" si="183"/>
        <v>3.3335203265169771</v>
      </c>
      <c r="AA418" s="2">
        <f t="shared" si="184"/>
        <v>231.51814719277689</v>
      </c>
      <c r="AB418" s="19">
        <f t="shared" si="187"/>
        <v>78.461235984805597</v>
      </c>
      <c r="AC418" s="2"/>
      <c r="AD418" s="18"/>
      <c r="AE418" s="118"/>
      <c r="AG418" s="2"/>
      <c r="AH418" s="19"/>
      <c r="AI418" s="20"/>
      <c r="AJ418" s="21"/>
      <c r="AK418" s="21"/>
      <c r="AM418" s="19"/>
      <c r="AN418" s="18"/>
      <c r="AO418" s="2"/>
      <c r="AP418" s="18"/>
      <c r="AQ418" s="118"/>
      <c r="AS418" s="2"/>
      <c r="AT418" s="19"/>
      <c r="AU418" s="20"/>
      <c r="AV418" s="21"/>
      <c r="AW418" s="21"/>
    </row>
    <row r="419" spans="1:49" x14ac:dyDescent="0.25">
      <c r="A419" s="1">
        <f t="shared" si="170"/>
        <v>393</v>
      </c>
      <c r="B419" s="19">
        <f t="shared" si="171"/>
        <v>171.58087453774988</v>
      </c>
      <c r="C419" s="18">
        <f t="shared" si="185"/>
        <v>5.9916281832908682</v>
      </c>
      <c r="D419" s="2">
        <f t="shared" si="164"/>
        <v>0.93953137375626961</v>
      </c>
      <c r="E419" s="18">
        <f t="shared" si="172"/>
        <v>6.007287039520139</v>
      </c>
      <c r="F419" s="21">
        <f t="shared" si="165"/>
        <v>2.6805181492535071</v>
      </c>
      <c r="G419" s="1">
        <f t="shared" si="166"/>
        <v>0</v>
      </c>
      <c r="H419" s="2">
        <f t="shared" si="162"/>
        <v>399.03233833145572</v>
      </c>
      <c r="I419" s="19">
        <f t="shared" si="188"/>
        <v>172.74127200495917</v>
      </c>
      <c r="J419" s="20">
        <f t="shared" si="167"/>
        <v>0.9213335343539889</v>
      </c>
      <c r="K419" s="21">
        <f t="shared" si="168"/>
        <v>152.77640249752014</v>
      </c>
      <c r="L419" s="21">
        <f t="shared" si="163"/>
        <v>2.115312859393617</v>
      </c>
      <c r="M419" s="2">
        <f t="shared" si="173"/>
        <v>119.22100727404808</v>
      </c>
      <c r="N419" s="19">
        <f t="shared" si="186"/>
        <v>323.09117673895815</v>
      </c>
      <c r="O419" s="1">
        <f t="shared" si="174"/>
        <v>393</v>
      </c>
      <c r="P419" s="19">
        <f t="shared" si="175"/>
        <v>314.3318165955024</v>
      </c>
      <c r="Q419" s="18">
        <f t="shared" si="176"/>
        <v>7.5412377505186541</v>
      </c>
      <c r="R419" s="2">
        <f t="shared" si="177"/>
        <v>0.95097626208271169</v>
      </c>
      <c r="S419" s="18">
        <f t="shared" si="178"/>
        <v>7.5570873548866997</v>
      </c>
      <c r="T419" s="18">
        <f t="shared" si="179"/>
        <v>4.212129510935104</v>
      </c>
      <c r="U419" s="1">
        <f t="shared" si="169"/>
        <v>0</v>
      </c>
      <c r="V419" s="2">
        <f t="shared" si="180"/>
        <v>730.31862584654573</v>
      </c>
      <c r="W419" s="19">
        <f t="shared" si="181"/>
        <v>316.15524928421894</v>
      </c>
      <c r="X419" s="20"/>
      <c r="Y419" s="2">
        <f t="shared" si="182"/>
        <v>296.22336499155421</v>
      </c>
      <c r="Z419" s="21">
        <f t="shared" si="183"/>
        <v>3.3475473343803732</v>
      </c>
      <c r="AA419" s="2">
        <f t="shared" si="184"/>
        <v>232.96730188298486</v>
      </c>
      <c r="AB419" s="19">
        <f t="shared" si="187"/>
        <v>78.559431281172763</v>
      </c>
      <c r="AC419" s="2"/>
      <c r="AD419" s="18"/>
      <c r="AE419" s="118"/>
      <c r="AG419" s="2"/>
      <c r="AH419" s="19"/>
      <c r="AI419" s="20"/>
      <c r="AJ419" s="21"/>
      <c r="AK419" s="21"/>
      <c r="AM419" s="19"/>
      <c r="AN419" s="18"/>
      <c r="AO419" s="2"/>
      <c r="AP419" s="18"/>
      <c r="AQ419" s="118"/>
      <c r="AS419" s="2"/>
      <c r="AT419" s="19"/>
      <c r="AU419" s="20"/>
      <c r="AV419" s="21"/>
      <c r="AW419" s="21"/>
    </row>
    <row r="420" spans="1:49" x14ac:dyDescent="0.25">
      <c r="A420" s="1">
        <f t="shared" si="170"/>
        <v>394</v>
      </c>
      <c r="B420" s="19">
        <f t="shared" si="171"/>
        <v>172.74127200495917</v>
      </c>
      <c r="C420" s="18">
        <f t="shared" si="185"/>
        <v>6.007287039520139</v>
      </c>
      <c r="D420" s="2">
        <f t="shared" si="164"/>
        <v>0.9396580350764604</v>
      </c>
      <c r="E420" s="18">
        <f t="shared" si="172"/>
        <v>6.0229480067714132</v>
      </c>
      <c r="F420" s="21">
        <f t="shared" si="165"/>
        <v>2.694293674758335</v>
      </c>
      <c r="G420" s="1">
        <f t="shared" si="166"/>
        <v>0</v>
      </c>
      <c r="H420" s="2">
        <f t="shared" si="162"/>
        <v>401.72663200621406</v>
      </c>
      <c r="I420" s="19">
        <f t="shared" si="188"/>
        <v>173.90763290312296</v>
      </c>
      <c r="J420" s="20">
        <f t="shared" si="167"/>
        <v>0.92127019754474049</v>
      </c>
      <c r="K420" s="21">
        <f t="shared" si="168"/>
        <v>153.9430316586905</v>
      </c>
      <c r="L420" s="21">
        <f t="shared" si="163"/>
        <v>2.1263564560330175</v>
      </c>
      <c r="M420" s="2">
        <f t="shared" si="173"/>
        <v>120.1415079043654</v>
      </c>
      <c r="N420" s="19">
        <f t="shared" si="186"/>
        <v>323.2144460402277</v>
      </c>
      <c r="O420" s="1">
        <f t="shared" si="174"/>
        <v>394</v>
      </c>
      <c r="P420" s="19">
        <f t="shared" si="175"/>
        <v>316.15524928421894</v>
      </c>
      <c r="Q420" s="18">
        <f t="shared" si="176"/>
        <v>7.5570873548866997</v>
      </c>
      <c r="R420" s="2">
        <f t="shared" si="177"/>
        <v>0.95108628155406294</v>
      </c>
      <c r="S420" s="18">
        <f t="shared" si="178"/>
        <v>7.5729387929126011</v>
      </c>
      <c r="T420" s="18">
        <f t="shared" si="179"/>
        <v>4.2295492222507143</v>
      </c>
      <c r="U420" s="1">
        <f t="shared" si="169"/>
        <v>0</v>
      </c>
      <c r="V420" s="2">
        <f t="shared" si="180"/>
        <v>734.54817506879647</v>
      </c>
      <c r="W420" s="19">
        <f t="shared" si="181"/>
        <v>317.98622297350494</v>
      </c>
      <c r="X420" s="20"/>
      <c r="Y420" s="2">
        <f t="shared" si="182"/>
        <v>298.05475980478877</v>
      </c>
      <c r="Z420" s="21">
        <f t="shared" si="183"/>
        <v>3.361605420112971</v>
      </c>
      <c r="AA420" s="2">
        <f t="shared" si="184"/>
        <v>234.4225423245922</v>
      </c>
      <c r="AB420" s="19">
        <f t="shared" si="187"/>
        <v>78.657420630919859</v>
      </c>
      <c r="AC420" s="2"/>
      <c r="AD420" s="18"/>
      <c r="AE420" s="118"/>
      <c r="AG420" s="2"/>
      <c r="AH420" s="19"/>
      <c r="AI420" s="20"/>
      <c r="AJ420" s="21"/>
      <c r="AK420" s="21"/>
      <c r="AM420" s="19"/>
      <c r="AN420" s="18"/>
      <c r="AO420" s="2"/>
      <c r="AP420" s="18"/>
      <c r="AQ420" s="118"/>
      <c r="AS420" s="2"/>
      <c r="AT420" s="19"/>
      <c r="AU420" s="20"/>
      <c r="AV420" s="21"/>
      <c r="AW420" s="21"/>
    </row>
    <row r="421" spans="1:49" x14ac:dyDescent="0.25">
      <c r="A421" s="1">
        <f t="shared" si="170"/>
        <v>395</v>
      </c>
      <c r="B421" s="19">
        <f t="shared" si="171"/>
        <v>173.90763290312296</v>
      </c>
      <c r="C421" s="18">
        <f t="shared" si="185"/>
        <v>6.0229480067714132</v>
      </c>
      <c r="D421" s="2">
        <f t="shared" si="164"/>
        <v>0.939784509819795</v>
      </c>
      <c r="E421" s="18">
        <f t="shared" si="172"/>
        <v>6.038611081935076</v>
      </c>
      <c r="F421" s="21">
        <f t="shared" si="165"/>
        <v>2.7081058735368058</v>
      </c>
      <c r="G421" s="1">
        <f t="shared" si="166"/>
        <v>0</v>
      </c>
      <c r="H421" s="2">
        <f t="shared" si="162"/>
        <v>404.43473787975086</v>
      </c>
      <c r="I421" s="19">
        <f t="shared" si="188"/>
        <v>175.07997310811726</v>
      </c>
      <c r="J421" s="20">
        <f t="shared" si="167"/>
        <v>0.92120686769206461</v>
      </c>
      <c r="K421" s="21">
        <f t="shared" si="168"/>
        <v>155.11564150193195</v>
      </c>
      <c r="L421" s="21">
        <f t="shared" si="163"/>
        <v>2.1374302980295057</v>
      </c>
      <c r="M421" s="2">
        <f t="shared" si="173"/>
        <v>121.06680240567687</v>
      </c>
      <c r="N421" s="19">
        <f t="shared" si="186"/>
        <v>323.33739481465756</v>
      </c>
      <c r="O421" s="1">
        <f t="shared" si="174"/>
        <v>395</v>
      </c>
      <c r="P421" s="19">
        <f t="shared" si="175"/>
        <v>317.98622297350494</v>
      </c>
      <c r="Q421" s="18">
        <f t="shared" si="176"/>
        <v>7.5729387929126011</v>
      </c>
      <c r="R421" s="2">
        <f t="shared" si="177"/>
        <v>0.95119613208037135</v>
      </c>
      <c r="S421" s="18">
        <f t="shared" si="178"/>
        <v>7.5887920617806071</v>
      </c>
      <c r="T421" s="18">
        <f t="shared" si="179"/>
        <v>4.2470064088666666</v>
      </c>
      <c r="U421" s="1">
        <f t="shared" si="169"/>
        <v>0</v>
      </c>
      <c r="V421" s="2">
        <f t="shared" si="180"/>
        <v>738.79518147766316</v>
      </c>
      <c r="W421" s="19">
        <f t="shared" si="181"/>
        <v>319.82475388643428</v>
      </c>
      <c r="X421" s="20"/>
      <c r="Y421" s="2">
        <f t="shared" si="182"/>
        <v>299.89371357982805</v>
      </c>
      <c r="Z421" s="21">
        <f t="shared" si="183"/>
        <v>3.3756945914322039</v>
      </c>
      <c r="AA421" s="2">
        <f t="shared" si="184"/>
        <v>235.88388197456285</v>
      </c>
      <c r="AB421" s="19">
        <f t="shared" si="187"/>
        <v>78.7552048724326</v>
      </c>
      <c r="AC421" s="2"/>
      <c r="AD421" s="18"/>
      <c r="AE421" s="118"/>
      <c r="AG421" s="2"/>
      <c r="AH421" s="19"/>
      <c r="AI421" s="20"/>
      <c r="AJ421" s="21"/>
      <c r="AK421" s="21"/>
      <c r="AM421" s="19"/>
      <c r="AN421" s="18"/>
      <c r="AO421" s="2"/>
      <c r="AP421" s="18"/>
      <c r="AQ421" s="118"/>
      <c r="AS421" s="2"/>
      <c r="AT421" s="19"/>
      <c r="AU421" s="20"/>
      <c r="AV421" s="21"/>
      <c r="AW421" s="21"/>
    </row>
    <row r="422" spans="1:49" x14ac:dyDescent="0.25">
      <c r="A422" s="1">
        <f t="shared" si="170"/>
        <v>396</v>
      </c>
      <c r="B422" s="19">
        <f t="shared" si="171"/>
        <v>175.07997310811726</v>
      </c>
      <c r="C422" s="18">
        <f t="shared" si="185"/>
        <v>6.038611081935076</v>
      </c>
      <c r="D422" s="2">
        <f t="shared" si="164"/>
        <v>0.93991079801057231</v>
      </c>
      <c r="E422" s="18">
        <f t="shared" si="172"/>
        <v>6.0542762619019186</v>
      </c>
      <c r="F422" s="21">
        <f t="shared" si="165"/>
        <v>2.7219547545657847</v>
      </c>
      <c r="G422" s="1">
        <f t="shared" si="166"/>
        <v>0</v>
      </c>
      <c r="H422" s="2">
        <f t="shared" si="162"/>
        <v>407.15669263431664</v>
      </c>
      <c r="I422" s="19">
        <f t="shared" si="188"/>
        <v>176.25830849970416</v>
      </c>
      <c r="J422" s="20">
        <f t="shared" si="167"/>
        <v>0.92114354528117637</v>
      </c>
      <c r="K422" s="21">
        <f t="shared" si="168"/>
        <v>156.29424791065892</v>
      </c>
      <c r="L422" s="21">
        <f t="shared" si="163"/>
        <v>2.1485343947880766</v>
      </c>
      <c r="M422" s="2">
        <f t="shared" si="173"/>
        <v>121.9969038752821</v>
      </c>
      <c r="N422" s="19">
        <f t="shared" si="186"/>
        <v>323.46002468199623</v>
      </c>
      <c r="O422" s="1">
        <f t="shared" si="174"/>
        <v>396</v>
      </c>
      <c r="P422" s="19">
        <f t="shared" si="175"/>
        <v>319.82475388643428</v>
      </c>
      <c r="Q422" s="18">
        <f t="shared" si="176"/>
        <v>7.5887920617806071</v>
      </c>
      <c r="R422" s="2">
        <f t="shared" si="177"/>
        <v>0.9513058140535865</v>
      </c>
      <c r="S422" s="18">
        <f t="shared" si="178"/>
        <v>7.6046471586814999</v>
      </c>
      <c r="T422" s="18">
        <f t="shared" si="179"/>
        <v>4.2645010781098449</v>
      </c>
      <c r="U422" s="1">
        <f t="shared" si="169"/>
        <v>0</v>
      </c>
      <c r="V422" s="2">
        <f t="shared" si="180"/>
        <v>743.05968255577295</v>
      </c>
      <c r="W422" s="19">
        <f t="shared" si="181"/>
        <v>321.67085824925238</v>
      </c>
      <c r="X422" s="20"/>
      <c r="Y422" s="2">
        <f t="shared" si="182"/>
        <v>301.7402425466496</v>
      </c>
      <c r="Z422" s="21">
        <f t="shared" si="183"/>
        <v>3.3898148560415793</v>
      </c>
      <c r="AA422" s="2">
        <f t="shared" si="184"/>
        <v>237.35133429319558</v>
      </c>
      <c r="AB422" s="19">
        <f t="shared" si="187"/>
        <v>78.852784839027919</v>
      </c>
      <c r="AC422" s="2"/>
      <c r="AD422" s="18"/>
      <c r="AE422" s="118"/>
      <c r="AG422" s="2"/>
      <c r="AH422" s="19"/>
      <c r="AI422" s="20"/>
      <c r="AJ422" s="21"/>
      <c r="AK422" s="21"/>
      <c r="AM422" s="19"/>
      <c r="AN422" s="18"/>
      <c r="AO422" s="2"/>
      <c r="AP422" s="18"/>
      <c r="AQ422" s="118"/>
      <c r="AS422" s="2"/>
      <c r="AT422" s="19"/>
      <c r="AU422" s="20"/>
      <c r="AV422" s="21"/>
      <c r="AW422" s="21"/>
    </row>
    <row r="423" spans="1:49" x14ac:dyDescent="0.25">
      <c r="A423" s="1">
        <f t="shared" si="170"/>
        <v>397</v>
      </c>
      <c r="B423" s="19">
        <f t="shared" si="171"/>
        <v>176.25830849970416</v>
      </c>
      <c r="C423" s="18">
        <f t="shared" si="185"/>
        <v>6.0542762619019186</v>
      </c>
      <c r="D423" s="2">
        <f t="shared" si="164"/>
        <v>0.94003689968095661</v>
      </c>
      <c r="E423" s="18">
        <f t="shared" si="172"/>
        <v>6.0699435435632676</v>
      </c>
      <c r="F423" s="21">
        <f t="shared" si="165"/>
        <v>2.7358403268018971</v>
      </c>
      <c r="G423" s="1">
        <f t="shared" si="166"/>
        <v>0</v>
      </c>
      <c r="H423" s="2">
        <f t="shared" si="162"/>
        <v>409.89253296111849</v>
      </c>
      <c r="I423" s="19">
        <f t="shared" si="188"/>
        <v>177.44265496152315</v>
      </c>
      <c r="J423" s="20">
        <f t="shared" si="167"/>
        <v>0.92108023079205548</v>
      </c>
      <c r="K423" s="21">
        <f t="shared" si="168"/>
        <v>157.47886677216414</v>
      </c>
      <c r="L423" s="21">
        <f t="shared" si="163"/>
        <v>2.1596687556928194</v>
      </c>
      <c r="M423" s="2">
        <f t="shared" si="173"/>
        <v>122.93182541454306</v>
      </c>
      <c r="N423" s="19">
        <f t="shared" si="186"/>
        <v>323.58233724981665</v>
      </c>
      <c r="O423" s="1">
        <f t="shared" si="174"/>
        <v>397</v>
      </c>
      <c r="P423" s="19">
        <f t="shared" si="175"/>
        <v>321.67085824925238</v>
      </c>
      <c r="Q423" s="18">
        <f t="shared" si="176"/>
        <v>7.6046471586814999</v>
      </c>
      <c r="R423" s="2">
        <f t="shared" si="177"/>
        <v>0.95141532786562188</v>
      </c>
      <c r="S423" s="18">
        <f t="shared" si="178"/>
        <v>7.6205040808125935</v>
      </c>
      <c r="T423" s="18">
        <f t="shared" si="179"/>
        <v>4.2820332372938026</v>
      </c>
      <c r="U423" s="1">
        <f t="shared" si="169"/>
        <v>0</v>
      </c>
      <c r="V423" s="2">
        <f t="shared" si="180"/>
        <v>747.34171579306678</v>
      </c>
      <c r="W423" s="19">
        <f t="shared" si="181"/>
        <v>323.52455229137087</v>
      </c>
      <c r="X423" s="20"/>
      <c r="Y423" s="2">
        <f t="shared" si="182"/>
        <v>303.59436293839781</v>
      </c>
      <c r="Z423" s="21">
        <f t="shared" si="183"/>
        <v>3.4039662216307294</v>
      </c>
      <c r="AA423" s="2">
        <f t="shared" si="184"/>
        <v>238.82491274411797</v>
      </c>
      <c r="AB423" s="19">
        <f t="shared" si="187"/>
        <v>78.950161358994663</v>
      </c>
      <c r="AC423" s="2"/>
      <c r="AD423" s="18"/>
      <c r="AE423" s="118"/>
      <c r="AG423" s="2"/>
      <c r="AH423" s="19"/>
      <c r="AI423" s="20"/>
      <c r="AJ423" s="21"/>
      <c r="AK423" s="21"/>
      <c r="AM423" s="19"/>
      <c r="AN423" s="18"/>
      <c r="AO423" s="2"/>
      <c r="AP423" s="18"/>
      <c r="AQ423" s="118"/>
      <c r="AS423" s="2"/>
      <c r="AT423" s="19"/>
      <c r="AU423" s="20"/>
      <c r="AV423" s="21"/>
      <c r="AW423" s="21"/>
    </row>
    <row r="424" spans="1:49" x14ac:dyDescent="0.25">
      <c r="A424" s="1">
        <f t="shared" si="170"/>
        <v>398</v>
      </c>
      <c r="B424" s="19">
        <f t="shared" si="171"/>
        <v>177.44265496152315</v>
      </c>
      <c r="C424" s="18">
        <f t="shared" si="185"/>
        <v>6.0699435435632676</v>
      </c>
      <c r="D424" s="2">
        <f t="shared" si="164"/>
        <v>0.94016281487082443</v>
      </c>
      <c r="E424" s="18">
        <f t="shared" si="172"/>
        <v>6.085612923811115</v>
      </c>
      <c r="F424" s="21">
        <f t="shared" si="165"/>
        <v>2.7497625991816252</v>
      </c>
      <c r="G424" s="1">
        <f t="shared" si="166"/>
        <v>0</v>
      </c>
      <c r="H424" s="2">
        <f t="shared" si="162"/>
        <v>412.64229556030011</v>
      </c>
      <c r="I424" s="19">
        <f t="shared" si="188"/>
        <v>178.63302838108228</v>
      </c>
      <c r="J424" s="20">
        <f t="shared" si="167"/>
        <v>0.92101692469949259</v>
      </c>
      <c r="K424" s="21">
        <f t="shared" si="168"/>
        <v>158.6695139776098</v>
      </c>
      <c r="L424" s="21">
        <f t="shared" si="163"/>
        <v>2.1708333901070214</v>
      </c>
      <c r="M424" s="2">
        <f t="shared" si="173"/>
        <v>123.8715801288751</v>
      </c>
      <c r="N424" s="19">
        <f t="shared" si="186"/>
        <v>323.70433411363803</v>
      </c>
      <c r="O424" s="1">
        <f t="shared" si="174"/>
        <v>398</v>
      </c>
      <c r="P424" s="19">
        <f t="shared" si="175"/>
        <v>323.52455229137087</v>
      </c>
      <c r="Q424" s="18">
        <f t="shared" si="176"/>
        <v>7.6205040808125935</v>
      </c>
      <c r="R424" s="2">
        <f t="shared" si="177"/>
        <v>0.95152467390833162</v>
      </c>
      <c r="S424" s="18">
        <f t="shared" si="178"/>
        <v>7.6363628253777325</v>
      </c>
      <c r="T424" s="18">
        <f t="shared" si="179"/>
        <v>4.2996028937188191</v>
      </c>
      <c r="U424" s="1">
        <f t="shared" si="169"/>
        <v>0</v>
      </c>
      <c r="V424" s="2">
        <f t="shared" si="180"/>
        <v>751.64131868678544</v>
      </c>
      <c r="W424" s="19">
        <f t="shared" si="181"/>
        <v>325.38585224536166</v>
      </c>
      <c r="X424" s="20"/>
      <c r="Y424" s="2">
        <f t="shared" si="182"/>
        <v>305.45609099137806</v>
      </c>
      <c r="Z424" s="21">
        <f t="shared" si="183"/>
        <v>3.4181486958754661</v>
      </c>
      <c r="AA424" s="2">
        <f t="shared" si="184"/>
        <v>240.30463079428051</v>
      </c>
      <c r="AB424" s="19">
        <f t="shared" si="187"/>
        <v>79.047335255633854</v>
      </c>
      <c r="AC424" s="2"/>
      <c r="AD424" s="18"/>
      <c r="AE424" s="118"/>
      <c r="AG424" s="2"/>
      <c r="AH424" s="19"/>
      <c r="AI424" s="20"/>
      <c r="AJ424" s="21"/>
      <c r="AK424" s="21"/>
      <c r="AM424" s="19"/>
      <c r="AN424" s="18"/>
      <c r="AO424" s="2"/>
      <c r="AP424" s="18"/>
      <c r="AQ424" s="118"/>
      <c r="AS424" s="2"/>
      <c r="AT424" s="19"/>
      <c r="AU424" s="20"/>
      <c r="AV424" s="21"/>
      <c r="AW424" s="21"/>
    </row>
    <row r="425" spans="1:49" x14ac:dyDescent="0.25">
      <c r="A425" s="1">
        <f t="shared" si="170"/>
        <v>399</v>
      </c>
      <c r="B425" s="19">
        <f t="shared" si="171"/>
        <v>178.63302838108228</v>
      </c>
      <c r="C425" s="18">
        <f t="shared" si="185"/>
        <v>6.085612923811115</v>
      </c>
      <c r="D425" s="2">
        <f t="shared" si="164"/>
        <v>0.94028854362761471</v>
      </c>
      <c r="E425" s="18">
        <f t="shared" si="172"/>
        <v>6.1012843995382422</v>
      </c>
      <c r="F425" s="21">
        <f t="shared" si="165"/>
        <v>2.7637215806213811</v>
      </c>
      <c r="G425" s="1">
        <f t="shared" si="166"/>
        <v>0</v>
      </c>
      <c r="H425" s="2">
        <f t="shared" si="162"/>
        <v>415.40601714092145</v>
      </c>
      <c r="I425" s="19">
        <f t="shared" si="188"/>
        <v>179.82944464974955</v>
      </c>
      <c r="J425" s="20">
        <f t="shared" si="167"/>
        <v>0.92095362747313647</v>
      </c>
      <c r="K425" s="21">
        <f t="shared" si="168"/>
        <v>159.86620542201885</v>
      </c>
      <c r="L425" s="21">
        <f t="shared" si="163"/>
        <v>2.1820283073732427</v>
      </c>
      <c r="M425" s="2">
        <f t="shared" si="173"/>
        <v>124.81618112773798</v>
      </c>
      <c r="N425" s="19">
        <f t="shared" si="186"/>
        <v>323.82601685704583</v>
      </c>
      <c r="O425" s="1">
        <f t="shared" si="174"/>
        <v>399</v>
      </c>
      <c r="P425" s="19">
        <f t="shared" si="175"/>
        <v>325.38585224536166</v>
      </c>
      <c r="Q425" s="18">
        <f t="shared" si="176"/>
        <v>7.6363628253777325</v>
      </c>
      <c r="R425" s="2">
        <f t="shared" si="177"/>
        <v>0.95163385257348976</v>
      </c>
      <c r="S425" s="18">
        <f t="shared" si="178"/>
        <v>7.6522233895872906</v>
      </c>
      <c r="T425" s="18">
        <f t="shared" si="179"/>
        <v>4.3172100546719481</v>
      </c>
      <c r="U425" s="1">
        <f t="shared" si="169"/>
        <v>0</v>
      </c>
      <c r="V425" s="2">
        <f t="shared" si="180"/>
        <v>755.95852874145737</v>
      </c>
      <c r="W425" s="19">
        <f t="shared" si="181"/>
        <v>327.25477434695125</v>
      </c>
      <c r="X425" s="20"/>
      <c r="Y425" s="2">
        <f t="shared" si="182"/>
        <v>307.32544294505101</v>
      </c>
      <c r="Z425" s="21">
        <f t="shared" si="183"/>
        <v>3.432362286437832</v>
      </c>
      <c r="AA425" s="2">
        <f t="shared" si="184"/>
        <v>241.79050191395058</v>
      </c>
      <c r="AB425" s="19">
        <f t="shared" si="187"/>
        <v>79.14430734729855</v>
      </c>
      <c r="AC425" s="2"/>
      <c r="AD425" s="18"/>
      <c r="AE425" s="118"/>
      <c r="AG425" s="2"/>
      <c r="AH425" s="19"/>
      <c r="AI425" s="20"/>
      <c r="AJ425" s="21"/>
      <c r="AK425" s="21"/>
      <c r="AM425" s="19"/>
      <c r="AN425" s="18"/>
      <c r="AO425" s="2"/>
      <c r="AP425" s="18"/>
      <c r="AQ425" s="118"/>
      <c r="AS425" s="2"/>
      <c r="AT425" s="19"/>
      <c r="AU425" s="20"/>
      <c r="AV425" s="21"/>
      <c r="AW425" s="21"/>
    </row>
    <row r="426" spans="1:49" x14ac:dyDescent="0.25">
      <c r="A426" s="1">
        <f t="shared" si="170"/>
        <v>400</v>
      </c>
      <c r="B426" s="19">
        <f t="shared" si="171"/>
        <v>179.82944464974955</v>
      </c>
      <c r="C426" s="18">
        <f t="shared" si="185"/>
        <v>6.1012843995382422</v>
      </c>
      <c r="D426" s="2">
        <f t="shared" si="164"/>
        <v>0.94041408600618137</v>
      </c>
      <c r="E426" s="18">
        <f t="shared" si="172"/>
        <v>6.1169579676383457</v>
      </c>
      <c r="F426" s="21">
        <f t="shared" si="165"/>
        <v>2.7777172800176002</v>
      </c>
      <c r="G426" s="1">
        <f t="shared" si="166"/>
        <v>0</v>
      </c>
      <c r="H426" s="2">
        <f t="shared" si="162"/>
        <v>418.18373442093906</v>
      </c>
      <c r="I426" s="19">
        <f t="shared" si="188"/>
        <v>181.03191966274417</v>
      </c>
      <c r="J426" s="20">
        <f t="shared" si="167"/>
        <v>0.92089033957753763</v>
      </c>
      <c r="K426" s="21">
        <f t="shared" si="168"/>
        <v>161.06895700426648</v>
      </c>
      <c r="L426" s="21">
        <f t="shared" si="163"/>
        <v>2.1932535168134124</v>
      </c>
      <c r="M426" s="2">
        <f t="shared" si="173"/>
        <v>125.7656415246269</v>
      </c>
      <c r="N426" s="19">
        <f t="shared" si="186"/>
        <v>323.94738705181061</v>
      </c>
      <c r="O426" s="1">
        <f t="shared" si="174"/>
        <v>400</v>
      </c>
      <c r="P426" s="19">
        <f t="shared" si="175"/>
        <v>327.25477434695125</v>
      </c>
      <c r="Q426" s="18">
        <f t="shared" si="176"/>
        <v>7.6522233895872906</v>
      </c>
      <c r="R426" s="2">
        <f t="shared" si="177"/>
        <v>0.95174286425276888</v>
      </c>
      <c r="S426" s="18">
        <f t="shared" si="178"/>
        <v>7.6680857706581698</v>
      </c>
      <c r="T426" s="18">
        <f t="shared" si="179"/>
        <v>4.334854727427075</v>
      </c>
      <c r="U426" s="1">
        <f t="shared" si="169"/>
        <v>0</v>
      </c>
      <c r="V426" s="2">
        <f t="shared" si="180"/>
        <v>760.29338346888449</v>
      </c>
      <c r="W426" s="19">
        <f t="shared" si="181"/>
        <v>329.13133483501491</v>
      </c>
      <c r="X426" s="20"/>
      <c r="Y426" s="2">
        <f t="shared" si="182"/>
        <v>309.20243504202693</v>
      </c>
      <c r="Z426" s="21">
        <f t="shared" si="183"/>
        <v>3.446607000966158</v>
      </c>
      <c r="AA426" s="2">
        <f t="shared" si="184"/>
        <v>243.28253957670648</v>
      </c>
      <c r="AB426" s="19">
        <f t="shared" si="187"/>
        <v>79.241078447433324</v>
      </c>
      <c r="AC426" s="2"/>
      <c r="AD426" s="18"/>
      <c r="AE426" s="118"/>
      <c r="AG426" s="2"/>
      <c r="AH426" s="19"/>
      <c r="AI426" s="20"/>
      <c r="AJ426" s="21"/>
      <c r="AK426" s="21"/>
      <c r="AM426" s="19"/>
      <c r="AN426" s="18"/>
      <c r="AO426" s="2"/>
      <c r="AP426" s="18"/>
      <c r="AQ426" s="118"/>
      <c r="AS426" s="2"/>
      <c r="AT426" s="19"/>
      <c r="AU426" s="20"/>
      <c r="AV426" s="21"/>
      <c r="AW426" s="21"/>
    </row>
    <row r="427" spans="1:49" x14ac:dyDescent="0.25">
      <c r="A427" s="1">
        <f t="shared" si="170"/>
        <v>401</v>
      </c>
      <c r="B427" s="19">
        <f t="shared" si="171"/>
        <v>181.03191966274417</v>
      </c>
      <c r="C427" s="18">
        <f t="shared" si="185"/>
        <v>6.1169579676383457</v>
      </c>
      <c r="D427" s="2">
        <f t="shared" si="164"/>
        <v>0.94053944206864881</v>
      </c>
      <c r="E427" s="18">
        <f t="shared" si="172"/>
        <v>6.1326336250061564</v>
      </c>
      <c r="F427" s="21">
        <f t="shared" si="165"/>
        <v>2.7917497062468257</v>
      </c>
      <c r="G427" s="1">
        <f t="shared" si="166"/>
        <v>0</v>
      </c>
      <c r="H427" s="2">
        <f t="shared" si="162"/>
        <v>420.97548412718589</v>
      </c>
      <c r="I427" s="19">
        <f t="shared" si="188"/>
        <v>182.2404693191281</v>
      </c>
      <c r="J427" s="20">
        <f t="shared" si="167"/>
        <v>0.92082706147219595</v>
      </c>
      <c r="K427" s="21">
        <f t="shared" si="168"/>
        <v>162.27778462707136</v>
      </c>
      <c r="L427" s="21">
        <f t="shared" si="163"/>
        <v>2.2045090277289145</v>
      </c>
      <c r="M427" s="2">
        <f t="shared" si="173"/>
        <v>126.71997443706366</v>
      </c>
      <c r="N427" s="19">
        <f t="shared" si="186"/>
        <v>324.06844625800511</v>
      </c>
      <c r="O427" s="1">
        <f t="shared" si="174"/>
        <v>401</v>
      </c>
      <c r="P427" s="19">
        <f t="shared" si="175"/>
        <v>329.13133483501491</v>
      </c>
      <c r="Q427" s="18">
        <f t="shared" si="176"/>
        <v>7.6680857706581698</v>
      </c>
      <c r="R427" s="2">
        <f t="shared" si="177"/>
        <v>0.95185170933771879</v>
      </c>
      <c r="S427" s="18">
        <f t="shared" si="178"/>
        <v>7.6839499658137989</v>
      </c>
      <c r="T427" s="18">
        <f t="shared" si="179"/>
        <v>4.3525369192449688</v>
      </c>
      <c r="U427" s="1">
        <f t="shared" si="169"/>
        <v>0</v>
      </c>
      <c r="V427" s="2">
        <f t="shared" si="180"/>
        <v>764.64592038812941</v>
      </c>
      <c r="W427" s="19">
        <f t="shared" si="181"/>
        <v>331.01554995157119</v>
      </c>
      <c r="X427" s="20"/>
      <c r="Y427" s="2">
        <f t="shared" si="182"/>
        <v>311.08708352806002</v>
      </c>
      <c r="Z427" s="21">
        <f t="shared" si="183"/>
        <v>3.4608828470951138</v>
      </c>
      <c r="AA427" s="2">
        <f t="shared" si="184"/>
        <v>244.78075725943165</v>
      </c>
      <c r="AB427" s="19">
        <f t="shared" si="187"/>
        <v>79.337649364613327</v>
      </c>
      <c r="AC427" s="2"/>
      <c r="AD427" s="18"/>
      <c r="AE427" s="118"/>
      <c r="AG427" s="2"/>
      <c r="AH427" s="19"/>
      <c r="AI427" s="20"/>
      <c r="AJ427" s="21"/>
      <c r="AK427" s="21"/>
      <c r="AM427" s="19"/>
      <c r="AN427" s="18"/>
      <c r="AO427" s="2"/>
      <c r="AP427" s="18"/>
      <c r="AQ427" s="118"/>
      <c r="AS427" s="2"/>
      <c r="AT427" s="19"/>
      <c r="AU427" s="20"/>
      <c r="AV427" s="21"/>
      <c r="AW427" s="21"/>
    </row>
    <row r="428" spans="1:49" x14ac:dyDescent="0.25">
      <c r="A428" s="1">
        <f t="shared" si="170"/>
        <v>402</v>
      </c>
      <c r="B428" s="19">
        <f t="shared" si="171"/>
        <v>182.2404693191281</v>
      </c>
      <c r="C428" s="18">
        <f t="shared" si="185"/>
        <v>6.1326336250061564</v>
      </c>
      <c r="D428" s="2">
        <f t="shared" si="164"/>
        <v>0.94066461188426698</v>
      </c>
      <c r="E428" s="18">
        <f t="shared" si="172"/>
        <v>6.148311368537561</v>
      </c>
      <c r="F428" s="21">
        <f t="shared" si="165"/>
        <v>2.8058188681657898</v>
      </c>
      <c r="G428" s="1">
        <f t="shared" si="166"/>
        <v>0</v>
      </c>
      <c r="H428" s="2">
        <f t="shared" si="162"/>
        <v>423.78130299535167</v>
      </c>
      <c r="I428" s="19">
        <f t="shared" si="188"/>
        <v>183.45510952179725</v>
      </c>
      <c r="J428" s="20">
        <f t="shared" si="167"/>
        <v>0.92076379361160454</v>
      </c>
      <c r="K428" s="21">
        <f t="shared" si="168"/>
        <v>163.49270419698715</v>
      </c>
      <c r="L428" s="21">
        <f t="shared" si="163"/>
        <v>2.2157948494006758</v>
      </c>
      <c r="M428" s="2">
        <f t="shared" si="173"/>
        <v>127.67919298658775</v>
      </c>
      <c r="N428" s="19">
        <f t="shared" si="186"/>
        <v>324.18919602411995</v>
      </c>
      <c r="O428" s="1">
        <f t="shared" si="174"/>
        <v>402</v>
      </c>
      <c r="P428" s="19">
        <f t="shared" si="175"/>
        <v>331.01554995157119</v>
      </c>
      <c r="Q428" s="18">
        <f t="shared" si="176"/>
        <v>7.6839499658137989</v>
      </c>
      <c r="R428" s="2">
        <f t="shared" si="177"/>
        <v>0.95196038821974749</v>
      </c>
      <c r="S428" s="18">
        <f t="shared" si="178"/>
        <v>7.699815972284128</v>
      </c>
      <c r="T428" s="18">
        <f t="shared" si="179"/>
        <v>4.3702566373733269</v>
      </c>
      <c r="U428" s="1">
        <f t="shared" si="169"/>
        <v>0</v>
      </c>
      <c r="V428" s="2">
        <f t="shared" si="180"/>
        <v>769.01617702550277</v>
      </c>
      <c r="W428" s="19">
        <f t="shared" si="181"/>
        <v>332.9074359417761</v>
      </c>
      <c r="X428" s="20"/>
      <c r="Y428" s="2">
        <f t="shared" si="182"/>
        <v>312.97940465204266</v>
      </c>
      <c r="Z428" s="21">
        <f t="shared" si="183"/>
        <v>3.4751898324457589</v>
      </c>
      <c r="AA428" s="2">
        <f t="shared" si="184"/>
        <v>246.28516844230862</v>
      </c>
      <c r="AB428" s="19">
        <f t="shared" si="187"/>
        <v>79.434020902582986</v>
      </c>
      <c r="AC428" s="2"/>
      <c r="AD428" s="18"/>
      <c r="AE428" s="118"/>
      <c r="AG428" s="2"/>
      <c r="AH428" s="19"/>
      <c r="AI428" s="20"/>
      <c r="AJ428" s="21"/>
      <c r="AK428" s="21"/>
      <c r="AM428" s="19"/>
      <c r="AN428" s="18"/>
      <c r="AO428" s="2"/>
      <c r="AP428" s="18"/>
      <c r="AQ428" s="118"/>
      <c r="AS428" s="2"/>
      <c r="AT428" s="19"/>
      <c r="AU428" s="20"/>
      <c r="AV428" s="21"/>
      <c r="AW428" s="21"/>
    </row>
    <row r="429" spans="1:49" x14ac:dyDescent="0.25">
      <c r="A429" s="1">
        <f t="shared" si="170"/>
        <v>403</v>
      </c>
      <c r="B429" s="19">
        <f t="shared" si="171"/>
        <v>183.45510952179725</v>
      </c>
      <c r="C429" s="18">
        <f t="shared" si="185"/>
        <v>6.148311368537561</v>
      </c>
      <c r="D429" s="2">
        <f t="shared" si="164"/>
        <v>0.94078959552927288</v>
      </c>
      <c r="E429" s="18">
        <f t="shared" si="172"/>
        <v>6.1639911951297153</v>
      </c>
      <c r="F429" s="21">
        <f t="shared" si="165"/>
        <v>2.819924774611501</v>
      </c>
      <c r="G429" s="1">
        <f t="shared" si="166"/>
        <v>0</v>
      </c>
      <c r="H429" s="2">
        <f t="shared" si="162"/>
        <v>426.60122776996315</v>
      </c>
      <c r="I429" s="19">
        <f t="shared" si="188"/>
        <v>184.67585617747321</v>
      </c>
      <c r="J429" s="20">
        <f t="shared" si="167"/>
        <v>0.92070053644529437</v>
      </c>
      <c r="K429" s="21">
        <f t="shared" si="168"/>
        <v>164.71373162439392</v>
      </c>
      <c r="L429" s="21">
        <f t="shared" si="163"/>
        <v>2.2271109910892521</v>
      </c>
      <c r="M429" s="2">
        <f t="shared" si="173"/>
        <v>128.64331029874759</v>
      </c>
      <c r="N429" s="19">
        <f t="shared" si="186"/>
        <v>324.30963788717798</v>
      </c>
      <c r="O429" s="1">
        <f t="shared" si="174"/>
        <v>403</v>
      </c>
      <c r="P429" s="19">
        <f t="shared" si="175"/>
        <v>332.9074359417761</v>
      </c>
      <c r="Q429" s="18">
        <f t="shared" si="176"/>
        <v>7.699815972284128</v>
      </c>
      <c r="R429" s="2">
        <f t="shared" si="177"/>
        <v>0.95206890129010013</v>
      </c>
      <c r="S429" s="18">
        <f t="shared" si="178"/>
        <v>7.7156837873056299</v>
      </c>
      <c r="T429" s="18">
        <f t="shared" si="179"/>
        <v>4.388013889046837</v>
      </c>
      <c r="U429" s="1">
        <f t="shared" si="169"/>
        <v>0</v>
      </c>
      <c r="V429" s="2">
        <f t="shared" si="180"/>
        <v>773.40419091454964</v>
      </c>
      <c r="W429" s="19">
        <f t="shared" si="181"/>
        <v>334.80700905391757</v>
      </c>
      <c r="X429" s="20"/>
      <c r="Y429" s="2">
        <f t="shared" si="182"/>
        <v>314.87941466599995</v>
      </c>
      <c r="Z429" s="21">
        <f t="shared" si="183"/>
        <v>3.4895279646255997</v>
      </c>
      <c r="AA429" s="2">
        <f t="shared" si="184"/>
        <v>247.79578660881322</v>
      </c>
      <c r="AB429" s="19">
        <f t="shared" si="187"/>
        <v>79.530193860294304</v>
      </c>
      <c r="AC429" s="2"/>
      <c r="AD429" s="18"/>
      <c r="AE429" s="118"/>
      <c r="AG429" s="2"/>
      <c r="AH429" s="19"/>
      <c r="AI429" s="20"/>
      <c r="AJ429" s="21"/>
      <c r="AK429" s="21"/>
      <c r="AM429" s="19"/>
      <c r="AN429" s="18"/>
      <c r="AO429" s="2"/>
      <c r="AP429" s="18"/>
      <c r="AQ429" s="118"/>
      <c r="AS429" s="2"/>
      <c r="AT429" s="19"/>
      <c r="AU429" s="20"/>
      <c r="AV429" s="21"/>
      <c r="AW429" s="21"/>
    </row>
    <row r="430" spans="1:49" x14ac:dyDescent="0.25">
      <c r="A430" s="1">
        <f t="shared" si="170"/>
        <v>404</v>
      </c>
      <c r="B430" s="19">
        <f t="shared" si="171"/>
        <v>184.67585617747321</v>
      </c>
      <c r="C430" s="18">
        <f t="shared" si="185"/>
        <v>6.1639911951297153</v>
      </c>
      <c r="D430" s="2">
        <f t="shared" si="164"/>
        <v>0.94091439308675107</v>
      </c>
      <c r="E430" s="18">
        <f t="shared" si="172"/>
        <v>6.1796731016811615</v>
      </c>
      <c r="F430" s="21">
        <f t="shared" si="165"/>
        <v>2.8340674344013275</v>
      </c>
      <c r="G430" s="1">
        <f t="shared" si="166"/>
        <v>0</v>
      </c>
      <c r="H430" s="2">
        <f t="shared" si="162"/>
        <v>429.43529520436448</v>
      </c>
      <c r="I430" s="19">
        <f t="shared" si="188"/>
        <v>185.90272519669458</v>
      </c>
      <c r="J430" s="20">
        <f t="shared" si="167"/>
        <v>0.92063729041788001</v>
      </c>
      <c r="K430" s="21">
        <f t="shared" si="168"/>
        <v>165.94088282348969</v>
      </c>
      <c r="L430" s="21">
        <f t="shared" si="163"/>
        <v>2.2384574620349169</v>
      </c>
      <c r="M430" s="2">
        <f t="shared" si="173"/>
        <v>129.6123395030917</v>
      </c>
      <c r="N430" s="19">
        <f t="shared" si="186"/>
        <v>324.42977337284714</v>
      </c>
      <c r="O430" s="1">
        <f t="shared" si="174"/>
        <v>404</v>
      </c>
      <c r="P430" s="19">
        <f t="shared" si="175"/>
        <v>334.80700905391757</v>
      </c>
      <c r="Q430" s="18">
        <f t="shared" si="176"/>
        <v>7.7156837873056299</v>
      </c>
      <c r="R430" s="2">
        <f t="shared" si="177"/>
        <v>0.95217724893984013</v>
      </c>
      <c r="S430" s="18">
        <f t="shared" si="178"/>
        <v>7.731553408121294</v>
      </c>
      <c r="T430" s="18">
        <f t="shared" si="179"/>
        <v>4.405808681487219</v>
      </c>
      <c r="U430" s="1">
        <f t="shared" si="169"/>
        <v>0</v>
      </c>
      <c r="V430" s="2">
        <f t="shared" si="180"/>
        <v>777.80999959603685</v>
      </c>
      <c r="W430" s="19">
        <f t="shared" si="181"/>
        <v>336.7142855394099</v>
      </c>
      <c r="X430" s="20"/>
      <c r="Y430" s="2">
        <f t="shared" si="182"/>
        <v>316.78712982508392</v>
      </c>
      <c r="Z430" s="21">
        <f t="shared" si="183"/>
        <v>3.5038972512286368</v>
      </c>
      <c r="AA430" s="2">
        <f t="shared" si="184"/>
        <v>249.31262524570872</v>
      </c>
      <c r="AB430" s="19">
        <f t="shared" si="187"/>
        <v>79.626169031944769</v>
      </c>
      <c r="AC430" s="2"/>
      <c r="AD430" s="18"/>
      <c r="AE430" s="118"/>
      <c r="AG430" s="2"/>
      <c r="AH430" s="19"/>
      <c r="AI430" s="20"/>
      <c r="AJ430" s="21"/>
      <c r="AK430" s="21"/>
      <c r="AM430" s="19"/>
      <c r="AN430" s="18"/>
      <c r="AO430" s="2"/>
      <c r="AP430" s="18"/>
      <c r="AQ430" s="118"/>
      <c r="AS430" s="2"/>
      <c r="AT430" s="19"/>
      <c r="AU430" s="20"/>
      <c r="AV430" s="21"/>
      <c r="AW430" s="21"/>
    </row>
    <row r="431" spans="1:49" x14ac:dyDescent="0.25">
      <c r="A431" s="1">
        <f t="shared" si="170"/>
        <v>405</v>
      </c>
      <c r="B431" s="19">
        <f t="shared" si="171"/>
        <v>185.90272519669458</v>
      </c>
      <c r="C431" s="18">
        <f t="shared" si="185"/>
        <v>6.1796731016811615</v>
      </c>
      <c r="D431" s="2">
        <f t="shared" si="164"/>
        <v>0.9410390046464977</v>
      </c>
      <c r="E431" s="18">
        <f t="shared" si="172"/>
        <v>6.1953570850919366</v>
      </c>
      <c r="F431" s="21">
        <f t="shared" si="165"/>
        <v>2.8482468563330787</v>
      </c>
      <c r="G431" s="1">
        <f t="shared" si="166"/>
        <v>0</v>
      </c>
      <c r="H431" s="2">
        <f t="shared" si="162"/>
        <v>432.28354206069758</v>
      </c>
      <c r="I431" s="19">
        <f t="shared" si="188"/>
        <v>187.13573249380846</v>
      </c>
      <c r="J431" s="20">
        <f t="shared" si="167"/>
        <v>0.92057405596910258</v>
      </c>
      <c r="K431" s="21">
        <f t="shared" si="168"/>
        <v>167.17417371228191</v>
      </c>
      <c r="L431" s="21">
        <f t="shared" si="163"/>
        <v>2.2498342714577428</v>
      </c>
      <c r="M431" s="2">
        <f t="shared" si="173"/>
        <v>130.58629373315998</v>
      </c>
      <c r="N431" s="19">
        <f t="shared" si="186"/>
        <v>324.54960399555205</v>
      </c>
      <c r="O431" s="1">
        <f t="shared" si="174"/>
        <v>405</v>
      </c>
      <c r="P431" s="19">
        <f t="shared" si="175"/>
        <v>336.7142855394099</v>
      </c>
      <c r="Q431" s="18">
        <f t="shared" si="176"/>
        <v>7.731553408121294</v>
      </c>
      <c r="R431" s="2">
        <f t="shared" si="177"/>
        <v>0.95228543155983014</v>
      </c>
      <c r="S431" s="18">
        <f t="shared" si="178"/>
        <v>7.7474248319806245</v>
      </c>
      <c r="T431" s="18">
        <f t="shared" si="179"/>
        <v>4.42364102190328</v>
      </c>
      <c r="U431" s="1">
        <f t="shared" si="169"/>
        <v>0</v>
      </c>
      <c r="V431" s="2">
        <f t="shared" si="180"/>
        <v>782.23364061794018</v>
      </c>
      <c r="W431" s="19">
        <f t="shared" si="181"/>
        <v>338.62928165278794</v>
      </c>
      <c r="X431" s="20"/>
      <c r="Y431" s="2">
        <f t="shared" si="182"/>
        <v>318.70256638756803</v>
      </c>
      <c r="Z431" s="21">
        <f t="shared" si="183"/>
        <v>3.518297699835419</v>
      </c>
      <c r="AA431" s="2">
        <f t="shared" si="184"/>
        <v>250.83569784304007</v>
      </c>
      <c r="AB431" s="19">
        <f t="shared" si="187"/>
        <v>79.721947207014935</v>
      </c>
      <c r="AC431" s="2"/>
      <c r="AD431" s="18"/>
      <c r="AE431" s="118"/>
      <c r="AG431" s="2"/>
      <c r="AH431" s="19"/>
      <c r="AI431" s="20"/>
      <c r="AJ431" s="21"/>
      <c r="AK431" s="21"/>
      <c r="AM431" s="19"/>
      <c r="AN431" s="18"/>
      <c r="AO431" s="2"/>
      <c r="AP431" s="18"/>
      <c r="AQ431" s="118"/>
      <c r="AS431" s="2"/>
      <c r="AT431" s="19"/>
      <c r="AU431" s="20"/>
      <c r="AV431" s="21"/>
      <c r="AW431" s="21"/>
    </row>
    <row r="432" spans="1:49" x14ac:dyDescent="0.25">
      <c r="A432" s="1">
        <f t="shared" si="170"/>
        <v>406</v>
      </c>
      <c r="B432" s="19">
        <f t="shared" si="171"/>
        <v>187.13573249380846</v>
      </c>
      <c r="C432" s="18">
        <f t="shared" si="185"/>
        <v>6.1953570850919366</v>
      </c>
      <c r="D432" s="2">
        <f t="shared" si="164"/>
        <v>0.94116343030488703</v>
      </c>
      <c r="E432" s="18">
        <f t="shared" si="172"/>
        <v>6.2110431422636845</v>
      </c>
      <c r="F432" s="21">
        <f t="shared" si="165"/>
        <v>2.8624630491850951</v>
      </c>
      <c r="G432" s="1">
        <f t="shared" si="166"/>
        <v>0</v>
      </c>
      <c r="H432" s="2">
        <f t="shared" si="162"/>
        <v>435.14600510988271</v>
      </c>
      <c r="I432" s="19">
        <f t="shared" si="188"/>
        <v>188.37489398696221</v>
      </c>
      <c r="J432" s="20">
        <f t="shared" si="167"/>
        <v>0.92051083353387486</v>
      </c>
      <c r="K432" s="21">
        <f t="shared" si="168"/>
        <v>168.41362021257905</v>
      </c>
      <c r="L432" s="21">
        <f t="shared" si="163"/>
        <v>2.2612414285576974</v>
      </c>
      <c r="M432" s="2">
        <f t="shared" si="173"/>
        <v>131.565186126475</v>
      </c>
      <c r="N432" s="19">
        <f t="shared" si="186"/>
        <v>324.66913125858412</v>
      </c>
      <c r="O432" s="1">
        <f t="shared" si="174"/>
        <v>406</v>
      </c>
      <c r="P432" s="19">
        <f t="shared" si="175"/>
        <v>338.62928165278794</v>
      </c>
      <c r="Q432" s="18">
        <f t="shared" si="176"/>
        <v>7.7474248319806245</v>
      </c>
      <c r="R432" s="2">
        <f t="shared" si="177"/>
        <v>0.95239344954071359</v>
      </c>
      <c r="S432" s="18">
        <f t="shared" si="178"/>
        <v>7.7632980561396367</v>
      </c>
      <c r="T432" s="18">
        <f t="shared" si="179"/>
        <v>4.441510917490965</v>
      </c>
      <c r="U432" s="1">
        <f t="shared" si="169"/>
        <v>0</v>
      </c>
      <c r="V432" s="2">
        <f t="shared" si="180"/>
        <v>786.67515153543116</v>
      </c>
      <c r="W432" s="19">
        <f t="shared" si="181"/>
        <v>340.55201365170177</v>
      </c>
      <c r="X432" s="20"/>
      <c r="Y432" s="2">
        <f t="shared" si="182"/>
        <v>320.62574061484162</v>
      </c>
      <c r="Z432" s="21">
        <f t="shared" si="183"/>
        <v>3.532729318013093</v>
      </c>
      <c r="AA432" s="2">
        <f t="shared" si="184"/>
        <v>252.36501789412799</v>
      </c>
      <c r="AB432" s="19">
        <f t="shared" si="187"/>
        <v>79.817529170305576</v>
      </c>
      <c r="AC432" s="2"/>
      <c r="AD432" s="18"/>
      <c r="AE432" s="118"/>
      <c r="AG432" s="2"/>
      <c r="AH432" s="19"/>
      <c r="AI432" s="20"/>
      <c r="AJ432" s="21"/>
      <c r="AK432" s="21"/>
      <c r="AM432" s="19"/>
      <c r="AN432" s="18"/>
      <c r="AO432" s="2"/>
      <c r="AP432" s="18"/>
      <c r="AQ432" s="118"/>
      <c r="AS432" s="2"/>
      <c r="AT432" s="19"/>
      <c r="AU432" s="20"/>
      <c r="AV432" s="21"/>
      <c r="AW432" s="21"/>
    </row>
    <row r="433" spans="1:49" x14ac:dyDescent="0.25">
      <c r="A433" s="1">
        <f t="shared" si="170"/>
        <v>407</v>
      </c>
      <c r="B433" s="19">
        <f t="shared" si="171"/>
        <v>188.37489398696221</v>
      </c>
      <c r="C433" s="18">
        <f t="shared" si="185"/>
        <v>6.2110431422636845</v>
      </c>
      <c r="D433" s="2">
        <f t="shared" si="164"/>
        <v>0.94128767016473935</v>
      </c>
      <c r="E433" s="18">
        <f t="shared" si="172"/>
        <v>6.2267312700997639</v>
      </c>
      <c r="F433" s="21">
        <f t="shared" si="165"/>
        <v>2.8767160217163208</v>
      </c>
      <c r="G433" s="1">
        <f t="shared" si="166"/>
        <v>0</v>
      </c>
      <c r="H433" s="2">
        <f t="shared" si="162"/>
        <v>438.02272113159904</v>
      </c>
      <c r="I433" s="19">
        <f t="shared" si="188"/>
        <v>189.62022559809481</v>
      </c>
      <c r="J433" s="20">
        <f t="shared" si="167"/>
        <v>0.92044762354232346</v>
      </c>
      <c r="K433" s="21">
        <f t="shared" si="168"/>
        <v>169.65923824998222</v>
      </c>
      <c r="L433" s="21">
        <f t="shared" si="163"/>
        <v>2.2726789425147165</v>
      </c>
      <c r="M433" s="2">
        <f t="shared" si="173"/>
        <v>132.54902982453331</v>
      </c>
      <c r="N433" s="19">
        <f t="shared" si="186"/>
        <v>324.78835665421025</v>
      </c>
      <c r="O433" s="1">
        <f t="shared" si="174"/>
        <v>407</v>
      </c>
      <c r="P433" s="19">
        <f t="shared" si="175"/>
        <v>340.55201365170177</v>
      </c>
      <c r="Q433" s="18">
        <f t="shared" si="176"/>
        <v>7.7632980561396367</v>
      </c>
      <c r="R433" s="2">
        <f t="shared" si="177"/>
        <v>0.95250130327289551</v>
      </c>
      <c r="S433" s="18">
        <f t="shared" si="178"/>
        <v>7.7791730778608521</v>
      </c>
      <c r="T433" s="18">
        <f t="shared" si="179"/>
        <v>4.4594183754334047</v>
      </c>
      <c r="U433" s="1">
        <f t="shared" si="169"/>
        <v>0</v>
      </c>
      <c r="V433" s="2">
        <f t="shared" si="180"/>
        <v>791.13456991086457</v>
      </c>
      <c r="W433" s="19">
        <f t="shared" si="181"/>
        <v>342.48249779691105</v>
      </c>
      <c r="X433" s="20"/>
      <c r="Y433" s="2">
        <f t="shared" si="182"/>
        <v>322.5566687714043</v>
      </c>
      <c r="Z433" s="21">
        <f t="shared" si="183"/>
        <v>3.5471921133154583</v>
      </c>
      <c r="AA433" s="2">
        <f t="shared" si="184"/>
        <v>253.90059889556326</v>
      </c>
      <c r="AB433" s="19">
        <f t="shared" si="187"/>
        <v>79.912915701974512</v>
      </c>
      <c r="AC433" s="2"/>
      <c r="AD433" s="18"/>
      <c r="AE433" s="118"/>
      <c r="AG433" s="2"/>
      <c r="AH433" s="19"/>
      <c r="AI433" s="20"/>
      <c r="AJ433" s="21"/>
      <c r="AK433" s="21"/>
      <c r="AM433" s="19"/>
      <c r="AN433" s="18"/>
      <c r="AO433" s="2"/>
      <c r="AP433" s="18"/>
      <c r="AQ433" s="118"/>
      <c r="AS433" s="2"/>
      <c r="AT433" s="19"/>
      <c r="AU433" s="20"/>
      <c r="AV433" s="21"/>
      <c r="AW433" s="21"/>
    </row>
    <row r="434" spans="1:49" x14ac:dyDescent="0.25">
      <c r="A434" s="1">
        <f t="shared" si="170"/>
        <v>408</v>
      </c>
      <c r="B434" s="19">
        <f t="shared" si="171"/>
        <v>189.62022559809481</v>
      </c>
      <c r="C434" s="18">
        <f t="shared" si="185"/>
        <v>6.2267312700997639</v>
      </c>
      <c r="D434" s="2">
        <f t="shared" si="164"/>
        <v>0.9414117243351916</v>
      </c>
      <c r="E434" s="18">
        <f t="shared" si="172"/>
        <v>6.24242146550535</v>
      </c>
      <c r="F434" s="21">
        <f t="shared" si="165"/>
        <v>2.8910057826663973</v>
      </c>
      <c r="G434" s="1">
        <f t="shared" si="166"/>
        <v>0</v>
      </c>
      <c r="H434" s="2">
        <f t="shared" si="162"/>
        <v>440.9137269142654</v>
      </c>
      <c r="I434" s="19">
        <f t="shared" si="188"/>
        <v>190.87174325292875</v>
      </c>
      <c r="J434" s="20">
        <f t="shared" si="167"/>
        <v>0.92038442641983387</v>
      </c>
      <c r="K434" s="21">
        <f t="shared" si="168"/>
        <v>170.91104375387678</v>
      </c>
      <c r="L434" s="21">
        <f t="shared" si="163"/>
        <v>2.2841468224887991</v>
      </c>
      <c r="M434" s="2">
        <f t="shared" si="173"/>
        <v>133.53783797279686</v>
      </c>
      <c r="N434" s="19">
        <f t="shared" si="186"/>
        <v>324.9072816637804</v>
      </c>
      <c r="O434" s="1">
        <f t="shared" si="174"/>
        <v>408</v>
      </c>
      <c r="P434" s="19">
        <f t="shared" si="175"/>
        <v>342.48249779691105</v>
      </c>
      <c r="Q434" s="18">
        <f t="shared" si="176"/>
        <v>7.7791730778608521</v>
      </c>
      <c r="R434" s="2">
        <f t="shared" si="177"/>
        <v>0.95260899314652614</v>
      </c>
      <c r="S434" s="18">
        <f t="shared" si="178"/>
        <v>7.7950498944132942</v>
      </c>
      <c r="T434" s="18">
        <f t="shared" si="179"/>
        <v>4.4773634029009681</v>
      </c>
      <c r="U434" s="1">
        <f t="shared" si="169"/>
        <v>0</v>
      </c>
      <c r="V434" s="2">
        <f t="shared" si="180"/>
        <v>795.61193331376558</v>
      </c>
      <c r="W434" s="19">
        <f t="shared" si="181"/>
        <v>344.42075035227947</v>
      </c>
      <c r="X434" s="20"/>
      <c r="Y434" s="2">
        <f t="shared" si="182"/>
        <v>324.49536712486042</v>
      </c>
      <c r="Z434" s="21">
        <f t="shared" si="183"/>
        <v>3.5616860932830132</v>
      </c>
      <c r="AA434" s="2">
        <f t="shared" si="184"/>
        <v>255.44245434720094</v>
      </c>
      <c r="AB434" s="19">
        <f t="shared" si="187"/>
        <v>80.008107577573071</v>
      </c>
      <c r="AC434" s="2"/>
      <c r="AD434" s="18"/>
      <c r="AE434" s="118"/>
      <c r="AG434" s="2"/>
      <c r="AH434" s="19"/>
      <c r="AI434" s="20"/>
      <c r="AJ434" s="21"/>
      <c r="AK434" s="21"/>
      <c r="AM434" s="19"/>
      <c r="AN434" s="18"/>
      <c r="AO434" s="2"/>
      <c r="AP434" s="18"/>
      <c r="AQ434" s="118"/>
      <c r="AS434" s="2"/>
      <c r="AT434" s="19"/>
      <c r="AU434" s="20"/>
      <c r="AV434" s="21"/>
      <c r="AW434" s="21"/>
    </row>
    <row r="435" spans="1:49" x14ac:dyDescent="0.25">
      <c r="A435" s="1">
        <f t="shared" si="170"/>
        <v>409</v>
      </c>
      <c r="B435" s="19">
        <f t="shared" si="171"/>
        <v>190.87174325292875</v>
      </c>
      <c r="C435" s="18">
        <f t="shared" si="185"/>
        <v>6.24242146550535</v>
      </c>
      <c r="D435" s="2">
        <f t="shared" si="164"/>
        <v>0.94153559293156952</v>
      </c>
      <c r="E435" s="18">
        <f t="shared" si="172"/>
        <v>6.2581137253875427</v>
      </c>
      <c r="F435" s="21">
        <f t="shared" si="165"/>
        <v>2.9053323407557405</v>
      </c>
      <c r="G435" s="1">
        <f t="shared" si="166"/>
        <v>0</v>
      </c>
      <c r="H435" s="2">
        <f t="shared" si="162"/>
        <v>443.81905925502122</v>
      </c>
      <c r="I435" s="19">
        <f t="shared" si="188"/>
        <v>192.12946288096157</v>
      </c>
      <c r="J435" s="20">
        <f t="shared" si="167"/>
        <v>0.92032124258709236</v>
      </c>
      <c r="K435" s="21">
        <f t="shared" si="168"/>
        <v>172.16905265742403</v>
      </c>
      <c r="L435" s="21">
        <f t="shared" si="163"/>
        <v>2.2956450776200898</v>
      </c>
      <c r="M435" s="2">
        <f t="shared" si="173"/>
        <v>134.53162372068434</v>
      </c>
      <c r="N435" s="19">
        <f t="shared" si="186"/>
        <v>325.02590775783369</v>
      </c>
      <c r="O435" s="1">
        <f t="shared" si="174"/>
        <v>409</v>
      </c>
      <c r="P435" s="19">
        <f t="shared" si="175"/>
        <v>344.42075035227947</v>
      </c>
      <c r="Q435" s="18">
        <f t="shared" si="176"/>
        <v>7.7950498944132942</v>
      </c>
      <c r="R435" s="2">
        <f t="shared" si="177"/>
        <v>0.95271651955148251</v>
      </c>
      <c r="S435" s="18">
        <f t="shared" si="178"/>
        <v>7.8109285030724855</v>
      </c>
      <c r="T435" s="18">
        <f t="shared" si="179"/>
        <v>4.4953460070513112</v>
      </c>
      <c r="U435" s="1">
        <f t="shared" si="169"/>
        <v>0</v>
      </c>
      <c r="V435" s="2">
        <f t="shared" si="180"/>
        <v>800.10727932081693</v>
      </c>
      <c r="W435" s="19">
        <f t="shared" si="181"/>
        <v>346.36678758476921</v>
      </c>
      <c r="X435" s="20"/>
      <c r="Y435" s="2">
        <f t="shared" si="182"/>
        <v>326.44185194591364</v>
      </c>
      <c r="Z435" s="21">
        <f t="shared" si="183"/>
        <v>3.57621126544301</v>
      </c>
      <c r="AA435" s="2">
        <f t="shared" si="184"/>
        <v>256.9905977521546</v>
      </c>
      <c r="AB435" s="19">
        <f t="shared" si="187"/>
        <v>80.103105568082171</v>
      </c>
      <c r="AC435" s="2"/>
      <c r="AD435" s="18"/>
      <c r="AE435" s="118"/>
      <c r="AG435" s="2"/>
      <c r="AH435" s="19"/>
      <c r="AI435" s="20"/>
      <c r="AJ435" s="21"/>
      <c r="AK435" s="21"/>
      <c r="AM435" s="19"/>
      <c r="AN435" s="18"/>
      <c r="AO435" s="2"/>
      <c r="AP435" s="18"/>
      <c r="AQ435" s="118"/>
      <c r="AS435" s="2"/>
      <c r="AT435" s="19"/>
      <c r="AU435" s="20"/>
      <c r="AV435" s="21"/>
      <c r="AW435" s="21"/>
    </row>
    <row r="436" spans="1:49" x14ac:dyDescent="0.25">
      <c r="A436" s="1">
        <f t="shared" si="170"/>
        <v>410</v>
      </c>
      <c r="B436" s="19">
        <f t="shared" si="171"/>
        <v>192.12946288096157</v>
      </c>
      <c r="C436" s="18">
        <f t="shared" si="185"/>
        <v>6.2581137253875427</v>
      </c>
      <c r="D436" s="2">
        <f t="shared" si="164"/>
        <v>0.94165927607526256</v>
      </c>
      <c r="E436" s="18">
        <f t="shared" si="172"/>
        <v>6.2738080466554642</v>
      </c>
      <c r="F436" s="21">
        <f t="shared" si="165"/>
        <v>2.91969570468562</v>
      </c>
      <c r="G436" s="1">
        <f t="shared" si="166"/>
        <v>0</v>
      </c>
      <c r="H436" s="2">
        <f t="shared" si="162"/>
        <v>446.73875495970685</v>
      </c>
      <c r="I436" s="19">
        <f t="shared" si="188"/>
        <v>193.39340041545751</v>
      </c>
      <c r="J436" s="20">
        <f t="shared" si="167"/>
        <v>0.92025807246012847</v>
      </c>
      <c r="K436" s="21">
        <f t="shared" si="168"/>
        <v>173.43328089755292</v>
      </c>
      <c r="L436" s="21">
        <f t="shared" si="163"/>
        <v>2.3071737170289581</v>
      </c>
      <c r="M436" s="2">
        <f t="shared" si="173"/>
        <v>135.53040022156267</v>
      </c>
      <c r="N436" s="19">
        <f t="shared" si="186"/>
        <v>325.14423639620333</v>
      </c>
      <c r="O436" s="1">
        <f t="shared" si="174"/>
        <v>410</v>
      </c>
      <c r="P436" s="19">
        <f t="shared" si="175"/>
        <v>346.36678758476921</v>
      </c>
      <c r="Q436" s="18">
        <f t="shared" si="176"/>
        <v>7.8109285030724855</v>
      </c>
      <c r="R436" s="2">
        <f t="shared" si="177"/>
        <v>0.95282388287735154</v>
      </c>
      <c r="S436" s="18">
        <f t="shared" si="178"/>
        <v>7.8268089011204411</v>
      </c>
      <c r="T436" s="18">
        <f t="shared" si="179"/>
        <v>4.513366195029425</v>
      </c>
      <c r="U436" s="1">
        <f t="shared" si="169"/>
        <v>0</v>
      </c>
      <c r="V436" s="2">
        <f t="shared" si="180"/>
        <v>804.62064551584638</v>
      </c>
      <c r="W436" s="19">
        <f t="shared" si="181"/>
        <v>348.32062576443565</v>
      </c>
      <c r="X436" s="20"/>
      <c r="Y436" s="2">
        <f t="shared" si="182"/>
        <v>328.39613950836139</v>
      </c>
      <c r="Z436" s="21">
        <f t="shared" si="183"/>
        <v>3.5907676373095008</v>
      </c>
      <c r="AA436" s="2">
        <f t="shared" si="184"/>
        <v>258.54504261679074</v>
      </c>
      <c r="AB436" s="19">
        <f t="shared" si="187"/>
        <v>80.19791043994806</v>
      </c>
      <c r="AC436" s="2"/>
      <c r="AD436" s="18"/>
      <c r="AE436" s="118"/>
      <c r="AG436" s="2"/>
      <c r="AH436" s="19"/>
      <c r="AI436" s="20"/>
      <c r="AJ436" s="21"/>
      <c r="AK436" s="21"/>
      <c r="AM436" s="19"/>
      <c r="AN436" s="18"/>
      <c r="AO436" s="2"/>
      <c r="AP436" s="18"/>
      <c r="AQ436" s="118"/>
      <c r="AS436" s="2"/>
      <c r="AT436" s="19"/>
      <c r="AU436" s="20"/>
      <c r="AV436" s="21"/>
      <c r="AW436" s="21"/>
    </row>
    <row r="437" spans="1:49" x14ac:dyDescent="0.25">
      <c r="A437" s="1">
        <f t="shared" si="170"/>
        <v>411</v>
      </c>
      <c r="B437" s="19">
        <f t="shared" si="171"/>
        <v>193.39340041545751</v>
      </c>
      <c r="C437" s="18">
        <f t="shared" si="185"/>
        <v>6.2738080466554642</v>
      </c>
      <c r="D437" s="2">
        <f t="shared" si="164"/>
        <v>0.94178277389360088</v>
      </c>
      <c r="E437" s="18">
        <f t="shared" si="172"/>
        <v>6.2895044262203577</v>
      </c>
      <c r="F437" s="21">
        <f t="shared" si="165"/>
        <v>2.9340958831382489</v>
      </c>
      <c r="G437" s="1">
        <f t="shared" si="166"/>
        <v>0</v>
      </c>
      <c r="H437" s="2">
        <f t="shared" si="162"/>
        <v>449.67285084284509</v>
      </c>
      <c r="I437" s="19">
        <f t="shared" si="188"/>
        <v>194.66357179343942</v>
      </c>
      <c r="J437" s="20">
        <f t="shared" si="167"/>
        <v>0.92019491645035834</v>
      </c>
      <c r="K437" s="21">
        <f t="shared" si="168"/>
        <v>174.70374441495179</v>
      </c>
      <c r="L437" s="21">
        <f t="shared" si="163"/>
        <v>2.3187327498160908</v>
      </c>
      <c r="M437" s="2">
        <f t="shared" si="173"/>
        <v>136.53418063273847</v>
      </c>
      <c r="N437" s="19">
        <f t="shared" si="186"/>
        <v>325.2622690281201</v>
      </c>
      <c r="O437" s="1">
        <f t="shared" si="174"/>
        <v>411</v>
      </c>
      <c r="P437" s="19">
        <f t="shared" si="175"/>
        <v>348.32062576443565</v>
      </c>
      <c r="Q437" s="18">
        <f t="shared" si="176"/>
        <v>7.8268089011204411</v>
      </c>
      <c r="R437" s="2">
        <f t="shared" si="177"/>
        <v>0.95293108351341349</v>
      </c>
      <c r="S437" s="18">
        <f t="shared" si="178"/>
        <v>7.8426910858456651</v>
      </c>
      <c r="T437" s="18">
        <f t="shared" si="179"/>
        <v>4.531423973967688</v>
      </c>
      <c r="U437" s="1">
        <f t="shared" si="169"/>
        <v>0</v>
      </c>
      <c r="V437" s="2">
        <f t="shared" si="180"/>
        <v>809.15206948981404</v>
      </c>
      <c r="W437" s="19">
        <f t="shared" si="181"/>
        <v>350.28228116442165</v>
      </c>
      <c r="X437" s="20"/>
      <c r="Y437" s="2">
        <f t="shared" si="182"/>
        <v>330.35824608908939</v>
      </c>
      <c r="Z437" s="21">
        <f t="shared" si="183"/>
        <v>3.6053552163833928</v>
      </c>
      <c r="AA437" s="2">
        <f t="shared" si="184"/>
        <v>260.10580245072293</v>
      </c>
      <c r="AB437" s="19">
        <f t="shared" si="187"/>
        <v>80.292522955117732</v>
      </c>
      <c r="AC437" s="2"/>
      <c r="AD437" s="18"/>
      <c r="AE437" s="118"/>
      <c r="AG437" s="2"/>
      <c r="AH437" s="19"/>
      <c r="AI437" s="20"/>
      <c r="AJ437" s="21"/>
      <c r="AK437" s="21"/>
      <c r="AM437" s="19"/>
      <c r="AN437" s="18"/>
      <c r="AO437" s="2"/>
      <c r="AP437" s="18"/>
      <c r="AQ437" s="118"/>
      <c r="AS437" s="2"/>
      <c r="AT437" s="19"/>
      <c r="AU437" s="20"/>
      <c r="AV437" s="21"/>
      <c r="AW437" s="21"/>
    </row>
    <row r="438" spans="1:49" x14ac:dyDescent="0.25">
      <c r="A438" s="1">
        <f t="shared" si="170"/>
        <v>412</v>
      </c>
      <c r="B438" s="19">
        <f t="shared" si="171"/>
        <v>194.66357179343942</v>
      </c>
      <c r="C438" s="18">
        <f t="shared" si="185"/>
        <v>6.2895044262203577</v>
      </c>
      <c r="D438" s="2">
        <f t="shared" si="164"/>
        <v>0.94190608651973329</v>
      </c>
      <c r="E438" s="18">
        <f t="shared" si="172"/>
        <v>6.3052028609956867</v>
      </c>
      <c r="F438" s="21">
        <f t="shared" si="165"/>
        <v>2.9485328847768582</v>
      </c>
      <c r="G438" s="1">
        <f t="shared" si="166"/>
        <v>0</v>
      </c>
      <c r="H438" s="2">
        <f t="shared" si="162"/>
        <v>452.62138372762189</v>
      </c>
      <c r="I438" s="19">
        <f t="shared" si="188"/>
        <v>195.93999295568048</v>
      </c>
      <c r="J438" s="20">
        <f t="shared" si="167"/>
        <v>0.92013177496462628</v>
      </c>
      <c r="K438" s="21">
        <f t="shared" si="168"/>
        <v>175.98045915406016</v>
      </c>
      <c r="L438" s="21">
        <f t="shared" si="163"/>
        <v>2.3303221850625704</v>
      </c>
      <c r="M438" s="2">
        <f t="shared" si="173"/>
        <v>137.54297811544953</v>
      </c>
      <c r="N438" s="19">
        <f t="shared" si="186"/>
        <v>325.38000709231483</v>
      </c>
      <c r="O438" s="1">
        <f t="shared" si="174"/>
        <v>412</v>
      </c>
      <c r="P438" s="19">
        <f t="shared" si="175"/>
        <v>350.28228116442165</v>
      </c>
      <c r="Q438" s="18">
        <f t="shared" si="176"/>
        <v>7.8426910858456651</v>
      </c>
      <c r="R438" s="2">
        <f t="shared" si="177"/>
        <v>0.95303812184862535</v>
      </c>
      <c r="S438" s="18">
        <f t="shared" si="178"/>
        <v>7.8585750545431425</v>
      </c>
      <c r="T438" s="18">
        <f t="shared" si="179"/>
        <v>4.5495193509859115</v>
      </c>
      <c r="U438" s="1">
        <f t="shared" si="169"/>
        <v>0</v>
      </c>
      <c r="V438" s="2">
        <f t="shared" si="180"/>
        <v>813.7015888407999</v>
      </c>
      <c r="W438" s="19">
        <f t="shared" si="181"/>
        <v>352.25177006095231</v>
      </c>
      <c r="X438" s="20"/>
      <c r="Y438" s="2">
        <f t="shared" si="182"/>
        <v>332.32818796806629</v>
      </c>
      <c r="Z438" s="21">
        <f t="shared" si="183"/>
        <v>3.6199740101524935</v>
      </c>
      <c r="AA438" s="2">
        <f t="shared" si="184"/>
        <v>261.67289076680629</v>
      </c>
      <c r="AB438" s="19">
        <f t="shared" si="187"/>
        <v>80.386943871073967</v>
      </c>
      <c r="AC438" s="2"/>
      <c r="AD438" s="18"/>
      <c r="AE438" s="118"/>
      <c r="AG438" s="2"/>
      <c r="AH438" s="19"/>
      <c r="AI438" s="20"/>
      <c r="AJ438" s="21"/>
      <c r="AK438" s="21"/>
      <c r="AM438" s="19"/>
      <c r="AN438" s="18"/>
      <c r="AO438" s="2"/>
      <c r="AP438" s="18"/>
      <c r="AQ438" s="118"/>
      <c r="AS438" s="2"/>
      <c r="AT438" s="19"/>
      <c r="AU438" s="20"/>
      <c r="AV438" s="21"/>
      <c r="AW438" s="21"/>
    </row>
    <row r="439" spans="1:49" x14ac:dyDescent="0.25">
      <c r="A439" s="1">
        <f t="shared" si="170"/>
        <v>413</v>
      </c>
      <c r="B439" s="19">
        <f t="shared" si="171"/>
        <v>195.93999295568048</v>
      </c>
      <c r="C439" s="18">
        <f t="shared" si="185"/>
        <v>6.3052028609956867</v>
      </c>
      <c r="D439" s="2">
        <f t="shared" si="164"/>
        <v>0.94202921409250828</v>
      </c>
      <c r="E439" s="18">
        <f t="shared" si="172"/>
        <v>6.3209033478972287</v>
      </c>
      <c r="F439" s="21">
        <f t="shared" si="165"/>
        <v>2.9630067182457807</v>
      </c>
      <c r="G439" s="1">
        <f t="shared" si="166"/>
        <v>0</v>
      </c>
      <c r="H439" s="2">
        <f t="shared" si="162"/>
        <v>455.58439044586771</v>
      </c>
      <c r="I439" s="19">
        <f t="shared" si="188"/>
        <v>197.22267984669597</v>
      </c>
      <c r="J439" s="20">
        <f t="shared" si="167"/>
        <v>0.92006864840524649</v>
      </c>
      <c r="K439" s="21">
        <f t="shared" si="168"/>
        <v>177.26344106306058</v>
      </c>
      <c r="L439" s="21">
        <f t="shared" si="163"/>
        <v>2.3419420318299586</v>
      </c>
      <c r="M439" s="2">
        <f t="shared" si="173"/>
        <v>138.55680583485645</v>
      </c>
      <c r="N439" s="19">
        <f t="shared" si="186"/>
        <v>325.49745201711943</v>
      </c>
      <c r="O439" s="1">
        <f t="shared" si="174"/>
        <v>413</v>
      </c>
      <c r="P439" s="19">
        <f t="shared" si="175"/>
        <v>352.25177006095231</v>
      </c>
      <c r="Q439" s="18">
        <f t="shared" si="176"/>
        <v>7.8585750545431425</v>
      </c>
      <c r="R439" s="2">
        <f t="shared" si="177"/>
        <v>0.95314499827160526</v>
      </c>
      <c r="S439" s="18">
        <f t="shared" si="178"/>
        <v>7.8744608045143361</v>
      </c>
      <c r="T439" s="18">
        <f t="shared" si="179"/>
        <v>4.5676523331913854</v>
      </c>
      <c r="U439" s="1">
        <f t="shared" si="169"/>
        <v>0</v>
      </c>
      <c r="V439" s="2">
        <f t="shared" si="180"/>
        <v>818.2692411739913</v>
      </c>
      <c r="W439" s="19">
        <f t="shared" si="181"/>
        <v>354.22910873332955</v>
      </c>
      <c r="X439" s="20"/>
      <c r="Y439" s="2">
        <f t="shared" si="182"/>
        <v>334.30598142833816</v>
      </c>
      <c r="Z439" s="21">
        <f t="shared" si="183"/>
        <v>3.6346240260915592</v>
      </c>
      <c r="AA439" s="2">
        <f t="shared" si="184"/>
        <v>263.24632108113167</v>
      </c>
      <c r="AB439" s="19">
        <f t="shared" si="187"/>
        <v>80.48117394087005</v>
      </c>
      <c r="AC439" s="2"/>
      <c r="AD439" s="18"/>
      <c r="AE439" s="118"/>
      <c r="AG439" s="2"/>
      <c r="AH439" s="19"/>
      <c r="AI439" s="20"/>
      <c r="AJ439" s="21"/>
      <c r="AK439" s="21"/>
      <c r="AM439" s="19"/>
      <c r="AN439" s="18"/>
      <c r="AO439" s="2"/>
      <c r="AP439" s="18"/>
      <c r="AQ439" s="118"/>
      <c r="AS439" s="2"/>
      <c r="AT439" s="19"/>
      <c r="AU439" s="20"/>
      <c r="AV439" s="21"/>
      <c r="AW439" s="21"/>
    </row>
    <row r="440" spans="1:49" x14ac:dyDescent="0.25">
      <c r="A440" s="1">
        <f t="shared" si="170"/>
        <v>414</v>
      </c>
      <c r="B440" s="19">
        <f t="shared" si="171"/>
        <v>197.22267984669597</v>
      </c>
      <c r="C440" s="18">
        <f t="shared" si="185"/>
        <v>6.3209033478972287</v>
      </c>
      <c r="D440" s="2">
        <f t="shared" si="164"/>
        <v>0.942152156756357</v>
      </c>
      <c r="E440" s="18">
        <f t="shared" si="172"/>
        <v>6.336605883843168</v>
      </c>
      <c r="F440" s="21">
        <f t="shared" si="165"/>
        <v>2.9775173921705314</v>
      </c>
      <c r="G440" s="1">
        <f t="shared" si="166"/>
        <v>0</v>
      </c>
      <c r="H440" s="2">
        <f t="shared" si="162"/>
        <v>458.56190783803822</v>
      </c>
      <c r="I440" s="19">
        <f t="shared" si="188"/>
        <v>198.51164841473516</v>
      </c>
      <c r="J440" s="20">
        <f t="shared" si="167"/>
        <v>0.92000553717004474</v>
      </c>
      <c r="K440" s="21">
        <f t="shared" si="168"/>
        <v>178.55270609387043</v>
      </c>
      <c r="L440" s="21">
        <f t="shared" si="163"/>
        <v>2.3535922991603813</v>
      </c>
      <c r="M440" s="2">
        <f t="shared" si="173"/>
        <v>139.57567696003412</v>
      </c>
      <c r="N440" s="19">
        <f t="shared" si="186"/>
        <v>325.61460522056683</v>
      </c>
      <c r="O440" s="1">
        <f t="shared" si="174"/>
        <v>414</v>
      </c>
      <c r="P440" s="19">
        <f t="shared" si="175"/>
        <v>354.22910873332955</v>
      </c>
      <c r="Q440" s="18">
        <f t="shared" si="176"/>
        <v>7.8744608045143361</v>
      </c>
      <c r="R440" s="2">
        <f t="shared" si="177"/>
        <v>0.95325171317061641</v>
      </c>
      <c r="S440" s="18">
        <f t="shared" si="178"/>
        <v>7.8903483330671795</v>
      </c>
      <c r="T440" s="18">
        <f t="shared" si="179"/>
        <v>4.5858229276789393</v>
      </c>
      <c r="U440" s="1">
        <f t="shared" si="169"/>
        <v>0</v>
      </c>
      <c r="V440" s="2">
        <f t="shared" si="180"/>
        <v>822.85506410167022</v>
      </c>
      <c r="W440" s="19">
        <f t="shared" si="181"/>
        <v>356.21431346392649</v>
      </c>
      <c r="X440" s="20"/>
      <c r="Y440" s="2">
        <f t="shared" si="182"/>
        <v>336.29164275602312</v>
      </c>
      <c r="Z440" s="21">
        <f t="shared" si="183"/>
        <v>3.6493052716623531</v>
      </c>
      <c r="AA440" s="2">
        <f t="shared" si="184"/>
        <v>264.82610691302011</v>
      </c>
      <c r="AB440" s="19">
        <f t="shared" si="187"/>
        <v>80.575213913164134</v>
      </c>
      <c r="AC440" s="2"/>
      <c r="AD440" s="18"/>
      <c r="AE440" s="118"/>
      <c r="AG440" s="2"/>
      <c r="AH440" s="19"/>
      <c r="AI440" s="20"/>
      <c r="AJ440" s="21"/>
      <c r="AK440" s="21"/>
      <c r="AM440" s="19"/>
      <c r="AN440" s="18"/>
      <c r="AO440" s="2"/>
      <c r="AP440" s="18"/>
      <c r="AQ440" s="118"/>
      <c r="AS440" s="2"/>
      <c r="AT440" s="19"/>
      <c r="AU440" s="20"/>
      <c r="AV440" s="21"/>
      <c r="AW440" s="21"/>
    </row>
    <row r="441" spans="1:49" x14ac:dyDescent="0.25">
      <c r="A441" s="1">
        <f t="shared" si="170"/>
        <v>415</v>
      </c>
      <c r="B441" s="19">
        <f t="shared" si="171"/>
        <v>198.51164841473516</v>
      </c>
      <c r="C441" s="18">
        <f t="shared" si="185"/>
        <v>6.336605883843168</v>
      </c>
      <c r="D441" s="2">
        <f t="shared" si="164"/>
        <v>0.94227491466117663</v>
      </c>
      <c r="E441" s="18">
        <f t="shared" si="172"/>
        <v>6.3523104657541873</v>
      </c>
      <c r="F441" s="21">
        <f t="shared" si="165"/>
        <v>2.9920649151578922</v>
      </c>
      <c r="G441" s="1">
        <f t="shared" si="166"/>
        <v>0</v>
      </c>
      <c r="H441" s="2">
        <f t="shared" si="162"/>
        <v>461.55397275319609</v>
      </c>
      <c r="I441" s="19">
        <f t="shared" si="188"/>
        <v>199.80691461177321</v>
      </c>
      <c r="J441" s="20">
        <f t="shared" si="167"/>
        <v>0.91994244165239991</v>
      </c>
      <c r="K441" s="21">
        <f t="shared" si="168"/>
        <v>179.84827020213379</v>
      </c>
      <c r="L441" s="21">
        <f t="shared" si="163"/>
        <v>2.3652729960766137</v>
      </c>
      <c r="M441" s="2">
        <f t="shared" si="173"/>
        <v>140.59960466396339</v>
      </c>
      <c r="N441" s="19">
        <f t="shared" si="186"/>
        <v>325.73146811048957</v>
      </c>
      <c r="O441" s="1">
        <f t="shared" si="174"/>
        <v>415</v>
      </c>
      <c r="P441" s="19">
        <f t="shared" si="175"/>
        <v>356.21431346392649</v>
      </c>
      <c r="Q441" s="18">
        <f t="shared" si="176"/>
        <v>7.8903483330671795</v>
      </c>
      <c r="R441" s="2">
        <f t="shared" si="177"/>
        <v>0.95335826693355219</v>
      </c>
      <c r="S441" s="18">
        <f t="shared" si="178"/>
        <v>7.9062376375160719</v>
      </c>
      <c r="T441" s="18">
        <f t="shared" si="179"/>
        <v>4.6040311415309727</v>
      </c>
      <c r="U441" s="1">
        <f t="shared" si="169"/>
        <v>0</v>
      </c>
      <c r="V441" s="2">
        <f t="shared" si="180"/>
        <v>827.4590952432012</v>
      </c>
      <c r="W441" s="19">
        <f t="shared" si="181"/>
        <v>358.20740053818236</v>
      </c>
      <c r="X441" s="20"/>
      <c r="Y441" s="2">
        <f t="shared" si="182"/>
        <v>338.28518824030601</v>
      </c>
      <c r="Z441" s="21">
        <f t="shared" si="183"/>
        <v>3.6640177543136803</v>
      </c>
      <c r="AA441" s="2">
        <f t="shared" si="184"/>
        <v>266.41226178501739</v>
      </c>
      <c r="AB441" s="19">
        <f t="shared" si="187"/>
        <v>80.669064532253287</v>
      </c>
      <c r="AC441" s="2"/>
      <c r="AD441" s="18"/>
      <c r="AE441" s="118"/>
      <c r="AG441" s="2"/>
      <c r="AH441" s="19"/>
      <c r="AI441" s="20"/>
      <c r="AJ441" s="21"/>
      <c r="AK441" s="21"/>
      <c r="AM441" s="19"/>
      <c r="AN441" s="18"/>
      <c r="AO441" s="2"/>
      <c r="AP441" s="18"/>
      <c r="AQ441" s="118"/>
      <c r="AS441" s="2"/>
      <c r="AT441" s="19"/>
      <c r="AU441" s="20"/>
      <c r="AV441" s="21"/>
      <c r="AW441" s="21"/>
    </row>
    <row r="442" spans="1:49" x14ac:dyDescent="0.25">
      <c r="A442" s="1">
        <f t="shared" si="170"/>
        <v>416</v>
      </c>
      <c r="B442" s="19">
        <f t="shared" si="171"/>
        <v>199.80691461177321</v>
      </c>
      <c r="C442" s="18">
        <f t="shared" si="185"/>
        <v>6.3523104657541873</v>
      </c>
      <c r="D442" s="2">
        <f t="shared" si="164"/>
        <v>0.94239748796221845</v>
      </c>
      <c r="E442" s="18">
        <f t="shared" si="172"/>
        <v>6.3680170905535576</v>
      </c>
      <c r="F442" s="21">
        <f t="shared" si="165"/>
        <v>3.0066492957959809</v>
      </c>
      <c r="G442" s="1">
        <f t="shared" si="166"/>
        <v>0</v>
      </c>
      <c r="H442" s="2">
        <f t="shared" si="162"/>
        <v>464.56062204899212</v>
      </c>
      <c r="I442" s="19">
        <f t="shared" si="188"/>
        <v>201.10849439350307</v>
      </c>
      <c r="J442" s="20">
        <f t="shared" si="167"/>
        <v>0.91987936224128364</v>
      </c>
      <c r="K442" s="21">
        <f t="shared" si="168"/>
        <v>181.15014934721344</v>
      </c>
      <c r="L442" s="21">
        <f t="shared" si="163"/>
        <v>2.3769841315821516</v>
      </c>
      <c r="M442" s="2">
        <f t="shared" si="173"/>
        <v>141.62860212352277</v>
      </c>
      <c r="N442" s="19">
        <f t="shared" si="186"/>
        <v>325.84804208461748</v>
      </c>
      <c r="O442" s="1">
        <f t="shared" si="174"/>
        <v>416</v>
      </c>
      <c r="P442" s="19">
        <f t="shared" si="175"/>
        <v>358.20740053818236</v>
      </c>
      <c r="Q442" s="18">
        <f t="shared" si="176"/>
        <v>7.9062376375160719</v>
      </c>
      <c r="R442" s="2">
        <f t="shared" si="177"/>
        <v>0.95346465994792062</v>
      </c>
      <c r="S442" s="18">
        <f t="shared" si="178"/>
        <v>7.9221287151818709</v>
      </c>
      <c r="T442" s="18">
        <f t="shared" si="179"/>
        <v>4.6222769818175165</v>
      </c>
      <c r="U442" s="1">
        <f t="shared" si="169"/>
        <v>0</v>
      </c>
      <c r="V442" s="2">
        <f t="shared" si="180"/>
        <v>832.08137222501875</v>
      </c>
      <c r="W442" s="19">
        <f t="shared" si="181"/>
        <v>360.20838624459685</v>
      </c>
      <c r="X442" s="20"/>
      <c r="Y442" s="2">
        <f t="shared" si="182"/>
        <v>340.28663417343301</v>
      </c>
      <c r="Z442" s="21">
        <f t="shared" si="183"/>
        <v>3.6787614814814504</v>
      </c>
      <c r="AA442" s="2">
        <f t="shared" si="184"/>
        <v>268.00479922288815</v>
      </c>
      <c r="AB442" s="19">
        <f t="shared" si="187"/>
        <v>80.762726538107188</v>
      </c>
      <c r="AC442" s="2"/>
      <c r="AD442" s="18"/>
      <c r="AE442" s="118"/>
      <c r="AG442" s="2"/>
      <c r="AH442" s="19"/>
      <c r="AI442" s="20"/>
      <c r="AJ442" s="21"/>
      <c r="AK442" s="21"/>
      <c r="AM442" s="19"/>
      <c r="AN442" s="18"/>
      <c r="AO442" s="2"/>
      <c r="AP442" s="18"/>
      <c r="AQ442" s="118"/>
      <c r="AS442" s="2"/>
      <c r="AT442" s="19"/>
      <c r="AU442" s="20"/>
      <c r="AV442" s="21"/>
      <c r="AW442" s="21"/>
    </row>
    <row r="443" spans="1:49" x14ac:dyDescent="0.25">
      <c r="A443" s="1">
        <f t="shared" si="170"/>
        <v>417</v>
      </c>
      <c r="B443" s="19">
        <f t="shared" si="171"/>
        <v>201.10849439350307</v>
      </c>
      <c r="C443" s="18">
        <f t="shared" si="185"/>
        <v>6.3680170905535576</v>
      </c>
      <c r="D443" s="2">
        <f t="shared" si="164"/>
        <v>0.94251987681997496</v>
      </c>
      <c r="E443" s="18">
        <f t="shared" si="172"/>
        <v>6.383725755167224</v>
      </c>
      <c r="F443" s="21">
        <f t="shared" si="165"/>
        <v>3.0212705426543467</v>
      </c>
      <c r="G443" s="1">
        <f t="shared" si="166"/>
        <v>0</v>
      </c>
      <c r="H443" s="2">
        <f t="shared" si="162"/>
        <v>467.58189259164647</v>
      </c>
      <c r="I443" s="19">
        <f t="shared" si="188"/>
        <v>202.41640371932746</v>
      </c>
      <c r="J443" s="20">
        <f t="shared" si="167"/>
        <v>0.91981629932130216</v>
      </c>
      <c r="K443" s="21">
        <f t="shared" si="168"/>
        <v>182.45835949218278</v>
      </c>
      <c r="L443" s="21">
        <f t="shared" si="163"/>
        <v>2.3887257146613097</v>
      </c>
      <c r="M443" s="2">
        <f t="shared" si="173"/>
        <v>142.66268251948006</v>
      </c>
      <c r="N443" s="19">
        <f t="shared" si="186"/>
        <v>325.96432853067398</v>
      </c>
      <c r="O443" s="1">
        <f t="shared" si="174"/>
        <v>417</v>
      </c>
      <c r="P443" s="19">
        <f t="shared" si="175"/>
        <v>360.20838624459685</v>
      </c>
      <c r="Q443" s="18">
        <f t="shared" si="176"/>
        <v>7.9221287151818709</v>
      </c>
      <c r="R443" s="2">
        <f t="shared" si="177"/>
        <v>0.9535708926008305</v>
      </c>
      <c r="S443" s="18">
        <f t="shared" si="178"/>
        <v>7.9380215633918851</v>
      </c>
      <c r="T443" s="18">
        <f t="shared" si="179"/>
        <v>4.6405604555962761</v>
      </c>
      <c r="U443" s="1">
        <f t="shared" si="169"/>
        <v>0</v>
      </c>
      <c r="V443" s="2">
        <f t="shared" si="180"/>
        <v>836.72193268061505</v>
      </c>
      <c r="W443" s="19">
        <f t="shared" si="181"/>
        <v>362.21728687472512</v>
      </c>
      <c r="X443" s="20"/>
      <c r="Y443" s="2">
        <f t="shared" si="182"/>
        <v>342.29599685070622</v>
      </c>
      <c r="Z443" s="21">
        <f t="shared" si="183"/>
        <v>3.6935364605887169</v>
      </c>
      <c r="AA443" s="2">
        <f t="shared" si="184"/>
        <v>269.60373275561057</v>
      </c>
      <c r="AB443" s="19">
        <f t="shared" si="187"/>
        <v>80.856200666401548</v>
      </c>
      <c r="AC443" s="2"/>
      <c r="AD443" s="18"/>
      <c r="AE443" s="118"/>
      <c r="AG443" s="2"/>
      <c r="AH443" s="19"/>
      <c r="AI443" s="20"/>
      <c r="AJ443" s="21"/>
      <c r="AK443" s="21"/>
      <c r="AM443" s="19"/>
      <c r="AN443" s="18"/>
      <c r="AO443" s="2"/>
      <c r="AP443" s="18"/>
      <c r="AQ443" s="118"/>
      <c r="AS443" s="2"/>
      <c r="AT443" s="19"/>
      <c r="AU443" s="20"/>
      <c r="AV443" s="21"/>
      <c r="AW443" s="21"/>
    </row>
    <row r="444" spans="1:49" x14ac:dyDescent="0.25">
      <c r="A444" s="1">
        <f t="shared" si="170"/>
        <v>418</v>
      </c>
      <c r="B444" s="19">
        <f t="shared" si="171"/>
        <v>202.41640371932746</v>
      </c>
      <c r="C444" s="18">
        <f t="shared" si="185"/>
        <v>6.383725755167224</v>
      </c>
      <c r="D444" s="2">
        <f t="shared" si="164"/>
        <v>0.94264208140007044</v>
      </c>
      <c r="E444" s="18">
        <f t="shared" si="172"/>
        <v>6.3994364565238921</v>
      </c>
      <c r="F444" s="21">
        <f t="shared" si="165"/>
        <v>3.0359286642840333</v>
      </c>
      <c r="G444" s="1">
        <f t="shared" si="166"/>
        <v>0</v>
      </c>
      <c r="H444" s="2">
        <f t="shared" si="162"/>
        <v>470.61782125593049</v>
      </c>
      <c r="I444" s="19">
        <f t="shared" si="188"/>
        <v>203.73065855235086</v>
      </c>
      <c r="J444" s="20">
        <f t="shared" si="167"/>
        <v>0.91975325327273616</v>
      </c>
      <c r="K444" s="21">
        <f t="shared" si="168"/>
        <v>183.77291660381778</v>
      </c>
      <c r="L444" s="21">
        <f t="shared" si="163"/>
        <v>2.4004977542792867</v>
      </c>
      <c r="M444" s="2">
        <f t="shared" si="173"/>
        <v>143.70185903648408</v>
      </c>
      <c r="N444" s="19">
        <f t="shared" si="186"/>
        <v>326.08032882647115</v>
      </c>
      <c r="O444" s="1">
        <f t="shared" si="174"/>
        <v>418</v>
      </c>
      <c r="P444" s="19">
        <f t="shared" si="175"/>
        <v>362.21728687472512</v>
      </c>
      <c r="Q444" s="18">
        <f t="shared" si="176"/>
        <v>7.9380215633918851</v>
      </c>
      <c r="R444" s="2">
        <f t="shared" si="177"/>
        <v>0.95367696527897661</v>
      </c>
      <c r="S444" s="18">
        <f t="shared" si="178"/>
        <v>7.9539161794798678</v>
      </c>
      <c r="T444" s="18">
        <f t="shared" si="179"/>
        <v>4.6588815699126735</v>
      </c>
      <c r="U444" s="1">
        <f t="shared" si="169"/>
        <v>0</v>
      </c>
      <c r="V444" s="2">
        <f t="shared" si="180"/>
        <v>841.38081425052769</v>
      </c>
      <c r="W444" s="19">
        <f t="shared" si="181"/>
        <v>364.23411872317217</v>
      </c>
      <c r="X444" s="20"/>
      <c r="Y444" s="2">
        <f t="shared" si="182"/>
        <v>344.31329257047838</v>
      </c>
      <c r="Z444" s="21">
        <f t="shared" si="183"/>
        <v>3.7083426990457276</v>
      </c>
      <c r="AA444" s="2">
        <f t="shared" si="184"/>
        <v>271.20907591537065</v>
      </c>
      <c r="AB444" s="19">
        <f t="shared" si="187"/>
        <v>80.94948764855117</v>
      </c>
      <c r="AC444" s="2"/>
      <c r="AD444" s="18"/>
      <c r="AE444" s="118"/>
      <c r="AG444" s="2"/>
      <c r="AH444" s="19"/>
      <c r="AI444" s="20"/>
      <c r="AJ444" s="21"/>
      <c r="AK444" s="21"/>
      <c r="AM444" s="19"/>
      <c r="AN444" s="18"/>
      <c r="AO444" s="2"/>
      <c r="AP444" s="18"/>
      <c r="AQ444" s="118"/>
      <c r="AS444" s="2"/>
      <c r="AT444" s="19"/>
      <c r="AU444" s="20"/>
      <c r="AV444" s="21"/>
      <c r="AW444" s="21"/>
    </row>
    <row r="445" spans="1:49" x14ac:dyDescent="0.25">
      <c r="A445" s="1">
        <f t="shared" si="170"/>
        <v>419</v>
      </c>
      <c r="B445" s="19">
        <f t="shared" si="171"/>
        <v>203.73065855235086</v>
      </c>
      <c r="C445" s="18">
        <f t="shared" si="185"/>
        <v>6.3994364565238921</v>
      </c>
      <c r="D445" s="2">
        <f t="shared" si="164"/>
        <v>0.94276410187315285</v>
      </c>
      <c r="E445" s="18">
        <f t="shared" si="172"/>
        <v>6.4151491915551118</v>
      </c>
      <c r="F445" s="21">
        <f t="shared" si="165"/>
        <v>3.0506236692176714</v>
      </c>
      <c r="G445" s="1">
        <f t="shared" si="166"/>
        <v>0</v>
      </c>
      <c r="H445" s="2">
        <f t="shared" si="162"/>
        <v>473.66844492514815</v>
      </c>
      <c r="I445" s="19">
        <f t="shared" si="188"/>
        <v>205.05127485937149</v>
      </c>
      <c r="J445" s="20">
        <f t="shared" si="167"/>
        <v>0.919690224471581</v>
      </c>
      <c r="K445" s="21">
        <f t="shared" si="168"/>
        <v>185.09383665258903</v>
      </c>
      <c r="L445" s="21">
        <f t="shared" si="163"/>
        <v>2.4123002593822589</v>
      </c>
      <c r="M445" s="2">
        <f t="shared" si="173"/>
        <v>144.74614486305649</v>
      </c>
      <c r="N445" s="19">
        <f t="shared" si="186"/>
        <v>326.19604434000399</v>
      </c>
      <c r="O445" s="1">
        <f t="shared" si="174"/>
        <v>419</v>
      </c>
      <c r="P445" s="19">
        <f t="shared" si="175"/>
        <v>364.23411872317217</v>
      </c>
      <c r="Q445" s="18">
        <f t="shared" si="176"/>
        <v>7.9539161794798678</v>
      </c>
      <c r="R445" s="2">
        <f t="shared" si="177"/>
        <v>0.95378287836862541</v>
      </c>
      <c r="S445" s="18">
        <f t="shared" si="178"/>
        <v>7.9698125607860115</v>
      </c>
      <c r="T445" s="18">
        <f t="shared" si="179"/>
        <v>4.6772403317999034</v>
      </c>
      <c r="U445" s="1">
        <f t="shared" si="169"/>
        <v>0</v>
      </c>
      <c r="V445" s="2">
        <f t="shared" si="180"/>
        <v>846.0580545823276</v>
      </c>
      <c r="W445" s="19">
        <f t="shared" si="181"/>
        <v>366.25889808758768</v>
      </c>
      <c r="X445" s="20"/>
      <c r="Y445" s="2">
        <f t="shared" si="182"/>
        <v>346.33853763414771</v>
      </c>
      <c r="Z445" s="21">
        <f t="shared" si="183"/>
        <v>3.7231802042499731</v>
      </c>
      <c r="AA445" s="2">
        <f t="shared" si="184"/>
        <v>272.8208422375568</v>
      </c>
      <c r="AB445" s="19">
        <f t="shared" si="187"/>
        <v>81.042588211742654</v>
      </c>
      <c r="AC445" s="2"/>
      <c r="AD445" s="18"/>
      <c r="AE445" s="118"/>
      <c r="AG445" s="2"/>
      <c r="AH445" s="19"/>
      <c r="AI445" s="20"/>
      <c r="AJ445" s="21"/>
      <c r="AK445" s="21"/>
      <c r="AM445" s="19"/>
      <c r="AN445" s="18"/>
      <c r="AO445" s="2"/>
      <c r="AP445" s="18"/>
      <c r="AQ445" s="118"/>
      <c r="AS445" s="2"/>
      <c r="AT445" s="19"/>
      <c r="AU445" s="20"/>
      <c r="AV445" s="21"/>
      <c r="AW445" s="21"/>
    </row>
    <row r="446" spans="1:49" x14ac:dyDescent="0.25">
      <c r="A446" s="1">
        <f t="shared" si="170"/>
        <v>420</v>
      </c>
      <c r="B446" s="19">
        <f t="shared" si="171"/>
        <v>205.05127485937149</v>
      </c>
      <c r="C446" s="18">
        <f t="shared" si="185"/>
        <v>6.4151491915551118</v>
      </c>
      <c r="D446" s="2">
        <f t="shared" si="164"/>
        <v>0.94288593841478796</v>
      </c>
      <c r="E446" s="18">
        <f t="shared" si="172"/>
        <v>6.4308639571953581</v>
      </c>
      <c r="F446" s="21">
        <f t="shared" si="165"/>
        <v>3.0653555659695484</v>
      </c>
      <c r="G446" s="1">
        <f t="shared" si="166"/>
        <v>0</v>
      </c>
      <c r="H446" s="2">
        <f t="shared" si="162"/>
        <v>476.73380049111768</v>
      </c>
      <c r="I446" s="19">
        <f t="shared" si="188"/>
        <v>206.37826861087345</v>
      </c>
      <c r="J446" s="20">
        <f t="shared" si="167"/>
        <v>0.91962721328958508</v>
      </c>
      <c r="K446" s="21">
        <f t="shared" si="168"/>
        <v>186.42113561265384</v>
      </c>
      <c r="L446" s="21">
        <f t="shared" si="163"/>
        <v>2.4241332388974524</v>
      </c>
      <c r="M446" s="2">
        <f t="shared" si="173"/>
        <v>145.79555319158351</v>
      </c>
      <c r="N446" s="19">
        <f t="shared" si="186"/>
        <v>326.31147642954329</v>
      </c>
      <c r="O446" s="1">
        <f t="shared" si="174"/>
        <v>420</v>
      </c>
      <c r="P446" s="19">
        <f t="shared" si="175"/>
        <v>366.25889808758768</v>
      </c>
      <c r="Q446" s="18">
        <f t="shared" si="176"/>
        <v>7.9698125607860115</v>
      </c>
      <c r="R446" s="2">
        <f t="shared" si="177"/>
        <v>0.95388863225560239</v>
      </c>
      <c r="S446" s="18">
        <f t="shared" si="178"/>
        <v>7.9857107046569382</v>
      </c>
      <c r="T446" s="18">
        <f t="shared" si="179"/>
        <v>4.6956367482789716</v>
      </c>
      <c r="U446" s="1">
        <f t="shared" si="169"/>
        <v>0</v>
      </c>
      <c r="V446" s="2">
        <f t="shared" si="180"/>
        <v>850.75369133060656</v>
      </c>
      <c r="W446" s="19">
        <f t="shared" si="181"/>
        <v>368.29164126866084</v>
      </c>
      <c r="X446" s="20"/>
      <c r="Y446" s="2">
        <f t="shared" si="182"/>
        <v>348.37174834615251</v>
      </c>
      <c r="Z446" s="21">
        <f t="shared" si="183"/>
        <v>3.7380489835862343</v>
      </c>
      <c r="AA446" s="2">
        <f t="shared" si="184"/>
        <v>274.43904526075431</v>
      </c>
      <c r="AB446" s="19">
        <f t="shared" si="187"/>
        <v>81.135503078966877</v>
      </c>
      <c r="AC446" s="2"/>
      <c r="AD446" s="18"/>
      <c r="AE446" s="118"/>
      <c r="AG446" s="2"/>
      <c r="AH446" s="19"/>
      <c r="AI446" s="20"/>
      <c r="AJ446" s="21"/>
      <c r="AK446" s="21"/>
      <c r="AM446" s="19"/>
      <c r="AN446" s="18"/>
      <c r="AO446" s="2"/>
      <c r="AP446" s="18"/>
      <c r="AQ446" s="118"/>
      <c r="AS446" s="2"/>
      <c r="AT446" s="19"/>
      <c r="AU446" s="20"/>
      <c r="AV446" s="21"/>
      <c r="AW446" s="21"/>
    </row>
    <row r="447" spans="1:49" x14ac:dyDescent="0.25">
      <c r="A447" s="1">
        <f t="shared" si="170"/>
        <v>421</v>
      </c>
      <c r="B447" s="19">
        <f t="shared" si="171"/>
        <v>206.37826861087345</v>
      </c>
      <c r="C447" s="18">
        <f t="shared" si="185"/>
        <v>6.4308639571953581</v>
      </c>
      <c r="D447" s="2">
        <f t="shared" si="164"/>
        <v>0.94300759120535405</v>
      </c>
      <c r="E447" s="18">
        <f t="shared" si="172"/>
        <v>6.4465807503821138</v>
      </c>
      <c r="F447" s="21">
        <f t="shared" si="165"/>
        <v>3.0801243630356923</v>
      </c>
      <c r="G447" s="1">
        <f t="shared" si="166"/>
        <v>0</v>
      </c>
      <c r="H447" s="2">
        <f t="shared" si="162"/>
        <v>479.81392485415336</v>
      </c>
      <c r="I447" s="19">
        <f t="shared" si="188"/>
        <v>207.71165578101878</v>
      </c>
      <c r="J447" s="20">
        <f t="shared" si="167"/>
        <v>0.91956422009429151</v>
      </c>
      <c r="K447" s="21">
        <f t="shared" si="168"/>
        <v>187.75482946184829</v>
      </c>
      <c r="L447" s="21">
        <f t="shared" si="163"/>
        <v>2.4359967017332282</v>
      </c>
      <c r="M447" s="2">
        <f t="shared" si="173"/>
        <v>146.85009721830784</v>
      </c>
      <c r="N447" s="19">
        <f t="shared" si="186"/>
        <v>326.42662644372746</v>
      </c>
      <c r="O447" s="1">
        <f t="shared" si="174"/>
        <v>421</v>
      </c>
      <c r="P447" s="19">
        <f t="shared" si="175"/>
        <v>368.29164126866084</v>
      </c>
      <c r="Q447" s="18">
        <f t="shared" si="176"/>
        <v>7.9857107046569382</v>
      </c>
      <c r="R447" s="2">
        <f t="shared" si="177"/>
        <v>0.95399422732527783</v>
      </c>
      <c r="S447" s="18">
        <f t="shared" si="178"/>
        <v>8.0016106084456933</v>
      </c>
      <c r="T447" s="18">
        <f t="shared" si="179"/>
        <v>4.7140708263587481</v>
      </c>
      <c r="U447" s="1">
        <f t="shared" si="169"/>
        <v>0</v>
      </c>
      <c r="V447" s="2">
        <f t="shared" si="180"/>
        <v>855.46776215696525</v>
      </c>
      <c r="W447" s="19">
        <f t="shared" si="181"/>
        <v>370.33236457011481</v>
      </c>
      <c r="X447" s="20"/>
      <c r="Y447" s="2">
        <f t="shared" si="182"/>
        <v>350.41294101396585</v>
      </c>
      <c r="Z447" s="21">
        <f t="shared" si="183"/>
        <v>3.75294904442663</v>
      </c>
      <c r="AA447" s="2">
        <f t="shared" si="184"/>
        <v>276.06369852673987</v>
      </c>
      <c r="AB447" s="19">
        <f t="shared" si="187"/>
        <v>81.22823296905112</v>
      </c>
      <c r="AC447" s="2"/>
      <c r="AD447" s="18"/>
      <c r="AE447" s="118"/>
      <c r="AG447" s="2"/>
      <c r="AH447" s="19"/>
      <c r="AI447" s="20"/>
      <c r="AJ447" s="21"/>
      <c r="AK447" s="21"/>
      <c r="AM447" s="19"/>
      <c r="AN447" s="18"/>
      <c r="AO447" s="2"/>
      <c r="AP447" s="18"/>
      <c r="AQ447" s="118"/>
      <c r="AS447" s="2"/>
      <c r="AT447" s="19"/>
      <c r="AU447" s="20"/>
      <c r="AV447" s="21"/>
      <c r="AW447" s="21"/>
    </row>
    <row r="448" spans="1:49" x14ac:dyDescent="0.25">
      <c r="A448" s="1">
        <f t="shared" si="170"/>
        <v>422</v>
      </c>
      <c r="B448" s="19">
        <f t="shared" si="171"/>
        <v>207.71165578101878</v>
      </c>
      <c r="C448" s="18">
        <f t="shared" si="185"/>
        <v>6.4465807503821138</v>
      </c>
      <c r="D448" s="2">
        <f t="shared" si="164"/>
        <v>0.94312906042994027</v>
      </c>
      <c r="E448" s="18">
        <f t="shared" si="172"/>
        <v>6.4622995680559461</v>
      </c>
      <c r="F448" s="21">
        <f t="shared" si="165"/>
        <v>3.0949300688939476</v>
      </c>
      <c r="G448" s="1">
        <f t="shared" si="166"/>
        <v>0</v>
      </c>
      <c r="H448" s="2">
        <f t="shared" si="162"/>
        <v>482.90885492304739</v>
      </c>
      <c r="I448" s="19">
        <f t="shared" si="188"/>
        <v>209.05145234763955</v>
      </c>
      <c r="J448" s="20">
        <f t="shared" si="167"/>
        <v>0.91950124524907473</v>
      </c>
      <c r="K448" s="21">
        <f t="shared" si="168"/>
        <v>189.09493418167938</v>
      </c>
      <c r="L448" s="21">
        <f t="shared" si="163"/>
        <v>2.447890656779161</v>
      </c>
      <c r="M448" s="2">
        <f t="shared" si="173"/>
        <v>147.90979014332046</v>
      </c>
      <c r="N448" s="19">
        <f t="shared" si="186"/>
        <v>326.54149572165335</v>
      </c>
      <c r="O448" s="1">
        <f t="shared" si="174"/>
        <v>422</v>
      </c>
      <c r="P448" s="19">
        <f t="shared" si="175"/>
        <v>370.33236457011481</v>
      </c>
      <c r="Q448" s="18">
        <f t="shared" si="176"/>
        <v>8.0016106084456933</v>
      </c>
      <c r="R448" s="2">
        <f t="shared" si="177"/>
        <v>0.95409966396255386</v>
      </c>
      <c r="S448" s="18">
        <f t="shared" si="178"/>
        <v>8.0175122695117356</v>
      </c>
      <c r="T448" s="18">
        <f t="shared" si="179"/>
        <v>4.7325425730360067</v>
      </c>
      <c r="U448" s="1">
        <f t="shared" si="169"/>
        <v>0</v>
      </c>
      <c r="V448" s="2">
        <f t="shared" si="180"/>
        <v>860.20030473000122</v>
      </c>
      <c r="W448" s="19">
        <f t="shared" si="181"/>
        <v>372.38108429870181</v>
      </c>
      <c r="X448" s="20"/>
      <c r="Y448" s="2">
        <f t="shared" si="182"/>
        <v>352.46213194809042</v>
      </c>
      <c r="Z448" s="21">
        <f t="shared" si="183"/>
        <v>3.7678803941306627</v>
      </c>
      <c r="AA448" s="2">
        <f t="shared" si="184"/>
        <v>277.69481558047607</v>
      </c>
      <c r="AB448" s="19">
        <f t="shared" si="187"/>
        <v>81.320778596690857</v>
      </c>
      <c r="AC448" s="2"/>
      <c r="AD448" s="18"/>
      <c r="AE448" s="118"/>
      <c r="AG448" s="2"/>
      <c r="AH448" s="19"/>
      <c r="AI448" s="20"/>
      <c r="AJ448" s="21"/>
      <c r="AK448" s="21"/>
      <c r="AM448" s="19"/>
      <c r="AN448" s="18"/>
      <c r="AO448" s="2"/>
      <c r="AP448" s="18"/>
      <c r="AQ448" s="118"/>
      <c r="AS448" s="2"/>
      <c r="AT448" s="19"/>
      <c r="AU448" s="20"/>
      <c r="AV448" s="21"/>
      <c r="AW448" s="21"/>
    </row>
    <row r="449" spans="1:49" x14ac:dyDescent="0.25">
      <c r="A449" s="1">
        <f t="shared" si="170"/>
        <v>423</v>
      </c>
      <c r="B449" s="19">
        <f t="shared" si="171"/>
        <v>209.05145234763955</v>
      </c>
      <c r="C449" s="18">
        <f t="shared" si="185"/>
        <v>6.4622995680559461</v>
      </c>
      <c r="D449" s="2">
        <f t="shared" si="164"/>
        <v>0.94325034627824467</v>
      </c>
      <c r="E449" s="18">
        <f t="shared" si="172"/>
        <v>6.4780204071605834</v>
      </c>
      <c r="F449" s="21">
        <f t="shared" si="165"/>
        <v>3.1097726920040536</v>
      </c>
      <c r="G449" s="1">
        <f t="shared" si="166"/>
        <v>0</v>
      </c>
      <c r="H449" s="2">
        <f t="shared" si="162"/>
        <v>486.01862761505146</v>
      </c>
      <c r="I449" s="19">
        <f t="shared" si="188"/>
        <v>210.39767429223005</v>
      </c>
      <c r="J449" s="20">
        <f t="shared" si="167"/>
        <v>0.91943828911318126</v>
      </c>
      <c r="K449" s="21">
        <f t="shared" si="168"/>
        <v>190.44146575731713</v>
      </c>
      <c r="L449" s="21">
        <f t="shared" si="163"/>
        <v>2.4598151129061185</v>
      </c>
      <c r="M449" s="2">
        <f t="shared" si="173"/>
        <v>148.97464517055255</v>
      </c>
      <c r="N449" s="19">
        <f t="shared" si="186"/>
        <v>326.65608559296601</v>
      </c>
      <c r="O449" s="1">
        <f t="shared" si="174"/>
        <v>423</v>
      </c>
      <c r="P449" s="19">
        <f t="shared" si="175"/>
        <v>372.38108429870181</v>
      </c>
      <c r="Q449" s="18">
        <f t="shared" si="176"/>
        <v>8.0175122695117356</v>
      </c>
      <c r="R449" s="2">
        <f t="shared" si="177"/>
        <v>0.95420494255185206</v>
      </c>
      <c r="S449" s="18">
        <f t="shared" si="178"/>
        <v>8.033415685220934</v>
      </c>
      <c r="T449" s="18">
        <f t="shared" si="179"/>
        <v>4.7510519952954757</v>
      </c>
      <c r="U449" s="1">
        <f t="shared" si="169"/>
        <v>0</v>
      </c>
      <c r="V449" s="2">
        <f t="shared" si="180"/>
        <v>864.95135672529671</v>
      </c>
      <c r="W449" s="19">
        <f t="shared" si="181"/>
        <v>374.43781676419769</v>
      </c>
      <c r="X449" s="20"/>
      <c r="Y449" s="2">
        <f t="shared" si="182"/>
        <v>354.51933746205333</v>
      </c>
      <c r="Z449" s="21">
        <f t="shared" si="183"/>
        <v>3.7828430400452655</v>
      </c>
      <c r="AA449" s="2">
        <f t="shared" si="184"/>
        <v>279.33240997010608</v>
      </c>
      <c r="AB449" s="19">
        <f t="shared" si="187"/>
        <v>81.41314067248129</v>
      </c>
      <c r="AC449" s="2"/>
      <c r="AD449" s="18"/>
      <c r="AE449" s="118"/>
      <c r="AG449" s="2"/>
      <c r="AH449" s="19"/>
      <c r="AI449" s="20"/>
      <c r="AJ449" s="21"/>
      <c r="AK449" s="21"/>
      <c r="AM449" s="19"/>
      <c r="AN449" s="18"/>
      <c r="AO449" s="2"/>
      <c r="AP449" s="18"/>
      <c r="AQ449" s="118"/>
      <c r="AS449" s="2"/>
      <c r="AT449" s="19"/>
      <c r="AU449" s="20"/>
      <c r="AV449" s="21"/>
      <c r="AW449" s="21"/>
    </row>
    <row r="450" spans="1:49" x14ac:dyDescent="0.25">
      <c r="A450" s="1">
        <f t="shared" si="170"/>
        <v>424</v>
      </c>
      <c r="B450" s="19">
        <f t="shared" si="171"/>
        <v>210.39767429223005</v>
      </c>
      <c r="C450" s="18">
        <f t="shared" si="185"/>
        <v>6.4780204071605834</v>
      </c>
      <c r="D450" s="2">
        <f t="shared" si="164"/>
        <v>0.94337144894447544</v>
      </c>
      <c r="E450" s="18">
        <f t="shared" si="172"/>
        <v>6.4937432646429913</v>
      </c>
      <c r="F450" s="21">
        <f t="shared" si="165"/>
        <v>3.1246522408077197</v>
      </c>
      <c r="G450" s="1">
        <f t="shared" si="166"/>
        <v>0</v>
      </c>
      <c r="H450" s="2">
        <f t="shared" si="162"/>
        <v>489.14327985585913</v>
      </c>
      <c r="I450" s="19">
        <f t="shared" si="188"/>
        <v>211.750337599939</v>
      </c>
      <c r="J450" s="20">
        <f t="shared" si="167"/>
        <v>0.91937535204176657</v>
      </c>
      <c r="K450" s="21">
        <f t="shared" si="168"/>
        <v>191.79444017758686</v>
      </c>
      <c r="L450" s="21">
        <f t="shared" si="163"/>
        <v>2.4717700789663386</v>
      </c>
      <c r="M450" s="2">
        <f t="shared" si="173"/>
        <v>150.04467550776741</v>
      </c>
      <c r="N450" s="19">
        <f t="shared" si="186"/>
        <v>326.77039737794723</v>
      </c>
      <c r="O450" s="1">
        <f t="shared" si="174"/>
        <v>424</v>
      </c>
      <c r="P450" s="19">
        <f t="shared" si="175"/>
        <v>374.43781676419769</v>
      </c>
      <c r="Q450" s="18">
        <f t="shared" si="176"/>
        <v>8.033415685220934</v>
      </c>
      <c r="R450" s="2">
        <f t="shared" si="177"/>
        <v>0.95431006347710068</v>
      </c>
      <c r="S450" s="18">
        <f t="shared" si="178"/>
        <v>8.0493208529455522</v>
      </c>
      <c r="T450" s="18">
        <f t="shared" si="179"/>
        <v>4.7695991001098825</v>
      </c>
      <c r="U450" s="1">
        <f t="shared" si="169"/>
        <v>0</v>
      </c>
      <c r="V450" s="2">
        <f t="shared" si="180"/>
        <v>869.72095582540658</v>
      </c>
      <c r="W450" s="19">
        <f t="shared" si="181"/>
        <v>376.5025782793968</v>
      </c>
      <c r="X450" s="20"/>
      <c r="Y450" s="2">
        <f t="shared" si="182"/>
        <v>356.58457387240088</v>
      </c>
      <c r="Z450" s="21">
        <f t="shared" si="183"/>
        <v>3.7978369895048512</v>
      </c>
      <c r="AA450" s="2">
        <f t="shared" si="184"/>
        <v>280.97649524694799</v>
      </c>
      <c r="AB450" s="19">
        <f t="shared" si="187"/>
        <v>81.505319902948571</v>
      </c>
      <c r="AC450" s="2"/>
      <c r="AD450" s="18"/>
      <c r="AE450" s="118"/>
      <c r="AG450" s="2"/>
      <c r="AH450" s="19"/>
      <c r="AI450" s="20"/>
      <c r="AJ450" s="21"/>
      <c r="AK450" s="21"/>
      <c r="AM450" s="19"/>
      <c r="AN450" s="18"/>
      <c r="AO450" s="2"/>
      <c r="AP450" s="18"/>
      <c r="AQ450" s="118"/>
      <c r="AS450" s="2"/>
      <c r="AT450" s="19"/>
      <c r="AU450" s="20"/>
      <c r="AV450" s="21"/>
      <c r="AW450" s="21"/>
    </row>
    <row r="451" spans="1:49" x14ac:dyDescent="0.25">
      <c r="A451" s="1">
        <f t="shared" si="170"/>
        <v>425</v>
      </c>
      <c r="B451" s="19">
        <f t="shared" si="171"/>
        <v>211.750337599939</v>
      </c>
      <c r="C451" s="18">
        <f t="shared" si="185"/>
        <v>6.4937432646429913</v>
      </c>
      <c r="D451" s="2">
        <f t="shared" si="164"/>
        <v>0.94349236862725272</v>
      </c>
      <c r="E451" s="18">
        <f t="shared" si="172"/>
        <v>6.509468137453446</v>
      </c>
      <c r="F451" s="21">
        <f t="shared" si="165"/>
        <v>3.1395687237287073</v>
      </c>
      <c r="G451" s="1">
        <f t="shared" si="166"/>
        <v>0</v>
      </c>
      <c r="H451" s="2">
        <f t="shared" si="162"/>
        <v>492.28284857958778</v>
      </c>
      <c r="I451" s="19">
        <f t="shared" si="188"/>
        <v>213.10945825956179</v>
      </c>
      <c r="J451" s="20">
        <f t="shared" si="167"/>
        <v>0.91931243438593424</v>
      </c>
      <c r="K451" s="21">
        <f t="shared" si="168"/>
        <v>193.15387343496138</v>
      </c>
      <c r="L451" s="21">
        <f t="shared" si="163"/>
        <v>2.4837555637935127</v>
      </c>
      <c r="M451" s="2">
        <f t="shared" si="173"/>
        <v>151.11989436655247</v>
      </c>
      <c r="N451" s="19">
        <f t="shared" si="186"/>
        <v>326.88443238760328</v>
      </c>
      <c r="O451" s="1">
        <f t="shared" si="174"/>
        <v>425</v>
      </c>
      <c r="P451" s="19">
        <f t="shared" si="175"/>
        <v>376.5025782793968</v>
      </c>
      <c r="Q451" s="18">
        <f t="shared" si="176"/>
        <v>8.0493208529455522</v>
      </c>
      <c r="R451" s="2">
        <f t="shared" si="177"/>
        <v>0.95441502712172244</v>
      </c>
      <c r="S451" s="18">
        <f t="shared" si="178"/>
        <v>8.0652277700642472</v>
      </c>
      <c r="T451" s="18">
        <f t="shared" si="179"/>
        <v>4.7881838944399986</v>
      </c>
      <c r="U451" s="1">
        <f t="shared" si="169"/>
        <v>0</v>
      </c>
      <c r="V451" s="2">
        <f t="shared" si="180"/>
        <v>874.50913971984653</v>
      </c>
      <c r="W451" s="19">
        <f t="shared" si="181"/>
        <v>378.57538516010669</v>
      </c>
      <c r="X451" s="20"/>
      <c r="Y451" s="2">
        <f t="shared" si="182"/>
        <v>358.65785749869337</v>
      </c>
      <c r="Z451" s="21">
        <f t="shared" si="183"/>
        <v>3.8128622498313547</v>
      </c>
      <c r="AA451" s="2">
        <f t="shared" si="184"/>
        <v>282.6270849654897</v>
      </c>
      <c r="AB451" s="19">
        <f t="shared" si="187"/>
        <v>81.59731699058068</v>
      </c>
      <c r="AC451" s="2"/>
      <c r="AD451" s="18"/>
      <c r="AE451" s="118"/>
      <c r="AG451" s="2"/>
      <c r="AH451" s="19"/>
      <c r="AI451" s="20"/>
      <c r="AJ451" s="21"/>
      <c r="AK451" s="21"/>
      <c r="AM451" s="19"/>
      <c r="AN451" s="18"/>
      <c r="AO451" s="2"/>
      <c r="AP451" s="18"/>
      <c r="AQ451" s="118"/>
      <c r="AS451" s="2"/>
      <c r="AT451" s="19"/>
      <c r="AU451" s="20"/>
      <c r="AV451" s="21"/>
      <c r="AW451" s="21"/>
    </row>
    <row r="452" spans="1:49" x14ac:dyDescent="0.25">
      <c r="A452" s="1">
        <f t="shared" si="170"/>
        <v>426</v>
      </c>
      <c r="B452" s="19">
        <f t="shared" si="171"/>
        <v>213.10945825956179</v>
      </c>
      <c r="C452" s="18">
        <f t="shared" si="185"/>
        <v>6.509468137453446</v>
      </c>
      <c r="D452" s="2">
        <f t="shared" si="164"/>
        <v>0.94361310552951294</v>
      </c>
      <c r="E452" s="18">
        <f t="shared" si="172"/>
        <v>6.5251950225456046</v>
      </c>
      <c r="F452" s="21">
        <f t="shared" si="165"/>
        <v>3.1545221491728972</v>
      </c>
      <c r="G452" s="1">
        <f t="shared" si="166"/>
        <v>0</v>
      </c>
      <c r="H452" s="2">
        <f t="shared" si="162"/>
        <v>495.43737072876064</v>
      </c>
      <c r="I452" s="19">
        <f t="shared" si="188"/>
        <v>214.47505226353275</v>
      </c>
      <c r="J452" s="20">
        <f t="shared" si="167"/>
        <v>0.91924953649277363</v>
      </c>
      <c r="K452" s="21">
        <f t="shared" si="168"/>
        <v>194.51978152555324</v>
      </c>
      <c r="L452" s="21">
        <f t="shared" si="163"/>
        <v>2.4957715762028565</v>
      </c>
      <c r="M452" s="2">
        <f t="shared" si="173"/>
        <v>152.2003149623113</v>
      </c>
      <c r="N452" s="19">
        <f t="shared" si="186"/>
        <v>326.99819192375134</v>
      </c>
      <c r="O452" s="1">
        <f t="shared" si="174"/>
        <v>426</v>
      </c>
      <c r="P452" s="19">
        <f t="shared" si="175"/>
        <v>378.57538516010669</v>
      </c>
      <c r="Q452" s="18">
        <f t="shared" si="176"/>
        <v>8.0652277700642472</v>
      </c>
      <c r="R452" s="2">
        <f t="shared" si="177"/>
        <v>0.95451983386862294</v>
      </c>
      <c r="S452" s="18">
        <f t="shared" si="178"/>
        <v>8.0811364339620582</v>
      </c>
      <c r="T452" s="18">
        <f t="shared" si="179"/>
        <v>4.8068063852346832</v>
      </c>
      <c r="U452" s="1">
        <f t="shared" si="169"/>
        <v>0</v>
      </c>
      <c r="V452" s="2">
        <f t="shared" si="180"/>
        <v>879.31594610508125</v>
      </c>
      <c r="W452" s="19">
        <f t="shared" si="181"/>
        <v>380.65625372514342</v>
      </c>
      <c r="X452" s="20"/>
      <c r="Y452" s="2">
        <f t="shared" si="182"/>
        <v>360.7392046635</v>
      </c>
      <c r="Z452" s="21">
        <f t="shared" si="183"/>
        <v>3.8279188283342833</v>
      </c>
      <c r="AA452" s="2">
        <f t="shared" si="184"/>
        <v>284.28419268338331</v>
      </c>
      <c r="AB452" s="19">
        <f t="shared" si="187"/>
        <v>81.689132633858108</v>
      </c>
      <c r="AC452" s="2"/>
      <c r="AD452" s="18"/>
      <c r="AE452" s="118"/>
      <c r="AG452" s="2"/>
      <c r="AH452" s="19"/>
      <c r="AI452" s="20"/>
      <c r="AJ452" s="21"/>
      <c r="AK452" s="21"/>
      <c r="AM452" s="19"/>
      <c r="AN452" s="18"/>
      <c r="AO452" s="2"/>
      <c r="AP452" s="18"/>
      <c r="AQ452" s="118"/>
      <c r="AS452" s="2"/>
      <c r="AT452" s="19"/>
      <c r="AU452" s="20"/>
      <c r="AV452" s="21"/>
      <c r="AW452" s="21"/>
    </row>
    <row r="453" spans="1:49" x14ac:dyDescent="0.25">
      <c r="A453" s="1">
        <f t="shared" si="170"/>
        <v>427</v>
      </c>
      <c r="B453" s="19">
        <f t="shared" si="171"/>
        <v>214.47505226353275</v>
      </c>
      <c r="C453" s="18">
        <f t="shared" si="185"/>
        <v>6.5251950225456046</v>
      </c>
      <c r="D453" s="2">
        <f t="shared" si="164"/>
        <v>0.94373365985841495</v>
      </c>
      <c r="E453" s="18">
        <f t="shared" si="172"/>
        <v>6.5409239168765785</v>
      </c>
      <c r="F453" s="21">
        <f t="shared" si="165"/>
        <v>3.1695125255283787</v>
      </c>
      <c r="G453" s="1">
        <f t="shared" si="166"/>
        <v>0</v>
      </c>
      <c r="H453" s="2">
        <f t="shared" si="162"/>
        <v>498.60688325428902</v>
      </c>
      <c r="I453" s="19">
        <f t="shared" si="188"/>
        <v>215.84713560791732</v>
      </c>
      <c r="J453" s="20">
        <f t="shared" si="167"/>
        <v>0.91918665870539717</v>
      </c>
      <c r="K453" s="21">
        <f t="shared" si="168"/>
        <v>195.89218044910703</v>
      </c>
      <c r="L453" s="21">
        <f t="shared" si="163"/>
        <v>2.5078181249911986</v>
      </c>
      <c r="M453" s="2">
        <f t="shared" si="173"/>
        <v>153.28595051425555</v>
      </c>
      <c r="N453" s="19">
        <f t="shared" si="186"/>
        <v>327.11167727910527</v>
      </c>
      <c r="O453" s="1">
        <f t="shared" si="174"/>
        <v>427</v>
      </c>
      <c r="P453" s="19">
        <f t="shared" si="175"/>
        <v>380.65625372514342</v>
      </c>
      <c r="Q453" s="18">
        <f t="shared" si="176"/>
        <v>8.0811364339620582</v>
      </c>
      <c r="R453" s="2">
        <f t="shared" si="177"/>
        <v>0.95462448410017864</v>
      </c>
      <c r="S453" s="18">
        <f t="shared" si="178"/>
        <v>8.0970468420303945</v>
      </c>
      <c r="T453" s="18">
        <f t="shared" si="179"/>
        <v>4.8254665794309286</v>
      </c>
      <c r="U453" s="1">
        <f t="shared" si="169"/>
        <v>0</v>
      </c>
      <c r="V453" s="2">
        <f t="shared" si="180"/>
        <v>884.14141268451215</v>
      </c>
      <c r="W453" s="19">
        <f t="shared" si="181"/>
        <v>382.74520029632561</v>
      </c>
      <c r="X453" s="20"/>
      <c r="Y453" s="2">
        <f t="shared" si="182"/>
        <v>362.82863169239357</v>
      </c>
      <c r="Z453" s="21">
        <f t="shared" si="183"/>
        <v>3.8430067323107577</v>
      </c>
      <c r="AA453" s="2">
        <f t="shared" si="184"/>
        <v>285.94783196143993</v>
      </c>
      <c r="AB453" s="19">
        <f t="shared" si="187"/>
        <v>81.780767527284141</v>
      </c>
      <c r="AC453" s="2"/>
      <c r="AD453" s="18"/>
      <c r="AE453" s="118"/>
      <c r="AG453" s="2"/>
      <c r="AH453" s="19"/>
      <c r="AI453" s="20"/>
      <c r="AJ453" s="21"/>
      <c r="AK453" s="21"/>
      <c r="AM453" s="19"/>
      <c r="AN453" s="18"/>
      <c r="AO453" s="2"/>
      <c r="AP453" s="18"/>
      <c r="AQ453" s="118"/>
      <c r="AS453" s="2"/>
      <c r="AT453" s="19"/>
      <c r="AU453" s="20"/>
      <c r="AV453" s="21"/>
      <c r="AW453" s="21"/>
    </row>
    <row r="454" spans="1:49" x14ac:dyDescent="0.25">
      <c r="A454" s="1">
        <f t="shared" si="170"/>
        <v>428</v>
      </c>
      <c r="B454" s="19">
        <f t="shared" si="171"/>
        <v>215.84713560791732</v>
      </c>
      <c r="C454" s="18">
        <f t="shared" si="185"/>
        <v>6.5409239168765785</v>
      </c>
      <c r="D454" s="2">
        <f t="shared" si="164"/>
        <v>0.9438540318252453</v>
      </c>
      <c r="E454" s="18">
        <f t="shared" si="172"/>
        <v>6.556654817406999</v>
      </c>
      <c r="F454" s="21">
        <f t="shared" si="165"/>
        <v>3.1845398611655118</v>
      </c>
      <c r="G454" s="1">
        <f t="shared" si="166"/>
        <v>0</v>
      </c>
      <c r="H454" s="2">
        <f t="shared" si="162"/>
        <v>501.79142311545451</v>
      </c>
      <c r="I454" s="19">
        <f t="shared" si="188"/>
        <v>217.22572429240455</v>
      </c>
      <c r="J454" s="20">
        <f t="shared" si="167"/>
        <v>0.91912380136297755</v>
      </c>
      <c r="K454" s="21">
        <f t="shared" si="168"/>
        <v>197.2710862089917</v>
      </c>
      <c r="L454" s="21">
        <f t="shared" si="163"/>
        <v>2.5198952189370449</v>
      </c>
      <c r="M454" s="2">
        <f t="shared" si="173"/>
        <v>154.37681424539713</v>
      </c>
      <c r="N454" s="19">
        <f t="shared" si="186"/>
        <v>327.22488973736012</v>
      </c>
      <c r="O454" s="1">
        <f t="shared" si="174"/>
        <v>428</v>
      </c>
      <c r="P454" s="19">
        <f t="shared" si="175"/>
        <v>382.74520029632561</v>
      </c>
      <c r="Q454" s="18">
        <f t="shared" si="176"/>
        <v>8.0970468420303945</v>
      </c>
      <c r="R454" s="2">
        <f t="shared" si="177"/>
        <v>0.95472897819822611</v>
      </c>
      <c r="S454" s="18">
        <f t="shared" si="178"/>
        <v>8.1129589916670319</v>
      </c>
      <c r="T454" s="18">
        <f t="shared" si="179"/>
        <v>4.8441644839539064</v>
      </c>
      <c r="U454" s="1">
        <f t="shared" si="169"/>
        <v>0</v>
      </c>
      <c r="V454" s="2">
        <f t="shared" si="180"/>
        <v>888.98557716846608</v>
      </c>
      <c r="W454" s="19">
        <f t="shared" si="181"/>
        <v>384.84224119847016</v>
      </c>
      <c r="X454" s="20"/>
      <c r="Y454" s="2">
        <f t="shared" si="182"/>
        <v>364.9261549139456</v>
      </c>
      <c r="Z454" s="21">
        <f t="shared" si="183"/>
        <v>3.8581259690455623</v>
      </c>
      <c r="AA454" s="2">
        <f t="shared" si="184"/>
        <v>287.61801636362418</v>
      </c>
      <c r="AB454" s="19">
        <f t="shared" si="187"/>
        <v>81.87222236141497</v>
      </c>
      <c r="AC454" s="2"/>
      <c r="AD454" s="18"/>
      <c r="AE454" s="118"/>
      <c r="AG454" s="2"/>
      <c r="AH454" s="19"/>
      <c r="AI454" s="20"/>
      <c r="AJ454" s="21"/>
      <c r="AK454" s="21"/>
      <c r="AM454" s="19"/>
      <c r="AN454" s="18"/>
      <c r="AO454" s="2"/>
      <c r="AP454" s="18"/>
      <c r="AQ454" s="118"/>
      <c r="AS454" s="2"/>
      <c r="AT454" s="19"/>
      <c r="AU454" s="20"/>
      <c r="AV454" s="21"/>
      <c r="AW454" s="21"/>
    </row>
    <row r="455" spans="1:49" x14ac:dyDescent="0.25">
      <c r="A455" s="1">
        <f t="shared" si="170"/>
        <v>429</v>
      </c>
      <c r="B455" s="19">
        <f t="shared" si="171"/>
        <v>217.22572429240455</v>
      </c>
      <c r="C455" s="18">
        <f t="shared" si="185"/>
        <v>6.556654817406999</v>
      </c>
      <c r="D455" s="2">
        <f t="shared" si="164"/>
        <v>0.94397422164532874</v>
      </c>
      <c r="E455" s="18">
        <f t="shared" si="172"/>
        <v>6.5723877211010882</v>
      </c>
      <c r="F455" s="21">
        <f t="shared" si="165"/>
        <v>3.1996041644370168</v>
      </c>
      <c r="G455" s="1">
        <f t="shared" si="166"/>
        <v>0</v>
      </c>
      <c r="H455" s="2">
        <f t="shared" si="162"/>
        <v>504.99102727989151</v>
      </c>
      <c r="I455" s="19">
        <f t="shared" si="188"/>
        <v>218.61083432029935</v>
      </c>
      <c r="J455" s="20">
        <f t="shared" si="167"/>
        <v>0.91906096480078536</v>
      </c>
      <c r="K455" s="21">
        <f t="shared" si="168"/>
        <v>198.65651481219294</v>
      </c>
      <c r="L455" s="21">
        <f t="shared" si="163"/>
        <v>2.5320028668006707</v>
      </c>
      <c r="M455" s="2">
        <f t="shared" si="173"/>
        <v>155.47291938254028</v>
      </c>
      <c r="N455" s="19">
        <f t="shared" si="186"/>
        <v>327.3378305732756</v>
      </c>
      <c r="O455" s="1">
        <f t="shared" si="174"/>
        <v>429</v>
      </c>
      <c r="P455" s="19">
        <f t="shared" si="175"/>
        <v>384.84224119847016</v>
      </c>
      <c r="Q455" s="18">
        <f t="shared" si="176"/>
        <v>8.1129589916670319</v>
      </c>
      <c r="R455" s="2">
        <f t="shared" si="177"/>
        <v>0.9548333165440499</v>
      </c>
      <c r="S455" s="18">
        <f t="shared" si="178"/>
        <v>8.1288728802760986</v>
      </c>
      <c r="T455" s="18">
        <f t="shared" si="179"/>
        <v>4.86290010571701</v>
      </c>
      <c r="U455" s="1">
        <f t="shared" si="169"/>
        <v>0</v>
      </c>
      <c r="V455" s="2">
        <f t="shared" si="180"/>
        <v>893.8484772741831</v>
      </c>
      <c r="W455" s="19">
        <f t="shared" si="181"/>
        <v>386.94739275938662</v>
      </c>
      <c r="X455" s="20"/>
      <c r="Y455" s="2">
        <f t="shared" si="182"/>
        <v>367.03179065972108</v>
      </c>
      <c r="Z455" s="21">
        <f t="shared" si="183"/>
        <v>3.8732765458111835</v>
      </c>
      <c r="AA455" s="2">
        <f t="shared" si="184"/>
        <v>289.29475945704894</v>
      </c>
      <c r="AB455" s="19">
        <f t="shared" si="187"/>
        <v>81.96349782288938</v>
      </c>
      <c r="AC455" s="2"/>
      <c r="AD455" s="18"/>
      <c r="AE455" s="118"/>
      <c r="AG455" s="2"/>
      <c r="AH455" s="19"/>
      <c r="AI455" s="20"/>
      <c r="AJ455" s="21"/>
      <c r="AK455" s="21"/>
      <c r="AM455" s="19"/>
      <c r="AN455" s="18"/>
      <c r="AO455" s="2"/>
      <c r="AP455" s="18"/>
      <c r="AQ455" s="118"/>
      <c r="AS455" s="2"/>
      <c r="AT455" s="19"/>
      <c r="AU455" s="20"/>
      <c r="AV455" s="21"/>
      <c r="AW455" s="21"/>
    </row>
    <row r="456" spans="1:49" x14ac:dyDescent="0.25">
      <c r="A456" s="1">
        <f t="shared" si="170"/>
        <v>430</v>
      </c>
      <c r="B456" s="19">
        <f t="shared" si="171"/>
        <v>218.61083432029935</v>
      </c>
      <c r="C456" s="18">
        <f t="shared" si="185"/>
        <v>6.5723877211010882</v>
      </c>
      <c r="D456" s="2">
        <f t="shared" si="164"/>
        <v>0.94409422953793831</v>
      </c>
      <c r="E456" s="18">
        <f t="shared" si="172"/>
        <v>6.5881226249267204</v>
      </c>
      <c r="F456" s="21">
        <f t="shared" si="165"/>
        <v>3.2147054436780356</v>
      </c>
      <c r="G456" s="1">
        <f t="shared" si="166"/>
        <v>0</v>
      </c>
      <c r="H456" s="2">
        <f t="shared" si="162"/>
        <v>508.20573272356955</v>
      </c>
      <c r="I456" s="19">
        <f t="shared" si="188"/>
        <v>220.00248169851494</v>
      </c>
      <c r="J456" s="20">
        <f t="shared" si="167"/>
        <v>0.91899814935022484</v>
      </c>
      <c r="K456" s="21">
        <f t="shared" si="168"/>
        <v>200.04848226930554</v>
      </c>
      <c r="L456" s="21">
        <f t="shared" si="163"/>
        <v>2.5441410773241824</v>
      </c>
      <c r="M456" s="2">
        <f t="shared" si="173"/>
        <v>156.57427915627369</v>
      </c>
      <c r="N456" s="19">
        <f t="shared" si="186"/>
        <v>327.45050105275902</v>
      </c>
      <c r="O456" s="1">
        <f t="shared" si="174"/>
        <v>430</v>
      </c>
      <c r="P456" s="19">
        <f t="shared" si="175"/>
        <v>386.94739275938662</v>
      </c>
      <c r="Q456" s="18">
        <f t="shared" si="176"/>
        <v>8.1288728802760986</v>
      </c>
      <c r="R456" s="2">
        <f t="shared" si="177"/>
        <v>0.95493749951837326</v>
      </c>
      <c r="S456" s="18">
        <f t="shared" si="178"/>
        <v>8.1447885052680711</v>
      </c>
      <c r="T456" s="18">
        <f t="shared" si="179"/>
        <v>4.8816734516219036</v>
      </c>
      <c r="U456" s="1">
        <f t="shared" si="169"/>
        <v>0</v>
      </c>
      <c r="V456" s="2">
        <f t="shared" si="180"/>
        <v>898.73015072580495</v>
      </c>
      <c r="W456" s="19">
        <f t="shared" si="181"/>
        <v>389.06067130987225</v>
      </c>
      <c r="X456" s="20"/>
      <c r="Y456" s="2">
        <f t="shared" si="182"/>
        <v>369.14555526427336</v>
      </c>
      <c r="Z456" s="21">
        <f t="shared" si="183"/>
        <v>3.8884584698678673</v>
      </c>
      <c r="AA456" s="2">
        <f t="shared" si="184"/>
        <v>290.97807481197009</v>
      </c>
      <c r="AB456" s="19">
        <f t="shared" si="187"/>
        <v>82.054594594458308</v>
      </c>
      <c r="AC456" s="2"/>
      <c r="AD456" s="18"/>
      <c r="AE456" s="118"/>
      <c r="AG456" s="2"/>
      <c r="AH456" s="19"/>
      <c r="AI456" s="20"/>
      <c r="AJ456" s="21"/>
      <c r="AK456" s="21"/>
      <c r="AM456" s="19"/>
      <c r="AN456" s="18"/>
      <c r="AO456" s="2"/>
      <c r="AP456" s="18"/>
      <c r="AQ456" s="118"/>
      <c r="AS456" s="2"/>
      <c r="AT456" s="19"/>
      <c r="AU456" s="20"/>
      <c r="AV456" s="21"/>
      <c r="AW456" s="21"/>
    </row>
    <row r="457" spans="1:49" x14ac:dyDescent="0.25">
      <c r="A457" s="1">
        <f t="shared" si="170"/>
        <v>431</v>
      </c>
      <c r="B457" s="19">
        <f t="shared" si="171"/>
        <v>220.00248169851494</v>
      </c>
      <c r="C457" s="18">
        <f t="shared" si="185"/>
        <v>6.5881226249267204</v>
      </c>
      <c r="D457" s="2">
        <f t="shared" si="164"/>
        <v>0.94421405572620554</v>
      </c>
      <c r="E457" s="18">
        <f t="shared" si="172"/>
        <v>6.6038595258554906</v>
      </c>
      <c r="F457" s="21">
        <f t="shared" si="165"/>
        <v>3.2298437072062192</v>
      </c>
      <c r="G457" s="1">
        <f t="shared" si="166"/>
        <v>0</v>
      </c>
      <c r="H457" s="2">
        <f t="shared" si="162"/>
        <v>511.43557643077577</v>
      </c>
      <c r="I457" s="19">
        <f t="shared" si="188"/>
        <v>221.40068243756525</v>
      </c>
      <c r="J457" s="20">
        <f t="shared" si="167"/>
        <v>0.91893535533887061</v>
      </c>
      <c r="K457" s="21">
        <f t="shared" si="168"/>
        <v>201.44700459452582</v>
      </c>
      <c r="L457" s="21">
        <f t="shared" si="163"/>
        <v>2.5563098592316074</v>
      </c>
      <c r="M457" s="2">
        <f t="shared" si="173"/>
        <v>157.6809068009627</v>
      </c>
      <c r="N457" s="19">
        <f t="shared" si="186"/>
        <v>327.56290243294671</v>
      </c>
      <c r="O457" s="1">
        <f t="shared" si="174"/>
        <v>431</v>
      </c>
      <c r="P457" s="19">
        <f t="shared" si="175"/>
        <v>389.06067130987225</v>
      </c>
      <c r="Q457" s="18">
        <f t="shared" si="176"/>
        <v>8.1447885052680711</v>
      </c>
      <c r="R457" s="2">
        <f t="shared" si="177"/>
        <v>0.95504152750134552</v>
      </c>
      <c r="S457" s="18">
        <f t="shared" si="178"/>
        <v>8.1607058640597607</v>
      </c>
      <c r="T457" s="18">
        <f t="shared" si="179"/>
        <v>4.9004845285585565</v>
      </c>
      <c r="U457" s="1">
        <f t="shared" si="169"/>
        <v>0</v>
      </c>
      <c r="V457" s="2">
        <f t="shared" si="180"/>
        <v>903.63063525436348</v>
      </c>
      <c r="W457" s="19">
        <f t="shared" si="181"/>
        <v>391.18209318370714</v>
      </c>
      <c r="X457" s="20"/>
      <c r="Y457" s="2">
        <f t="shared" si="182"/>
        <v>371.26746506513922</v>
      </c>
      <c r="Z457" s="21">
        <f t="shared" si="183"/>
        <v>3.9036717484636489</v>
      </c>
      <c r="AA457" s="2">
        <f t="shared" si="184"/>
        <v>292.6679760017812</v>
      </c>
      <c r="AB457" s="19">
        <f t="shared" si="187"/>
        <v>82.145513355014018</v>
      </c>
      <c r="AC457" s="2"/>
      <c r="AD457" s="18"/>
      <c r="AE457" s="118"/>
      <c r="AG457" s="2"/>
      <c r="AH457" s="19"/>
      <c r="AI457" s="20"/>
      <c r="AJ457" s="21"/>
      <c r="AK457" s="21"/>
      <c r="AM457" s="19"/>
      <c r="AN457" s="18"/>
      <c r="AO457" s="2"/>
      <c r="AP457" s="18"/>
      <c r="AQ457" s="118"/>
      <c r="AS457" s="2"/>
      <c r="AT457" s="19"/>
      <c r="AU457" s="20"/>
      <c r="AV457" s="21"/>
      <c r="AW457" s="21"/>
    </row>
    <row r="458" spans="1:49" x14ac:dyDescent="0.25">
      <c r="A458" s="1">
        <f t="shared" si="170"/>
        <v>432</v>
      </c>
      <c r="B458" s="19">
        <f t="shared" si="171"/>
        <v>221.40068243756525</v>
      </c>
      <c r="C458" s="18">
        <f t="shared" si="185"/>
        <v>6.6038595258554906</v>
      </c>
      <c r="D458" s="2">
        <f t="shared" si="164"/>
        <v>0.94433370043703535</v>
      </c>
      <c r="E458" s="18">
        <f t="shared" si="172"/>
        <v>6.6195984208627747</v>
      </c>
      <c r="F458" s="21">
        <f t="shared" si="165"/>
        <v>3.2450189633217921</v>
      </c>
      <c r="G458" s="1">
        <f t="shared" si="166"/>
        <v>0</v>
      </c>
      <c r="H458" s="2">
        <f t="shared" si="162"/>
        <v>514.68059539409751</v>
      </c>
      <c r="I458" s="19">
        <f t="shared" si="188"/>
        <v>222.80545255155735</v>
      </c>
      <c r="J458" s="20">
        <f t="shared" si="167"/>
        <v>0.91887258309050435</v>
      </c>
      <c r="K458" s="21">
        <f t="shared" si="168"/>
        <v>202.85209780564415</v>
      </c>
      <c r="L458" s="21">
        <f t="shared" si="163"/>
        <v>2.5685092212289606</v>
      </c>
      <c r="M458" s="2">
        <f t="shared" si="173"/>
        <v>158.79281555474148</v>
      </c>
      <c r="N458" s="19">
        <f t="shared" si="186"/>
        <v>327.67503596228482</v>
      </c>
      <c r="O458" s="1">
        <f t="shared" si="174"/>
        <v>432</v>
      </c>
      <c r="P458" s="19">
        <f t="shared" si="175"/>
        <v>391.18209318370714</v>
      </c>
      <c r="Q458" s="18">
        <f t="shared" si="176"/>
        <v>8.1607058640597607</v>
      </c>
      <c r="R458" s="2">
        <f t="shared" si="177"/>
        <v>0.95514540087253375</v>
      </c>
      <c r="S458" s="18">
        <f t="shared" si="178"/>
        <v>8.1766249540743026</v>
      </c>
      <c r="T458" s="18">
        <f t="shared" si="179"/>
        <v>4.9193333434052935</v>
      </c>
      <c r="U458" s="1">
        <f t="shared" si="169"/>
        <v>0</v>
      </c>
      <c r="V458" s="2">
        <f t="shared" si="180"/>
        <v>908.54996859776872</v>
      </c>
      <c r="W458" s="19">
        <f t="shared" si="181"/>
        <v>393.31167471764877</v>
      </c>
      <c r="X458" s="20"/>
      <c r="Y458" s="2">
        <f t="shared" si="182"/>
        <v>373.39753640283374</v>
      </c>
      <c r="Z458" s="21">
        <f t="shared" si="183"/>
        <v>3.9189163888344076</v>
      </c>
      <c r="AA458" s="2">
        <f t="shared" si="184"/>
        <v>294.3644766030082</v>
      </c>
      <c r="AB458" s="19">
        <f t="shared" si="187"/>
        <v>82.236254779619046</v>
      </c>
      <c r="AC458" s="2"/>
      <c r="AD458" s="18"/>
      <c r="AE458" s="118"/>
      <c r="AG458" s="2"/>
      <c r="AH458" s="19"/>
      <c r="AI458" s="20"/>
      <c r="AJ458" s="21"/>
      <c r="AK458" s="21"/>
      <c r="AM458" s="19"/>
      <c r="AN458" s="18"/>
      <c r="AO458" s="2"/>
      <c r="AP458" s="18"/>
      <c r="AQ458" s="118"/>
      <c r="AS458" s="2"/>
      <c r="AT458" s="19"/>
      <c r="AU458" s="20"/>
      <c r="AV458" s="21"/>
      <c r="AW458" s="21"/>
    </row>
    <row r="459" spans="1:49" x14ac:dyDescent="0.25">
      <c r="A459" s="1">
        <f t="shared" si="170"/>
        <v>433</v>
      </c>
      <c r="B459" s="19">
        <f t="shared" si="171"/>
        <v>222.80545255155735</v>
      </c>
      <c r="C459" s="18">
        <f t="shared" si="185"/>
        <v>6.6195984208627747</v>
      </c>
      <c r="D459" s="2">
        <f t="shared" si="164"/>
        <v>0.94445316390102008</v>
      </c>
      <c r="E459" s="18">
        <f t="shared" si="172"/>
        <v>6.6353393069277917</v>
      </c>
      <c r="F459" s="21">
        <f t="shared" si="165"/>
        <v>3.2602312203076327</v>
      </c>
      <c r="G459" s="1">
        <f t="shared" si="166"/>
        <v>0</v>
      </c>
      <c r="H459" s="2">
        <f t="shared" si="162"/>
        <v>517.94082661440518</v>
      </c>
      <c r="I459" s="19">
        <f t="shared" si="188"/>
        <v>224.21680805818406</v>
      </c>
      <c r="J459" s="20">
        <f t="shared" si="167"/>
        <v>0.91880983292514939</v>
      </c>
      <c r="K459" s="21">
        <f t="shared" si="168"/>
        <v>204.26377792403736</v>
      </c>
      <c r="L459" s="21">
        <f t="shared" si="163"/>
        <v>2.580739172004324</v>
      </c>
      <c r="M459" s="2">
        <f t="shared" si="173"/>
        <v>159.91001865950525</v>
      </c>
      <c r="N459" s="19">
        <f t="shared" si="186"/>
        <v>327.78690288060926</v>
      </c>
      <c r="O459" s="1">
        <f t="shared" si="174"/>
        <v>433</v>
      </c>
      <c r="P459" s="19">
        <f t="shared" si="175"/>
        <v>393.31167471764877</v>
      </c>
      <c r="Q459" s="18">
        <f t="shared" si="176"/>
        <v>8.1766249540743026</v>
      </c>
      <c r="R459" s="2">
        <f t="shared" si="177"/>
        <v>0.955249120010912</v>
      </c>
      <c r="S459" s="18">
        <f t="shared" si="178"/>
        <v>8.1925457727411519</v>
      </c>
      <c r="T459" s="18">
        <f t="shared" si="179"/>
        <v>4.9382199030288421</v>
      </c>
      <c r="U459" s="1">
        <f t="shared" si="169"/>
        <v>0</v>
      </c>
      <c r="V459" s="2">
        <f t="shared" si="180"/>
        <v>913.48818850079761</v>
      </c>
      <c r="W459" s="19">
        <f t="shared" si="181"/>
        <v>395.44943225142754</v>
      </c>
      <c r="X459" s="20"/>
      <c r="Y459" s="2">
        <f t="shared" si="182"/>
        <v>375.53578562084522</v>
      </c>
      <c r="Z459" s="21">
        <f t="shared" si="183"/>
        <v>3.9341923982039098</v>
      </c>
      <c r="AA459" s="2">
        <f t="shared" si="184"/>
        <v>296.06759019530426</v>
      </c>
      <c r="AB459" s="19">
        <f t="shared" si="187"/>
        <v>82.326819539534853</v>
      </c>
      <c r="AC459" s="2"/>
      <c r="AD459" s="18"/>
      <c r="AE459" s="118"/>
      <c r="AG459" s="2"/>
      <c r="AH459" s="19"/>
      <c r="AI459" s="20"/>
      <c r="AJ459" s="21"/>
      <c r="AK459" s="21"/>
      <c r="AM459" s="19"/>
      <c r="AN459" s="18"/>
      <c r="AO459" s="2"/>
      <c r="AP459" s="18"/>
      <c r="AQ459" s="118"/>
      <c r="AS459" s="2"/>
      <c r="AT459" s="19"/>
      <c r="AU459" s="20"/>
      <c r="AV459" s="21"/>
      <c r="AW459" s="21"/>
    </row>
    <row r="460" spans="1:49" x14ac:dyDescent="0.25">
      <c r="A460" s="1">
        <f t="shared" si="170"/>
        <v>434</v>
      </c>
      <c r="B460" s="19">
        <f t="shared" si="171"/>
        <v>224.21680805818406</v>
      </c>
      <c r="C460" s="18">
        <f t="shared" si="185"/>
        <v>6.6353393069277917</v>
      </c>
      <c r="D460" s="2">
        <f t="shared" si="164"/>
        <v>0.94457244635235538</v>
      </c>
      <c r="E460" s="18">
        <f t="shared" si="172"/>
        <v>6.6510821810336642</v>
      </c>
      <c r="F460" s="21">
        <f t="shared" si="165"/>
        <v>3.2754804864293421</v>
      </c>
      <c r="G460" s="1">
        <f t="shared" si="166"/>
        <v>0</v>
      </c>
      <c r="H460" s="2">
        <f t="shared" si="162"/>
        <v>521.21630710083457</v>
      </c>
      <c r="I460" s="19">
        <f t="shared" si="188"/>
        <v>225.63476497871625</v>
      </c>
      <c r="J460" s="20">
        <f t="shared" si="167"/>
        <v>0.91874710515910729</v>
      </c>
      <c r="K460" s="21">
        <f t="shared" si="168"/>
        <v>205.68206097466125</v>
      </c>
      <c r="L460" s="21">
        <f t="shared" si="163"/>
        <v>2.5929997202279185</v>
      </c>
      <c r="M460" s="2">
        <f t="shared" si="173"/>
        <v>161.03252936090263</v>
      </c>
      <c r="N460" s="19">
        <f t="shared" si="186"/>
        <v>327.89850441922454</v>
      </c>
      <c r="O460" s="1">
        <f t="shared" si="174"/>
        <v>434</v>
      </c>
      <c r="P460" s="19">
        <f t="shared" si="175"/>
        <v>395.44943225142754</v>
      </c>
      <c r="Q460" s="18">
        <f t="shared" si="176"/>
        <v>8.1925457727411519</v>
      </c>
      <c r="R460" s="2">
        <f t="shared" si="177"/>
        <v>0.95535268529485073</v>
      </c>
      <c r="S460" s="18">
        <f t="shared" si="178"/>
        <v>8.2084683174960666</v>
      </c>
      <c r="T460" s="18">
        <f t="shared" si="179"/>
        <v>4.9571442142843614</v>
      </c>
      <c r="U460" s="1">
        <f t="shared" si="169"/>
        <v>0</v>
      </c>
      <c r="V460" s="2">
        <f t="shared" si="180"/>
        <v>918.44533271508192</v>
      </c>
      <c r="W460" s="19">
        <f t="shared" si="181"/>
        <v>397.59538212774106</v>
      </c>
      <c r="X460" s="20"/>
      <c r="Y460" s="2">
        <f t="shared" si="182"/>
        <v>377.68222906563034</v>
      </c>
      <c r="Z460" s="21">
        <f t="shared" si="183"/>
        <v>3.9494997837838475</v>
      </c>
      <c r="AA460" s="2">
        <f t="shared" si="184"/>
        <v>297.77733036144446</v>
      </c>
      <c r="AB460" s="19">
        <f t="shared" si="187"/>
        <v>82.417208302250259</v>
      </c>
      <c r="AC460" s="2"/>
      <c r="AD460" s="18"/>
      <c r="AE460" s="118"/>
      <c r="AG460" s="2"/>
      <c r="AH460" s="19"/>
      <c r="AI460" s="20"/>
      <c r="AJ460" s="21"/>
      <c r="AK460" s="21"/>
      <c r="AM460" s="19"/>
      <c r="AN460" s="18"/>
      <c r="AO460" s="2"/>
      <c r="AP460" s="18"/>
      <c r="AQ460" s="118"/>
      <c r="AS460" s="2"/>
      <c r="AT460" s="19"/>
      <c r="AU460" s="20"/>
      <c r="AV460" s="21"/>
      <c r="AW460" s="21"/>
    </row>
    <row r="461" spans="1:49" x14ac:dyDescent="0.25">
      <c r="A461" s="1">
        <f t="shared" si="170"/>
        <v>435</v>
      </c>
      <c r="B461" s="19">
        <f t="shared" si="171"/>
        <v>225.63476497871625</v>
      </c>
      <c r="C461" s="18">
        <f t="shared" si="185"/>
        <v>6.6510821810336642</v>
      </c>
      <c r="D461" s="2">
        <f t="shared" si="164"/>
        <v>0.94469154802875821</v>
      </c>
      <c r="E461" s="18">
        <f t="shared" si="172"/>
        <v>6.666827040167477</v>
      </c>
      <c r="F461" s="21">
        <f t="shared" si="165"/>
        <v>3.2907667699353249</v>
      </c>
      <c r="G461" s="1">
        <f t="shared" si="166"/>
        <v>0</v>
      </c>
      <c r="H461" s="2">
        <f t="shared" si="162"/>
        <v>524.50707387076989</v>
      </c>
      <c r="I461" s="19">
        <f t="shared" si="188"/>
        <v>227.05933933799562</v>
      </c>
      <c r="J461" s="20">
        <f t="shared" si="167"/>
        <v>0.91868440010499242</v>
      </c>
      <c r="K461" s="21">
        <f t="shared" si="168"/>
        <v>207.10696298604324</v>
      </c>
      <c r="L461" s="21">
        <f t="shared" si="163"/>
        <v>2.6052908745521872</v>
      </c>
      <c r="M461" s="2">
        <f t="shared" si="173"/>
        <v>162.16036090832782</v>
      </c>
      <c r="N461" s="19">
        <f t="shared" si="186"/>
        <v>328.00984180098163</v>
      </c>
      <c r="O461" s="1">
        <f t="shared" si="174"/>
        <v>435</v>
      </c>
      <c r="P461" s="19">
        <f t="shared" si="175"/>
        <v>397.59538212774106</v>
      </c>
      <c r="Q461" s="18">
        <f t="shared" si="176"/>
        <v>8.2084683174960666</v>
      </c>
      <c r="R461" s="2">
        <f t="shared" si="177"/>
        <v>0.9554560971021081</v>
      </c>
      <c r="S461" s="18">
        <f t="shared" si="178"/>
        <v>8.2243925857811018</v>
      </c>
      <c r="T461" s="18">
        <f t="shared" si="179"/>
        <v>4.9761062840155006</v>
      </c>
      <c r="U461" s="1">
        <f t="shared" si="169"/>
        <v>0</v>
      </c>
      <c r="V461" s="2">
        <f t="shared" si="180"/>
        <v>923.4214389990974</v>
      </c>
      <c r="W461" s="19">
        <f t="shared" si="181"/>
        <v>399.74954069224992</v>
      </c>
      <c r="X461" s="20"/>
      <c r="Y461" s="2">
        <f t="shared" si="182"/>
        <v>379.83688308660908</v>
      </c>
      <c r="Z461" s="21">
        <f t="shared" si="183"/>
        <v>3.9648385527738874</v>
      </c>
      <c r="AA461" s="2">
        <f t="shared" si="184"/>
        <v>299.49371068732057</v>
      </c>
      <c r="AB461" s="19">
        <f t="shared" si="187"/>
        <v>82.507421731509524</v>
      </c>
      <c r="AC461" s="2"/>
      <c r="AD461" s="18"/>
      <c r="AE461" s="118"/>
      <c r="AG461" s="2"/>
      <c r="AH461" s="19"/>
      <c r="AI461" s="20"/>
      <c r="AJ461" s="21"/>
      <c r="AK461" s="21"/>
      <c r="AM461" s="19"/>
      <c r="AN461" s="18"/>
      <c r="AO461" s="2"/>
      <c r="AP461" s="18"/>
      <c r="AQ461" s="118"/>
      <c r="AS461" s="2"/>
      <c r="AT461" s="19"/>
      <c r="AU461" s="20"/>
      <c r="AV461" s="21"/>
      <c r="AW461" s="21"/>
    </row>
    <row r="462" spans="1:49" x14ac:dyDescent="0.25">
      <c r="A462" s="1">
        <f t="shared" si="170"/>
        <v>436</v>
      </c>
      <c r="B462" s="19">
        <f t="shared" si="171"/>
        <v>227.05933933799562</v>
      </c>
      <c r="C462" s="18">
        <f t="shared" si="185"/>
        <v>6.666827040167477</v>
      </c>
      <c r="D462" s="2">
        <f t="shared" si="164"/>
        <v>0.94481046917138567</v>
      </c>
      <c r="E462" s="18">
        <f t="shared" si="172"/>
        <v>6.6825738813203337</v>
      </c>
      <c r="F462" s="21">
        <f t="shared" si="165"/>
        <v>3.3060900790568537</v>
      </c>
      <c r="G462" s="1">
        <f t="shared" si="166"/>
        <v>0</v>
      </c>
      <c r="H462" s="2">
        <f t="shared" si="162"/>
        <v>527.81316394982673</v>
      </c>
      <c r="I462" s="19">
        <f t="shared" si="188"/>
        <v>228.49054716442714</v>
      </c>
      <c r="J462" s="20">
        <f t="shared" si="167"/>
        <v>0.91862171807176696</v>
      </c>
      <c r="K462" s="21">
        <f t="shared" si="168"/>
        <v>208.53849999027486</v>
      </c>
      <c r="L462" s="21">
        <f t="shared" si="163"/>
        <v>2.6176126436118596</v>
      </c>
      <c r="M462" s="2">
        <f t="shared" si="173"/>
        <v>163.29352655491303</v>
      </c>
      <c r="N462" s="19">
        <f t="shared" si="186"/>
        <v>328.12091624035526</v>
      </c>
      <c r="O462" s="1">
        <f t="shared" si="174"/>
        <v>436</v>
      </c>
      <c r="P462" s="19">
        <f t="shared" si="175"/>
        <v>399.74954069224992</v>
      </c>
      <c r="Q462" s="18">
        <f t="shared" si="176"/>
        <v>8.2243925857811018</v>
      </c>
      <c r="R462" s="2">
        <f t="shared" si="177"/>
        <v>0.9555593558098211</v>
      </c>
      <c r="S462" s="18">
        <f t="shared" si="178"/>
        <v>8.2403185750445989</v>
      </c>
      <c r="T462" s="18">
        <f t="shared" si="179"/>
        <v>4.9951061190544346</v>
      </c>
      <c r="U462" s="1">
        <f t="shared" si="169"/>
        <v>0</v>
      </c>
      <c r="V462" s="2">
        <f t="shared" si="180"/>
        <v>928.4165451181517</v>
      </c>
      <c r="W462" s="19">
        <f t="shared" si="181"/>
        <v>401.91192429357216</v>
      </c>
      <c r="X462" s="20"/>
      <c r="Y462" s="2">
        <f t="shared" si="182"/>
        <v>381.99976403615966</v>
      </c>
      <c r="Z462" s="21">
        <f t="shared" si="183"/>
        <v>3.9802087123617151</v>
      </c>
      <c r="AA462" s="2">
        <f t="shared" si="184"/>
        <v>301.21674476193601</v>
      </c>
      <c r="AB462" s="19">
        <f t="shared" si="187"/>
        <v>82.597460487340271</v>
      </c>
      <c r="AC462" s="2"/>
      <c r="AD462" s="18"/>
      <c r="AE462" s="118"/>
      <c r="AG462" s="2"/>
      <c r="AH462" s="19"/>
      <c r="AI462" s="20"/>
      <c r="AJ462" s="21"/>
      <c r="AK462" s="21"/>
      <c r="AM462" s="19"/>
      <c r="AN462" s="18"/>
      <c r="AO462" s="2"/>
      <c r="AP462" s="18"/>
      <c r="AQ462" s="118"/>
      <c r="AS462" s="2"/>
      <c r="AT462" s="19"/>
      <c r="AU462" s="20"/>
      <c r="AV462" s="21"/>
      <c r="AW462" s="21"/>
    </row>
    <row r="463" spans="1:49" x14ac:dyDescent="0.25">
      <c r="A463" s="1">
        <f t="shared" si="170"/>
        <v>437</v>
      </c>
      <c r="B463" s="19">
        <f t="shared" si="171"/>
        <v>228.49054716442714</v>
      </c>
      <c r="C463" s="18">
        <f t="shared" si="185"/>
        <v>6.6825738813203337</v>
      </c>
      <c r="D463" s="2">
        <f t="shared" si="164"/>
        <v>0.94492921002475505</v>
      </c>
      <c r="E463" s="18">
        <f t="shared" si="172"/>
        <v>6.6983227014874132</v>
      </c>
      <c r="F463" s="21">
        <f t="shared" si="165"/>
        <v>3.3214504220081462</v>
      </c>
      <c r="G463" s="1">
        <f t="shared" si="166"/>
        <v>0</v>
      </c>
      <c r="H463" s="2">
        <f t="shared" si="162"/>
        <v>531.13461437183491</v>
      </c>
      <c r="I463" s="19">
        <f t="shared" si="188"/>
        <v>229.92840448997183</v>
      </c>
      <c r="J463" s="20">
        <f t="shared" si="167"/>
        <v>0.91855905936477567</v>
      </c>
      <c r="K463" s="21">
        <f t="shared" si="168"/>
        <v>209.97668802300439</v>
      </c>
      <c r="L463" s="21">
        <f t="shared" si="163"/>
        <v>2.6299650360240303</v>
      </c>
      <c r="M463" s="2">
        <f t="shared" si="173"/>
        <v>164.43203955752082</v>
      </c>
      <c r="N463" s="19">
        <f t="shared" si="186"/>
        <v>328.23172894352001</v>
      </c>
      <c r="O463" s="1">
        <f t="shared" si="174"/>
        <v>437</v>
      </c>
      <c r="P463" s="19">
        <f t="shared" si="175"/>
        <v>401.91192429357216</v>
      </c>
      <c r="Q463" s="18">
        <f t="shared" si="176"/>
        <v>8.2403185750445989</v>
      </c>
      <c r="R463" s="2">
        <f t="shared" si="177"/>
        <v>0.95566246179449443</v>
      </c>
      <c r="S463" s="18">
        <f t="shared" si="178"/>
        <v>8.2562462827411736</v>
      </c>
      <c r="T463" s="18">
        <f t="shared" si="179"/>
        <v>5.0141437262219029</v>
      </c>
      <c r="U463" s="1">
        <f t="shared" si="169"/>
        <v>0</v>
      </c>
      <c r="V463" s="2">
        <f t="shared" si="180"/>
        <v>933.43068884437366</v>
      </c>
      <c r="W463" s="19">
        <f t="shared" si="181"/>
        <v>404.08254928327864</v>
      </c>
      <c r="X463" s="20"/>
      <c r="Y463" s="2">
        <f t="shared" si="182"/>
        <v>384.17088826961373</v>
      </c>
      <c r="Z463" s="21">
        <f t="shared" si="183"/>
        <v>3.9956102697230738</v>
      </c>
      <c r="AA463" s="2">
        <f t="shared" si="184"/>
        <v>302.94644617740056</v>
      </c>
      <c r="AB463" s="19">
        <f t="shared" si="187"/>
        <v>82.687325226081072</v>
      </c>
      <c r="AC463" s="2"/>
      <c r="AD463" s="18"/>
      <c r="AE463" s="118"/>
      <c r="AG463" s="2"/>
      <c r="AH463" s="19"/>
      <c r="AI463" s="20"/>
      <c r="AJ463" s="21"/>
      <c r="AK463" s="21"/>
      <c r="AM463" s="19"/>
      <c r="AN463" s="18"/>
      <c r="AO463" s="2"/>
      <c r="AP463" s="18"/>
      <c r="AQ463" s="118"/>
      <c r="AS463" s="2"/>
      <c r="AT463" s="19"/>
      <c r="AU463" s="20"/>
      <c r="AV463" s="21"/>
      <c r="AW463" s="21"/>
    </row>
    <row r="464" spans="1:49" x14ac:dyDescent="0.25">
      <c r="A464" s="1">
        <f t="shared" si="170"/>
        <v>438</v>
      </c>
      <c r="B464" s="19">
        <f t="shared" si="171"/>
        <v>229.92840448997183</v>
      </c>
      <c r="C464" s="18">
        <f t="shared" si="185"/>
        <v>6.6983227014874132</v>
      </c>
      <c r="D464" s="2">
        <f t="shared" si="164"/>
        <v>0.94504777083666569</v>
      </c>
      <c r="E464" s="18">
        <f t="shared" si="172"/>
        <v>6.7140734976680241</v>
      </c>
      <c r="F464" s="21">
        <f t="shared" si="165"/>
        <v>3.3368478069864378</v>
      </c>
      <c r="G464" s="1">
        <f t="shared" si="166"/>
        <v>0</v>
      </c>
      <c r="H464" s="2">
        <f t="shared" si="162"/>
        <v>534.4714621788213</v>
      </c>
      <c r="I464" s="19">
        <f t="shared" si="188"/>
        <v>231.37292735013909</v>
      </c>
      <c r="J464" s="20">
        <f t="shared" si="167"/>
        <v>0.91849642428578016</v>
      </c>
      <c r="K464" s="21">
        <f t="shared" si="168"/>
        <v>211.4215431234295</v>
      </c>
      <c r="L464" s="21">
        <f t="shared" si="163"/>
        <v>2.6423480603882341</v>
      </c>
      <c r="M464" s="2">
        <f t="shared" si="173"/>
        <v>165.57591317673652</v>
      </c>
      <c r="N464" s="19">
        <f t="shared" si="186"/>
        <v>328.34228110842588</v>
      </c>
      <c r="O464" s="1">
        <f t="shared" si="174"/>
        <v>438</v>
      </c>
      <c r="P464" s="19">
        <f t="shared" si="175"/>
        <v>404.08254928327864</v>
      </c>
      <c r="Q464" s="18">
        <f t="shared" si="176"/>
        <v>8.2562462827411736</v>
      </c>
      <c r="R464" s="2">
        <f t="shared" si="177"/>
        <v>0.95576541543199389</v>
      </c>
      <c r="S464" s="18">
        <f t="shared" si="178"/>
        <v>8.2721757063317067</v>
      </c>
      <c r="T464" s="18">
        <f t="shared" si="179"/>
        <v>5.0332191123272576</v>
      </c>
      <c r="U464" s="1">
        <f t="shared" si="169"/>
        <v>0</v>
      </c>
      <c r="V464" s="2">
        <f t="shared" si="180"/>
        <v>938.46390795670095</v>
      </c>
      <c r="W464" s="19">
        <f t="shared" si="181"/>
        <v>406.26143201588786</v>
      </c>
      <c r="X464" s="20"/>
      <c r="Y464" s="2">
        <f t="shared" si="182"/>
        <v>386.35027214525144</v>
      </c>
      <c r="Z464" s="21">
        <f t="shared" si="183"/>
        <v>4.011043232021807</v>
      </c>
      <c r="AA464" s="2">
        <f t="shared" si="184"/>
        <v>304.68282852892514</v>
      </c>
      <c r="AB464" s="19">
        <f t="shared" si="187"/>
        <v>82.777016600408814</v>
      </c>
      <c r="AC464" s="2"/>
      <c r="AD464" s="18"/>
      <c r="AE464" s="118"/>
      <c r="AG464" s="2"/>
      <c r="AH464" s="19"/>
      <c r="AI464" s="20"/>
      <c r="AJ464" s="21"/>
      <c r="AK464" s="21"/>
      <c r="AM464" s="19"/>
      <c r="AN464" s="18"/>
      <c r="AO464" s="2"/>
      <c r="AP464" s="18"/>
      <c r="AQ464" s="118"/>
      <c r="AS464" s="2"/>
      <c r="AT464" s="19"/>
      <c r="AU464" s="20"/>
      <c r="AV464" s="21"/>
      <c r="AW464" s="21"/>
    </row>
    <row r="465" spans="1:49" x14ac:dyDescent="0.25">
      <c r="A465" s="1">
        <f t="shared" si="170"/>
        <v>439</v>
      </c>
      <c r="B465" s="19">
        <f t="shared" si="171"/>
        <v>231.37292735013909</v>
      </c>
      <c r="C465" s="18">
        <f t="shared" si="185"/>
        <v>6.7140734976680241</v>
      </c>
      <c r="D465" s="2">
        <f t="shared" si="164"/>
        <v>0.94516615185812203</v>
      </c>
      <c r="E465" s="18">
        <f t="shared" si="172"/>
        <v>6.7298262668656594</v>
      </c>
      <c r="F465" s="21">
        <f t="shared" si="165"/>
        <v>3.3522822421720555</v>
      </c>
      <c r="G465" s="1">
        <f t="shared" si="166"/>
        <v>0</v>
      </c>
      <c r="H465" s="2">
        <f t="shared" si="162"/>
        <v>537.82374442099331</v>
      </c>
      <c r="I465" s="19">
        <f t="shared" si="188"/>
        <v>232.82413178397979</v>
      </c>
      <c r="J465" s="20">
        <f t="shared" si="167"/>
        <v>0.91843381313299266</v>
      </c>
      <c r="K465" s="21">
        <f t="shared" si="168"/>
        <v>212.87308133428999</v>
      </c>
      <c r="L465" s="21">
        <f t="shared" si="163"/>
        <v>2.6547617252865199</v>
      </c>
      <c r="M465" s="2">
        <f t="shared" si="173"/>
        <v>166.72516067686055</v>
      </c>
      <c r="N465" s="19">
        <f t="shared" si="186"/>
        <v>328.45257392487252</v>
      </c>
      <c r="O465" s="1">
        <f t="shared" si="174"/>
        <v>439</v>
      </c>
      <c r="P465" s="19">
        <f t="shared" si="175"/>
        <v>406.26143201588786</v>
      </c>
      <c r="Q465" s="18">
        <f t="shared" si="176"/>
        <v>8.2721757063317067</v>
      </c>
      <c r="R465" s="2">
        <f t="shared" si="177"/>
        <v>0.95586821709753644</v>
      </c>
      <c r="S465" s="18">
        <f t="shared" si="178"/>
        <v>8.288106843283332</v>
      </c>
      <c r="T465" s="18">
        <f t="shared" si="179"/>
        <v>5.0523322841685081</v>
      </c>
      <c r="U465" s="1">
        <f t="shared" si="169"/>
        <v>0</v>
      </c>
      <c r="V465" s="2">
        <f t="shared" si="180"/>
        <v>943.51624024086948</v>
      </c>
      <c r="W465" s="19">
        <f t="shared" si="181"/>
        <v>408.44858884886122</v>
      </c>
      <c r="X465" s="20"/>
      <c r="Y465" s="2">
        <f t="shared" si="182"/>
        <v>388.53793202429642</v>
      </c>
      <c r="Z465" s="21">
        <f t="shared" si="183"/>
        <v>4.0265076064099139</v>
      </c>
      <c r="AA465" s="2">
        <f t="shared" si="184"/>
        <v>306.4259054148169</v>
      </c>
      <c r="AB465" s="19">
        <f t="shared" si="187"/>
        <v>82.866535259365804</v>
      </c>
      <c r="AC465" s="2"/>
      <c r="AD465" s="18"/>
      <c r="AE465" s="118"/>
      <c r="AG465" s="2"/>
      <c r="AH465" s="19"/>
      <c r="AI465" s="20"/>
      <c r="AJ465" s="21"/>
      <c r="AK465" s="21"/>
      <c r="AM465" s="19"/>
      <c r="AN465" s="18"/>
      <c r="AO465" s="2"/>
      <c r="AP465" s="18"/>
      <c r="AQ465" s="118"/>
      <c r="AS465" s="2"/>
      <c r="AT465" s="19"/>
      <c r="AU465" s="20"/>
      <c r="AV465" s="21"/>
      <c r="AW465" s="21"/>
    </row>
    <row r="466" spans="1:49" x14ac:dyDescent="0.25">
      <c r="A466" s="1">
        <f t="shared" si="170"/>
        <v>440</v>
      </c>
      <c r="B466" s="19">
        <f t="shared" si="171"/>
        <v>232.82413178397979</v>
      </c>
      <c r="C466" s="18">
        <f t="shared" si="185"/>
        <v>6.7298262668656594</v>
      </c>
      <c r="D466" s="2">
        <f t="shared" si="164"/>
        <v>0.94528435334325789</v>
      </c>
      <c r="E466" s="18">
        <f t="shared" si="172"/>
        <v>6.745581006088047</v>
      </c>
      <c r="F466" s="21">
        <f t="shared" si="165"/>
        <v>3.3677537357284817</v>
      </c>
      <c r="G466" s="1">
        <f t="shared" si="166"/>
        <v>0</v>
      </c>
      <c r="H466" s="2">
        <f t="shared" si="162"/>
        <v>541.19149815672176</v>
      </c>
      <c r="I466" s="19">
        <f t="shared" si="188"/>
        <v>234.28203383407867</v>
      </c>
      <c r="J466" s="20">
        <f t="shared" si="167"/>
        <v>0.91837122620111056</v>
      </c>
      <c r="K466" s="21">
        <f t="shared" si="168"/>
        <v>214.33131870186043</v>
      </c>
      <c r="L466" s="21">
        <f t="shared" si="163"/>
        <v>2.6672060392835162</v>
      </c>
      <c r="M466" s="2">
        <f t="shared" si="173"/>
        <v>167.87979532590103</v>
      </c>
      <c r="N466" s="19">
        <f t="shared" si="186"/>
        <v>328.56260857458307</v>
      </c>
      <c r="O466" s="1">
        <f t="shared" si="174"/>
        <v>440</v>
      </c>
      <c r="P466" s="19">
        <f t="shared" si="175"/>
        <v>408.44858884886122</v>
      </c>
      <c r="Q466" s="18">
        <f t="shared" si="176"/>
        <v>8.288106843283332</v>
      </c>
      <c r="R466" s="2">
        <f t="shared" si="177"/>
        <v>0.95597086716568214</v>
      </c>
      <c r="S466" s="18">
        <f t="shared" si="178"/>
        <v>8.304039691069427</v>
      </c>
      <c r="T466" s="18">
        <f t="shared" si="179"/>
        <v>5.0714832485323491</v>
      </c>
      <c r="U466" s="1">
        <f t="shared" si="169"/>
        <v>0</v>
      </c>
      <c r="V466" s="2">
        <f t="shared" si="180"/>
        <v>948.58772348940181</v>
      </c>
      <c r="W466" s="19">
        <f t="shared" si="181"/>
        <v>410.64403614259817</v>
      </c>
      <c r="X466" s="20"/>
      <c r="Y466" s="2">
        <f t="shared" si="182"/>
        <v>390.73388427091095</v>
      </c>
      <c r="Z466" s="21">
        <f t="shared" si="183"/>
        <v>4.0420034000275722</v>
      </c>
      <c r="AA466" s="2">
        <f t="shared" si="184"/>
        <v>308.17569043647387</v>
      </c>
      <c r="AB466" s="19">
        <f t="shared" si="187"/>
        <v>82.95588184838661</v>
      </c>
      <c r="AC466" s="2"/>
      <c r="AD466" s="18"/>
      <c r="AE466" s="118"/>
      <c r="AG466" s="2"/>
      <c r="AH466" s="19"/>
      <c r="AI466" s="20"/>
      <c r="AJ466" s="21"/>
      <c r="AK466" s="21"/>
      <c r="AM466" s="19"/>
      <c r="AN466" s="18"/>
      <c r="AO466" s="2"/>
      <c r="AP466" s="18"/>
      <c r="AQ466" s="118"/>
      <c r="AS466" s="2"/>
      <c r="AT466" s="19"/>
      <c r="AU466" s="20"/>
      <c r="AV466" s="21"/>
      <c r="AW466" s="21"/>
    </row>
    <row r="467" spans="1:49" x14ac:dyDescent="0.25">
      <c r="A467" s="1">
        <f t="shared" si="170"/>
        <v>441</v>
      </c>
      <c r="B467" s="19">
        <f t="shared" si="171"/>
        <v>234.28203383407867</v>
      </c>
      <c r="C467" s="18">
        <f t="shared" si="185"/>
        <v>6.745581006088047</v>
      </c>
      <c r="D467" s="2">
        <f t="shared" si="164"/>
        <v>0.94540237554926199</v>
      </c>
      <c r="E467" s="18">
        <f t="shared" si="172"/>
        <v>6.7613377123472009</v>
      </c>
      <c r="F467" s="21">
        <f t="shared" si="165"/>
        <v>3.383262295802433</v>
      </c>
      <c r="G467" s="1">
        <f t="shared" si="166"/>
        <v>0</v>
      </c>
      <c r="H467" s="2">
        <f t="shared" si="162"/>
        <v>544.57476045252417</v>
      </c>
      <c r="I467" s="19">
        <f t="shared" si="188"/>
        <v>235.74664954654725</v>
      </c>
      <c r="J467" s="20">
        <f t="shared" si="167"/>
        <v>0.9183086637813489</v>
      </c>
      <c r="K467" s="21">
        <f t="shared" si="168"/>
        <v>215.79627127594287</v>
      </c>
      <c r="L467" s="21">
        <f t="shared" si="163"/>
        <v>2.6796810109265121</v>
      </c>
      <c r="M467" s="2">
        <f t="shared" si="173"/>
        <v>169.03983039556618</v>
      </c>
      <c r="N467" s="19">
        <f t="shared" si="186"/>
        <v>328.67238623127702</v>
      </c>
      <c r="O467" s="1">
        <f t="shared" si="174"/>
        <v>441</v>
      </c>
      <c r="P467" s="19">
        <f t="shared" si="175"/>
        <v>410.64403614259817</v>
      </c>
      <c r="Q467" s="18">
        <f t="shared" si="176"/>
        <v>8.304039691069427</v>
      </c>
      <c r="R467" s="2">
        <f t="shared" si="177"/>
        <v>0.95607336601032566</v>
      </c>
      <c r="S467" s="18">
        <f t="shared" si="178"/>
        <v>8.3199742471695988</v>
      </c>
      <c r="T467" s="18">
        <f t="shared" si="179"/>
        <v>5.0906720121942186</v>
      </c>
      <c r="U467" s="1">
        <f t="shared" si="169"/>
        <v>0</v>
      </c>
      <c r="V467" s="2">
        <f t="shared" si="180"/>
        <v>953.67839550159601</v>
      </c>
      <c r="W467" s="19">
        <f t="shared" si="181"/>
        <v>412.84779026043117</v>
      </c>
      <c r="X467" s="20"/>
      <c r="Y467" s="2">
        <f t="shared" si="182"/>
        <v>392.93814525219102</v>
      </c>
      <c r="Z467" s="21">
        <f t="shared" si="183"/>
        <v>4.0575306200031962</v>
      </c>
      <c r="AA467" s="2">
        <f t="shared" si="184"/>
        <v>309.93219719838004</v>
      </c>
      <c r="AB467" s="19">
        <f t="shared" si="187"/>
        <v>83.045057009324694</v>
      </c>
      <c r="AC467" s="2"/>
      <c r="AD467" s="18"/>
      <c r="AE467" s="118"/>
      <c r="AG467" s="2"/>
      <c r="AH467" s="19"/>
      <c r="AI467" s="20"/>
      <c r="AJ467" s="21"/>
      <c r="AK467" s="21"/>
      <c r="AM467" s="19"/>
      <c r="AN467" s="18"/>
      <c r="AO467" s="2"/>
      <c r="AP467" s="18"/>
      <c r="AQ467" s="118"/>
      <c r="AS467" s="2"/>
      <c r="AT467" s="19"/>
      <c r="AU467" s="20"/>
      <c r="AV467" s="21"/>
      <c r="AW467" s="21"/>
    </row>
    <row r="468" spans="1:49" x14ac:dyDescent="0.25">
      <c r="A468" s="1">
        <f t="shared" si="170"/>
        <v>442</v>
      </c>
      <c r="B468" s="19">
        <f t="shared" si="171"/>
        <v>235.74664954654725</v>
      </c>
      <c r="C468" s="18">
        <f t="shared" si="185"/>
        <v>6.7613377123472009</v>
      </c>
      <c r="D468" s="2">
        <f t="shared" si="164"/>
        <v>0.94552021873630521</v>
      </c>
      <c r="E468" s="18">
        <f t="shared" si="172"/>
        <v>6.7770963826594723</v>
      </c>
      <c r="F468" s="21">
        <f t="shared" si="165"/>
        <v>3.3988079305239283</v>
      </c>
      <c r="G468" s="1">
        <f t="shared" si="166"/>
        <v>0</v>
      </c>
      <c r="H468" s="2">
        <f t="shared" si="162"/>
        <v>547.97356838304813</v>
      </c>
      <c r="I468" s="19">
        <f t="shared" si="188"/>
        <v>237.21799497101651</v>
      </c>
      <c r="J468" s="20">
        <f t="shared" si="167"/>
        <v>0.91824612616147427</v>
      </c>
      <c r="K468" s="21">
        <f t="shared" si="168"/>
        <v>217.26795510985974</v>
      </c>
      <c r="L468" s="21">
        <f t="shared" si="163"/>
        <v>2.6921866487455262</v>
      </c>
      <c r="M468" s="2">
        <f t="shared" si="173"/>
        <v>170.2052791612569</v>
      </c>
      <c r="N468" s="19">
        <f t="shared" si="186"/>
        <v>328.78190806074207</v>
      </c>
      <c r="O468" s="1">
        <f t="shared" si="174"/>
        <v>442</v>
      </c>
      <c r="P468" s="19">
        <f t="shared" si="175"/>
        <v>412.84779026043117</v>
      </c>
      <c r="Q468" s="18">
        <f t="shared" si="176"/>
        <v>8.3199742471695988</v>
      </c>
      <c r="R468" s="2">
        <f t="shared" si="177"/>
        <v>0.9561757140046887</v>
      </c>
      <c r="S468" s="18">
        <f t="shared" si="178"/>
        <v>8.3359105090696772</v>
      </c>
      <c r="T468" s="18">
        <f t="shared" si="179"/>
        <v>5.109898581918328</v>
      </c>
      <c r="U468" s="1">
        <f t="shared" si="169"/>
        <v>0</v>
      </c>
      <c r="V468" s="2">
        <f t="shared" si="180"/>
        <v>958.7882940835143</v>
      </c>
      <c r="W468" s="19">
        <f t="shared" si="181"/>
        <v>415.05986756862092</v>
      </c>
      <c r="X468" s="20"/>
      <c r="Y468" s="2">
        <f t="shared" si="182"/>
        <v>395.15073133816168</v>
      </c>
      <c r="Z468" s="21">
        <f t="shared" si="183"/>
        <v>4.0730892734534736</v>
      </c>
      <c r="AA468" s="2">
        <f t="shared" si="184"/>
        <v>311.69543930810016</v>
      </c>
      <c r="AB468" s="19">
        <f t="shared" si="187"/>
        <v>83.134061380478769</v>
      </c>
      <c r="AC468" s="2"/>
      <c r="AD468" s="18"/>
      <c r="AE468" s="118"/>
      <c r="AG468" s="2"/>
      <c r="AH468" s="19"/>
      <c r="AI468" s="20"/>
      <c r="AJ468" s="21"/>
      <c r="AK468" s="21"/>
      <c r="AM468" s="19"/>
      <c r="AN468" s="18"/>
      <c r="AO468" s="2"/>
      <c r="AP468" s="18"/>
      <c r="AQ468" s="118"/>
      <c r="AS468" s="2"/>
      <c r="AT468" s="19"/>
      <c r="AU468" s="20"/>
      <c r="AV468" s="21"/>
      <c r="AW468" s="21"/>
    </row>
    <row r="469" spans="1:49" x14ac:dyDescent="0.25">
      <c r="A469" s="1">
        <f t="shared" si="170"/>
        <v>443</v>
      </c>
      <c r="B469" s="19">
        <f t="shared" si="171"/>
        <v>237.21799497101651</v>
      </c>
      <c r="C469" s="18">
        <f t="shared" si="185"/>
        <v>6.7770963826594723</v>
      </c>
      <c r="D469" s="2">
        <f t="shared" si="164"/>
        <v>0.94563788316746777</v>
      </c>
      <c r="E469" s="18">
        <f t="shared" si="172"/>
        <v>6.7928570140455964</v>
      </c>
      <c r="F469" s="21">
        <f t="shared" si="165"/>
        <v>3.4143906480063624</v>
      </c>
      <c r="G469" s="1">
        <f t="shared" si="166"/>
        <v>0</v>
      </c>
      <c r="H469" s="2">
        <f t="shared" si="162"/>
        <v>551.38795903105449</v>
      </c>
      <c r="I469" s="19">
        <f t="shared" si="188"/>
        <v>238.69608616062965</v>
      </c>
      <c r="J469" s="20">
        <f t="shared" si="167"/>
        <v>0.91818361362583734</v>
      </c>
      <c r="K469" s="21">
        <f t="shared" si="168"/>
        <v>218.74638626044649</v>
      </c>
      <c r="L469" s="21">
        <f t="shared" si="163"/>
        <v>2.7047229612533803</v>
      </c>
      <c r="M469" s="2">
        <f t="shared" si="173"/>
        <v>171.37615490205923</v>
      </c>
      <c r="N469" s="19">
        <f t="shared" si="186"/>
        <v>328.89117522090555</v>
      </c>
      <c r="O469" s="1">
        <f t="shared" si="174"/>
        <v>443</v>
      </c>
      <c r="P469" s="19">
        <f t="shared" si="175"/>
        <v>415.05986756862092</v>
      </c>
      <c r="Q469" s="18">
        <f t="shared" si="176"/>
        <v>8.3359105090696772</v>
      </c>
      <c r="R469" s="2">
        <f t="shared" si="177"/>
        <v>0.9562779115213117</v>
      </c>
      <c r="S469" s="18">
        <f t="shared" si="178"/>
        <v>8.3518484742616987</v>
      </c>
      <c r="T469" s="18">
        <f t="shared" si="179"/>
        <v>5.1291629644577039</v>
      </c>
      <c r="U469" s="1">
        <f t="shared" si="169"/>
        <v>0</v>
      </c>
      <c r="V469" s="2">
        <f t="shared" si="180"/>
        <v>963.91745704797199</v>
      </c>
      <c r="W469" s="19">
        <f t="shared" si="181"/>
        <v>417.28028443635151</v>
      </c>
      <c r="X469" s="20"/>
      <c r="Y469" s="2">
        <f t="shared" si="182"/>
        <v>397.37165890177187</v>
      </c>
      <c r="Z469" s="21">
        <f t="shared" si="183"/>
        <v>4.0886793674834019</v>
      </c>
      <c r="AA469" s="2">
        <f t="shared" si="184"/>
        <v>313.46543037627481</v>
      </c>
      <c r="AB469" s="19">
        <f t="shared" si="187"/>
        <v>83.222895596618883</v>
      </c>
      <c r="AC469" s="2"/>
      <c r="AD469" s="18"/>
      <c r="AE469" s="118"/>
      <c r="AG469" s="2"/>
      <c r="AH469" s="19"/>
      <c r="AI469" s="20"/>
      <c r="AJ469" s="21"/>
      <c r="AK469" s="21"/>
      <c r="AM469" s="19"/>
      <c r="AN469" s="18"/>
      <c r="AO469" s="2"/>
      <c r="AP469" s="18"/>
      <c r="AQ469" s="118"/>
      <c r="AS469" s="2"/>
      <c r="AT469" s="19"/>
      <c r="AU469" s="20"/>
      <c r="AV469" s="21"/>
      <c r="AW469" s="21"/>
    </row>
    <row r="470" spans="1:49" x14ac:dyDescent="0.25">
      <c r="A470" s="1">
        <f t="shared" si="170"/>
        <v>444</v>
      </c>
      <c r="B470" s="19">
        <f t="shared" si="171"/>
        <v>238.69608616062965</v>
      </c>
      <c r="C470" s="18">
        <f t="shared" si="185"/>
        <v>6.7928570140455964</v>
      </c>
      <c r="D470" s="2">
        <f t="shared" si="164"/>
        <v>0.94575536910866975</v>
      </c>
      <c r="E470" s="18">
        <f t="shared" si="172"/>
        <v>6.8086196035307411</v>
      </c>
      <c r="F470" s="21">
        <f t="shared" si="165"/>
        <v>3.4300104563465692</v>
      </c>
      <c r="G470" s="1">
        <f t="shared" si="166"/>
        <v>0</v>
      </c>
      <c r="H470" s="2">
        <f t="shared" si="162"/>
        <v>554.81796948740111</v>
      </c>
      <c r="I470" s="19">
        <f t="shared" si="188"/>
        <v>240.1809391720351</v>
      </c>
      <c r="J470" s="20">
        <f t="shared" si="167"/>
        <v>0.91812112645540556</v>
      </c>
      <c r="K470" s="21">
        <f t="shared" si="168"/>
        <v>220.23158078804454</v>
      </c>
      <c r="L470" s="21">
        <f t="shared" si="163"/>
        <v>2.7172899569457662</v>
      </c>
      <c r="M470" s="2">
        <f t="shared" si="173"/>
        <v>172.55247090073703</v>
      </c>
      <c r="N470" s="19">
        <f t="shared" si="186"/>
        <v>329.00018886190463</v>
      </c>
      <c r="O470" s="1">
        <f t="shared" si="174"/>
        <v>444</v>
      </c>
      <c r="P470" s="19">
        <f t="shared" si="175"/>
        <v>417.28028443635151</v>
      </c>
      <c r="Q470" s="18">
        <f t="shared" si="176"/>
        <v>8.3518484742616987</v>
      </c>
      <c r="R470" s="2">
        <f t="shared" si="177"/>
        <v>0.95637995893204641</v>
      </c>
      <c r="S470" s="18">
        <f t="shared" si="178"/>
        <v>8.3677881402438992</v>
      </c>
      <c r="T470" s="18">
        <f t="shared" si="179"/>
        <v>5.1484651665542414</v>
      </c>
      <c r="U470" s="1">
        <f t="shared" si="169"/>
        <v>0</v>
      </c>
      <c r="V470" s="2">
        <f t="shared" si="180"/>
        <v>969.06592221452627</v>
      </c>
      <c r="W470" s="19">
        <f t="shared" si="181"/>
        <v>419.50905723572566</v>
      </c>
      <c r="X470" s="20"/>
      <c r="Y470" s="2">
        <f t="shared" si="182"/>
        <v>399.60094431888984</v>
      </c>
      <c r="Z470" s="21">
        <f t="shared" si="183"/>
        <v>4.1043009091863443</v>
      </c>
      <c r="AA470" s="2">
        <f t="shared" si="184"/>
        <v>315.24218401661523</v>
      </c>
      <c r="AB470" s="19">
        <f t="shared" si="187"/>
        <v>83.311560289012363</v>
      </c>
      <c r="AC470" s="2"/>
      <c r="AD470" s="18"/>
      <c r="AE470" s="118"/>
      <c r="AG470" s="2"/>
      <c r="AH470" s="19"/>
      <c r="AI470" s="20"/>
      <c r="AJ470" s="21"/>
      <c r="AK470" s="21"/>
      <c r="AM470" s="19"/>
      <c r="AN470" s="18"/>
      <c r="AO470" s="2"/>
      <c r="AP470" s="18"/>
      <c r="AQ470" s="118"/>
      <c r="AS470" s="2"/>
      <c r="AT470" s="19"/>
      <c r="AU470" s="20"/>
      <c r="AV470" s="21"/>
      <c r="AW470" s="21"/>
    </row>
    <row r="471" spans="1:49" x14ac:dyDescent="0.25">
      <c r="A471" s="1">
        <f t="shared" si="170"/>
        <v>445</v>
      </c>
      <c r="B471" s="19">
        <f t="shared" si="171"/>
        <v>240.1809391720351</v>
      </c>
      <c r="C471" s="18">
        <f t="shared" si="185"/>
        <v>6.8086196035307411</v>
      </c>
      <c r="D471" s="2">
        <f t="shared" si="164"/>
        <v>0.94587267682860088</v>
      </c>
      <c r="E471" s="18">
        <f t="shared" si="172"/>
        <v>6.8243841481445511</v>
      </c>
      <c r="F471" s="21">
        <f t="shared" si="165"/>
        <v>3.4456673636248958</v>
      </c>
      <c r="G471" s="1">
        <f t="shared" si="166"/>
        <v>0</v>
      </c>
      <c r="H471" s="2">
        <f t="shared" si="162"/>
        <v>558.26363685102604</v>
      </c>
      <c r="I471" s="19">
        <f t="shared" si="188"/>
        <v>241.67257006537923</v>
      </c>
      <c r="J471" s="20">
        <f t="shared" si="167"/>
        <v>0.91805866492779598</v>
      </c>
      <c r="K471" s="21">
        <f t="shared" si="168"/>
        <v>221.72355475649411</v>
      </c>
      <c r="L471" s="21">
        <f t="shared" si="163"/>
        <v>2.7298876443013191</v>
      </c>
      <c r="M471" s="2">
        <f t="shared" si="173"/>
        <v>173.73424044372462</v>
      </c>
      <c r="N471" s="19">
        <f t="shared" si="186"/>
        <v>329.10895012615612</v>
      </c>
      <c r="O471" s="1">
        <f t="shared" si="174"/>
        <v>445</v>
      </c>
      <c r="P471" s="19">
        <f t="shared" si="175"/>
        <v>419.50905723572566</v>
      </c>
      <c r="Q471" s="18">
        <f t="shared" si="176"/>
        <v>8.3677881402438992</v>
      </c>
      <c r="R471" s="2">
        <f t="shared" si="177"/>
        <v>0.95648185660804896</v>
      </c>
      <c r="S471" s="18">
        <f t="shared" si="178"/>
        <v>8.3837295045206996</v>
      </c>
      <c r="T471" s="18">
        <f t="shared" si="179"/>
        <v>5.1678051949387234</v>
      </c>
      <c r="U471" s="1">
        <f t="shared" si="169"/>
        <v>0</v>
      </c>
      <c r="V471" s="2">
        <f t="shared" si="180"/>
        <v>974.23372740946502</v>
      </c>
      <c r="W471" s="19">
        <f t="shared" si="181"/>
        <v>421.74620234175973</v>
      </c>
      <c r="X471" s="20"/>
      <c r="Y471" s="2">
        <f t="shared" si="182"/>
        <v>401.83860396829829</v>
      </c>
      <c r="Z471" s="21">
        <f t="shared" si="183"/>
        <v>4.1199539056440555</v>
      </c>
      <c r="AA471" s="2">
        <f t="shared" si="184"/>
        <v>317.02571384589839</v>
      </c>
      <c r="AB471" s="19">
        <f t="shared" si="187"/>
        <v>83.400056085449407</v>
      </c>
      <c r="AC471" s="2"/>
      <c r="AD471" s="18"/>
      <c r="AE471" s="118"/>
      <c r="AG471" s="2"/>
      <c r="AH471" s="19"/>
      <c r="AI471" s="20"/>
      <c r="AJ471" s="21"/>
      <c r="AK471" s="21"/>
      <c r="AM471" s="19"/>
      <c r="AN471" s="18"/>
      <c r="AO471" s="2"/>
      <c r="AP471" s="18"/>
      <c r="AQ471" s="118"/>
      <c r="AS471" s="2"/>
      <c r="AT471" s="19"/>
      <c r="AU471" s="20"/>
      <c r="AV471" s="21"/>
      <c r="AW471" s="21"/>
    </row>
    <row r="472" spans="1:49" x14ac:dyDescent="0.25">
      <c r="A472" s="1">
        <f t="shared" si="170"/>
        <v>446</v>
      </c>
      <c r="B472" s="19">
        <f t="shared" si="171"/>
        <v>241.67257006537923</v>
      </c>
      <c r="C472" s="18">
        <f t="shared" si="185"/>
        <v>6.8243841481445511</v>
      </c>
      <c r="D472" s="2">
        <f t="shared" si="164"/>
        <v>0.94598980659865295</v>
      </c>
      <c r="E472" s="18">
        <f t="shared" si="172"/>
        <v>6.8401506449211951</v>
      </c>
      <c r="F472" s="21">
        <f t="shared" si="165"/>
        <v>3.461361377905277</v>
      </c>
      <c r="G472" s="1">
        <f t="shared" si="166"/>
        <v>0</v>
      </c>
      <c r="H472" s="2">
        <f t="shared" si="162"/>
        <v>561.72499822893133</v>
      </c>
      <c r="I472" s="19">
        <f t="shared" si="188"/>
        <v>243.17099490429928</v>
      </c>
      <c r="J472" s="20">
        <f t="shared" si="167"/>
        <v>0.91799622931730673</v>
      </c>
      <c r="K472" s="21">
        <f t="shared" si="168"/>
        <v>223.2223242331271</v>
      </c>
      <c r="L472" s="21">
        <f t="shared" si="163"/>
        <v>2.742516031781693</v>
      </c>
      <c r="M472" s="2">
        <f t="shared" si="173"/>
        <v>174.92147682111928</v>
      </c>
      <c r="N472" s="19">
        <f t="shared" si="186"/>
        <v>329.21746014842512</v>
      </c>
      <c r="O472" s="1">
        <f t="shared" si="174"/>
        <v>446</v>
      </c>
      <c r="P472" s="19">
        <f t="shared" si="175"/>
        <v>421.74620234175973</v>
      </c>
      <c r="Q472" s="18">
        <f t="shared" si="176"/>
        <v>8.3837295045206996</v>
      </c>
      <c r="R472" s="2">
        <f t="shared" si="177"/>
        <v>0.95658360491977157</v>
      </c>
      <c r="S472" s="18">
        <f t="shared" si="178"/>
        <v>8.399672564602696</v>
      </c>
      <c r="T472" s="18">
        <f t="shared" si="179"/>
        <v>5.1871830563308814</v>
      </c>
      <c r="U472" s="1">
        <f t="shared" si="169"/>
        <v>0</v>
      </c>
      <c r="V472" s="2">
        <f t="shared" si="180"/>
        <v>979.42091046579594</v>
      </c>
      <c r="W472" s="19">
        <f t="shared" si="181"/>
        <v>423.99173613237917</v>
      </c>
      <c r="X472" s="20"/>
      <c r="Y472" s="2">
        <f t="shared" si="182"/>
        <v>404.08465423168957</v>
      </c>
      <c r="Z472" s="21">
        <f t="shared" si="183"/>
        <v>4.1356383639267333</v>
      </c>
      <c r="AA472" s="2">
        <f t="shared" si="184"/>
        <v>318.81603348396192</v>
      </c>
      <c r="AB472" s="19">
        <f t="shared" si="187"/>
        <v>83.488383610268528</v>
      </c>
      <c r="AC472" s="2"/>
      <c r="AD472" s="18"/>
      <c r="AE472" s="118"/>
      <c r="AG472" s="2"/>
      <c r="AH472" s="19"/>
      <c r="AI472" s="20"/>
      <c r="AJ472" s="21"/>
      <c r="AK472" s="21"/>
      <c r="AM472" s="19"/>
      <c r="AN472" s="18"/>
      <c r="AO472" s="2"/>
      <c r="AP472" s="18"/>
      <c r="AQ472" s="118"/>
      <c r="AS472" s="2"/>
      <c r="AT472" s="19"/>
      <c r="AU472" s="20"/>
      <c r="AV472" s="21"/>
      <c r="AW472" s="21"/>
    </row>
    <row r="473" spans="1:49" x14ac:dyDescent="0.25">
      <c r="A473" s="1">
        <f t="shared" si="170"/>
        <v>447</v>
      </c>
      <c r="B473" s="19">
        <f t="shared" si="171"/>
        <v>243.17099490429928</v>
      </c>
      <c r="C473" s="18">
        <f t="shared" si="185"/>
        <v>6.8401506449211951</v>
      </c>
      <c r="D473" s="2">
        <f t="shared" si="164"/>
        <v>0.94610675869285144</v>
      </c>
      <c r="E473" s="18">
        <f t="shared" si="172"/>
        <v>6.855919090899409</v>
      </c>
      <c r="F473" s="21">
        <f t="shared" si="165"/>
        <v>3.477092507235291</v>
      </c>
      <c r="G473" s="1">
        <f t="shared" si="166"/>
        <v>0</v>
      </c>
      <c r="H473" s="2">
        <f t="shared" si="162"/>
        <v>565.20209073616661</v>
      </c>
      <c r="I473" s="19">
        <f t="shared" si="188"/>
        <v>244.67622975591627</v>
      </c>
      <c r="J473" s="20">
        <f t="shared" si="167"/>
        <v>0.91793381989494904</v>
      </c>
      <c r="K473" s="21">
        <f t="shared" si="168"/>
        <v>224.72790528875998</v>
      </c>
      <c r="L473" s="21">
        <f t="shared" si="163"/>
        <v>2.7551751278316212</v>
      </c>
      <c r="M473" s="2">
        <f t="shared" si="173"/>
        <v>176.1141933266741</v>
      </c>
      <c r="N473" s="19">
        <f t="shared" si="186"/>
        <v>329.32572005589327</v>
      </c>
      <c r="O473" s="1">
        <f t="shared" si="174"/>
        <v>447</v>
      </c>
      <c r="P473" s="19">
        <f t="shared" si="175"/>
        <v>423.99173613237917</v>
      </c>
      <c r="Q473" s="18">
        <f t="shared" si="176"/>
        <v>8.399672564602696</v>
      </c>
      <c r="R473" s="2">
        <f t="shared" si="177"/>
        <v>0.95668520423695691</v>
      </c>
      <c r="S473" s="18">
        <f t="shared" si="178"/>
        <v>8.415617318006646</v>
      </c>
      <c r="T473" s="18">
        <f t="shared" si="179"/>
        <v>5.2065987574394219</v>
      </c>
      <c r="U473" s="1">
        <f t="shared" si="169"/>
        <v>0</v>
      </c>
      <c r="V473" s="2">
        <f t="shared" si="180"/>
        <v>984.62750922323539</v>
      </c>
      <c r="W473" s="19">
        <f t="shared" si="181"/>
        <v>426.24567498841355</v>
      </c>
      <c r="X473" s="20"/>
      <c r="Y473" s="2">
        <f t="shared" si="182"/>
        <v>406.33911149366082</v>
      </c>
      <c r="Z473" s="21">
        <f t="shared" si="183"/>
        <v>4.1513542910930568</v>
      </c>
      <c r="AA473" s="2">
        <f t="shared" si="184"/>
        <v>320.61315655369918</v>
      </c>
      <c r="AB473" s="19">
        <f t="shared" si="187"/>
        <v>83.576543484381716</v>
      </c>
      <c r="AC473" s="2"/>
      <c r="AD473" s="18"/>
      <c r="AE473" s="118"/>
      <c r="AG473" s="2"/>
      <c r="AH473" s="19"/>
      <c r="AI473" s="20"/>
      <c r="AJ473" s="21"/>
      <c r="AK473" s="21"/>
      <c r="AM473" s="19"/>
      <c r="AN473" s="18"/>
      <c r="AO473" s="2"/>
      <c r="AP473" s="18"/>
      <c r="AQ473" s="118"/>
      <c r="AS473" s="2"/>
      <c r="AT473" s="19"/>
      <c r="AU473" s="20"/>
      <c r="AV473" s="21"/>
      <c r="AW473" s="21"/>
    </row>
    <row r="474" spans="1:49" x14ac:dyDescent="0.25">
      <c r="A474" s="1">
        <f t="shared" si="170"/>
        <v>448</v>
      </c>
      <c r="B474" s="19">
        <f t="shared" si="171"/>
        <v>244.67622975591627</v>
      </c>
      <c r="C474" s="18">
        <f t="shared" si="185"/>
        <v>6.855919090899409</v>
      </c>
      <c r="D474" s="2">
        <f t="shared" si="164"/>
        <v>0.94622353338779175</v>
      </c>
      <c r="E474" s="18">
        <f t="shared" si="172"/>
        <v>6.8716894831225392</v>
      </c>
      <c r="F474" s="21">
        <f t="shared" si="165"/>
        <v>3.4928607596462449</v>
      </c>
      <c r="G474" s="1">
        <f t="shared" si="166"/>
        <v>0</v>
      </c>
      <c r="H474" s="2">
        <f t="shared" ref="H474:H537" si="189">(B474*2.31)+F474-G474</f>
        <v>568.6949514958128</v>
      </c>
      <c r="I474" s="19">
        <f t="shared" si="188"/>
        <v>246.18829069082804</v>
      </c>
      <c r="J474" s="20">
        <f t="shared" si="167"/>
        <v>0.91787143692847872</v>
      </c>
      <c r="K474" s="21">
        <f t="shared" si="168"/>
        <v>226.2403139976868</v>
      </c>
      <c r="L474" s="21">
        <f t="shared" ref="L474:L537" si="190">($C$11*((0.4085*E474/$C$5^2))^2)/64.4</f>
        <v>2.7678649408789977</v>
      </c>
      <c r="M474" s="2">
        <f t="shared" si="173"/>
        <v>177.31240325779055</v>
      </c>
      <c r="N474" s="19">
        <f t="shared" si="186"/>
        <v>329.43373096822597</v>
      </c>
      <c r="O474" s="1">
        <f t="shared" si="174"/>
        <v>448</v>
      </c>
      <c r="P474" s="19">
        <f t="shared" si="175"/>
        <v>426.24567498841355</v>
      </c>
      <c r="Q474" s="18">
        <f t="shared" si="176"/>
        <v>8.415617318006646</v>
      </c>
      <c r="R474" s="2">
        <f t="shared" si="177"/>
        <v>0.9567866549286298</v>
      </c>
      <c r="S474" s="18">
        <f t="shared" si="178"/>
        <v>8.4315637622554558</v>
      </c>
      <c r="T474" s="18">
        <f t="shared" si="179"/>
        <v>5.2260523049620664</v>
      </c>
      <c r="U474" s="1">
        <f t="shared" si="169"/>
        <v>0</v>
      </c>
      <c r="V474" s="2">
        <f t="shared" si="180"/>
        <v>989.85356152819736</v>
      </c>
      <c r="W474" s="19">
        <f t="shared" si="181"/>
        <v>428.50803529359194</v>
      </c>
      <c r="X474" s="20"/>
      <c r="Y474" s="2">
        <f t="shared" si="182"/>
        <v>408.60199214170939</v>
      </c>
      <c r="Z474" s="21">
        <f t="shared" si="183"/>
        <v>4.1671016941902197</v>
      </c>
      <c r="AA474" s="2">
        <f t="shared" si="184"/>
        <v>322.41709668105426</v>
      </c>
      <c r="AB474" s="19">
        <f t="shared" si="187"/>
        <v>83.664536325299395</v>
      </c>
      <c r="AC474" s="2"/>
      <c r="AD474" s="18"/>
      <c r="AE474" s="118"/>
      <c r="AG474" s="2"/>
      <c r="AH474" s="19"/>
      <c r="AI474" s="20"/>
      <c r="AJ474" s="21"/>
      <c r="AK474" s="21"/>
      <c r="AM474" s="19"/>
      <c r="AN474" s="18"/>
      <c r="AO474" s="2"/>
      <c r="AP474" s="18"/>
      <c r="AQ474" s="118"/>
      <c r="AS474" s="2"/>
      <c r="AT474" s="19"/>
      <c r="AU474" s="20"/>
      <c r="AV474" s="21"/>
      <c r="AW474" s="21"/>
    </row>
    <row r="475" spans="1:49" x14ac:dyDescent="0.25">
      <c r="A475" s="1">
        <f t="shared" si="170"/>
        <v>449</v>
      </c>
      <c r="B475" s="19">
        <f t="shared" si="171"/>
        <v>246.18829069082804</v>
      </c>
      <c r="C475" s="18">
        <f t="shared" si="185"/>
        <v>6.8716894831225392</v>
      </c>
      <c r="D475" s="2">
        <f t="shared" ref="D475:D538" si="191">$C$17*I474^$C$18</f>
        <v>0.94634013096257208</v>
      </c>
      <c r="E475" s="18">
        <f t="shared" si="172"/>
        <v>6.8874618186385819</v>
      </c>
      <c r="F475" s="21">
        <f t="shared" ref="F475:F538" si="192">(($C$7*($C$16/12)*(E475)^1.852)/($C$5^4.871)+L475)-G475</f>
        <v>3.5086661431532278</v>
      </c>
      <c r="G475" s="1">
        <f t="shared" ref="G475:G538" si="193">$C$9*($C$16/12)/100</f>
        <v>0</v>
      </c>
      <c r="H475" s="2">
        <f t="shared" si="189"/>
        <v>572.20361763896608</v>
      </c>
      <c r="I475" s="19">
        <f t="shared" si="188"/>
        <v>247.70719378310218</v>
      </c>
      <c r="J475" s="20">
        <f t="shared" ref="J475:J538" si="194">(1-1.27*0.05)*($D$26/((E475*60)/((A475/($C$16/12)+1))))</f>
        <v>0.91780908068242817</v>
      </c>
      <c r="K475" s="21">
        <f t="shared" ref="K475:K538" si="195">K474+(F475*0.433)</f>
        <v>227.75956643767213</v>
      </c>
      <c r="L475" s="21">
        <f t="shared" si="190"/>
        <v>2.7805854793349356</v>
      </c>
      <c r="M475" s="2">
        <f t="shared" si="173"/>
        <v>178.5161199155113</v>
      </c>
      <c r="N475" s="19">
        <f t="shared" si="186"/>
        <v>329.54149399763907</v>
      </c>
      <c r="O475" s="1">
        <f t="shared" si="174"/>
        <v>449</v>
      </c>
      <c r="P475" s="19">
        <f t="shared" si="175"/>
        <v>428.50803529359194</v>
      </c>
      <c r="Q475" s="18">
        <f t="shared" si="176"/>
        <v>8.4315637622554558</v>
      </c>
      <c r="R475" s="2">
        <f t="shared" si="177"/>
        <v>0.95688795736309185</v>
      </c>
      <c r="S475" s="18">
        <f t="shared" si="178"/>
        <v>8.4475118948781738</v>
      </c>
      <c r="T475" s="18">
        <f t="shared" si="179"/>
        <v>5.24554370558561</v>
      </c>
      <c r="U475" s="1">
        <f t="shared" ref="U475:U538" si="196">$C$9*($C$16/12)/100</f>
        <v>0</v>
      </c>
      <c r="V475" s="2">
        <f t="shared" si="180"/>
        <v>995.09910523378301</v>
      </c>
      <c r="W475" s="19">
        <f t="shared" si="181"/>
        <v>430.77883343453811</v>
      </c>
      <c r="X475" s="20"/>
      <c r="Y475" s="2">
        <f t="shared" si="182"/>
        <v>410.87331256622798</v>
      </c>
      <c r="Z475" s="21">
        <f t="shared" si="183"/>
        <v>4.1828805802539906</v>
      </c>
      <c r="AA475" s="2">
        <f t="shared" si="184"/>
        <v>324.22786749501705</v>
      </c>
      <c r="AB475" s="19">
        <f t="shared" si="187"/>
        <v>83.752362747155132</v>
      </c>
      <c r="AC475" s="2"/>
      <c r="AD475" s="18"/>
      <c r="AE475" s="118"/>
      <c r="AG475" s="2"/>
      <c r="AH475" s="19"/>
      <c r="AI475" s="20"/>
      <c r="AJ475" s="21"/>
      <c r="AK475" s="21"/>
      <c r="AM475" s="19"/>
      <c r="AN475" s="18"/>
      <c r="AO475" s="2"/>
      <c r="AP475" s="18"/>
      <c r="AQ475" s="118"/>
      <c r="AS475" s="2"/>
      <c r="AT475" s="19"/>
      <c r="AU475" s="20"/>
      <c r="AV475" s="21"/>
      <c r="AW475" s="21"/>
    </row>
    <row r="476" spans="1:49" x14ac:dyDescent="0.25">
      <c r="A476" s="1">
        <f t="shared" ref="A476:A539" si="197">A475+$C$16/12</f>
        <v>450</v>
      </c>
      <c r="B476" s="19">
        <f t="shared" ref="B476:B539" si="198">I475</f>
        <v>247.70719378310218</v>
      </c>
      <c r="C476" s="18">
        <f t="shared" si="185"/>
        <v>6.8874618186385819</v>
      </c>
      <c r="D476" s="2">
        <f t="shared" si="191"/>
        <v>0.94645655169873133</v>
      </c>
      <c r="E476" s="18">
        <f t="shared" ref="E476:E539" si="199">C476+D476/60</f>
        <v>6.9032360945002278</v>
      </c>
      <c r="F476" s="21">
        <f t="shared" si="192"/>
        <v>3.5245086657551905</v>
      </c>
      <c r="G476" s="1">
        <f t="shared" si="193"/>
        <v>0</v>
      </c>
      <c r="H476" s="2">
        <f t="shared" si="189"/>
        <v>575.72812630472129</v>
      </c>
      <c r="I476" s="19">
        <f t="shared" si="188"/>
        <v>249.23295511026896</v>
      </c>
      <c r="J476" s="20">
        <f t="shared" si="194"/>
        <v>0.91774675141813555</v>
      </c>
      <c r="K476" s="21">
        <f t="shared" si="195"/>
        <v>229.28567868994412</v>
      </c>
      <c r="L476" s="21">
        <f t="shared" si="190"/>
        <v>2.7933367515938459</v>
      </c>
      <c r="M476" s="2">
        <f t="shared" ref="M476:M539" si="200">(L476/2.31)+M475</f>
        <v>179.72535660451297</v>
      </c>
      <c r="N476" s="19">
        <f t="shared" si="186"/>
        <v>329.64901024896454</v>
      </c>
      <c r="O476" s="1">
        <f t="shared" ref="O476:O539" si="201">O475+$C$16/12</f>
        <v>450</v>
      </c>
      <c r="P476" s="19">
        <f t="shared" ref="P476:P539" si="202">W475</f>
        <v>430.77883343453811</v>
      </c>
      <c r="Q476" s="18">
        <f t="shared" ref="Q476:Q539" si="203">S475</f>
        <v>8.4475118948781738</v>
      </c>
      <c r="R476" s="2">
        <f t="shared" ref="R476:R539" si="204">$C$17*W475^$C$18</f>
        <v>0.95698911190791425</v>
      </c>
      <c r="S476" s="18">
        <f t="shared" ref="S476:S539" si="205">Q476+R476/60</f>
        <v>8.4634617134099717</v>
      </c>
      <c r="T476" s="18">
        <f t="shared" ref="T476:T539" si="206">(($C$7*($C$16/12)*(S476)^1.852)/($C$5^4.871)+Z476)-U476</f>
        <v>5.265072965985933</v>
      </c>
      <c r="U476" s="1">
        <f t="shared" si="196"/>
        <v>0</v>
      </c>
      <c r="V476" s="2">
        <f t="shared" ref="V476:V539" si="207">(P476*2.31)+T476-U476</f>
        <v>1000.3641781997691</v>
      </c>
      <c r="W476" s="19">
        <f t="shared" ref="W476:W539" si="208">V476/2.31</f>
        <v>433.05808580076581</v>
      </c>
      <c r="X476" s="20"/>
      <c r="Y476" s="2">
        <f t="shared" ref="Y476:Y539" si="209">Y475+(T476*0.433)</f>
        <v>413.15308916049992</v>
      </c>
      <c r="Z476" s="21">
        <f t="shared" ref="Z476:Z539" si="210">($C$11*((0.4085*S476/$C$5^2))^2)/64.4</f>
        <v>4.1986909563087309</v>
      </c>
      <c r="AA476" s="2">
        <f t="shared" ref="AA476:AA539" si="211">(Z476/2.31)+AA475</f>
        <v>326.04548262761824</v>
      </c>
      <c r="AB476" s="19">
        <f t="shared" si="187"/>
        <v>83.840023360730157</v>
      </c>
      <c r="AC476" s="2"/>
      <c r="AD476" s="18"/>
      <c r="AE476" s="118"/>
      <c r="AG476" s="2"/>
      <c r="AH476" s="19"/>
      <c r="AI476" s="20"/>
      <c r="AJ476" s="21"/>
      <c r="AK476" s="21"/>
      <c r="AM476" s="19"/>
      <c r="AN476" s="18"/>
      <c r="AO476" s="2"/>
      <c r="AP476" s="18"/>
      <c r="AQ476" s="118"/>
      <c r="AS476" s="2"/>
      <c r="AT476" s="19"/>
      <c r="AU476" s="20"/>
      <c r="AV476" s="21"/>
      <c r="AW476" s="21"/>
    </row>
    <row r="477" spans="1:49" x14ac:dyDescent="0.25">
      <c r="A477" s="1">
        <f t="shared" si="197"/>
        <v>451</v>
      </c>
      <c r="B477" s="19">
        <f t="shared" si="198"/>
        <v>249.23295511026896</v>
      </c>
      <c r="C477" s="18">
        <f t="shared" ref="C477:C540" si="212">E476</f>
        <v>6.9032360945002278</v>
      </c>
      <c r="D477" s="2">
        <f t="shared" si="191"/>
        <v>0.94657279588018617</v>
      </c>
      <c r="E477" s="18">
        <f t="shared" si="199"/>
        <v>6.9190123077648975</v>
      </c>
      <c r="F477" s="21">
        <f t="shared" si="192"/>
        <v>3.5403883354350021</v>
      </c>
      <c r="G477" s="1">
        <f t="shared" si="193"/>
        <v>0</v>
      </c>
      <c r="H477" s="2">
        <f t="shared" si="189"/>
        <v>579.26851464015624</v>
      </c>
      <c r="I477" s="19">
        <f t="shared" si="188"/>
        <v>250.76559075331437</v>
      </c>
      <c r="J477" s="20">
        <f t="shared" si="194"/>
        <v>0.91768444939377769</v>
      </c>
      <c r="K477" s="21">
        <f t="shared" si="195"/>
        <v>230.81866683918747</v>
      </c>
      <c r="L477" s="21">
        <f t="shared" si="190"/>
        <v>2.8061187660334967</v>
      </c>
      <c r="M477" s="2">
        <f t="shared" si="200"/>
        <v>180.94012663309888</v>
      </c>
      <c r="N477" s="19">
        <f t="shared" ref="N477:N540" si="213">($C$16/12)/(0.4085*E476/$C$5^2)+N476</f>
        <v>329.75628081971576</v>
      </c>
      <c r="O477" s="1">
        <f t="shared" si="201"/>
        <v>451</v>
      </c>
      <c r="P477" s="19">
        <f t="shared" si="202"/>
        <v>433.05808580076581</v>
      </c>
      <c r="Q477" s="18">
        <f t="shared" si="203"/>
        <v>8.4634617134099717</v>
      </c>
      <c r="R477" s="2">
        <f t="shared" si="204"/>
        <v>0.95709011892993168</v>
      </c>
      <c r="S477" s="18">
        <f t="shared" si="205"/>
        <v>8.4794132153921371</v>
      </c>
      <c r="T477" s="18">
        <f t="shared" si="206"/>
        <v>5.2846400928280577</v>
      </c>
      <c r="U477" s="1">
        <f t="shared" si="196"/>
        <v>0</v>
      </c>
      <c r="V477" s="2">
        <f t="shared" si="207"/>
        <v>1005.6488182925972</v>
      </c>
      <c r="W477" s="19">
        <f t="shared" si="208"/>
        <v>435.34580878467409</v>
      </c>
      <c r="X477" s="20"/>
      <c r="Y477" s="2">
        <f t="shared" si="209"/>
        <v>415.44133832069446</v>
      </c>
      <c r="Z477" s="21">
        <f t="shared" si="210"/>
        <v>4.2145328293674478</v>
      </c>
      <c r="AA477" s="2">
        <f t="shared" si="211"/>
        <v>327.86995571392447</v>
      </c>
      <c r="AB477" s="19">
        <f t="shared" ref="AB477:AB540" si="214">($C$16/12)/(0.4085*S476/$C$5^2)+AB476</f>
        <v>83.927518773477644</v>
      </c>
      <c r="AC477" s="2"/>
      <c r="AD477" s="18"/>
      <c r="AE477" s="118"/>
      <c r="AG477" s="2"/>
      <c r="AH477" s="19"/>
      <c r="AI477" s="20"/>
      <c r="AJ477" s="21"/>
      <c r="AK477" s="21"/>
      <c r="AM477" s="19"/>
      <c r="AN477" s="18"/>
      <c r="AO477" s="2"/>
      <c r="AP477" s="18"/>
      <c r="AQ477" s="118"/>
      <c r="AS477" s="2"/>
      <c r="AT477" s="19"/>
      <c r="AU477" s="20"/>
      <c r="AV477" s="21"/>
      <c r="AW477" s="21"/>
    </row>
    <row r="478" spans="1:49" x14ac:dyDescent="0.25">
      <c r="A478" s="1">
        <f t="shared" si="197"/>
        <v>452</v>
      </c>
      <c r="B478" s="19">
        <f t="shared" si="198"/>
        <v>250.76559075331437</v>
      </c>
      <c r="C478" s="18">
        <f t="shared" si="212"/>
        <v>6.9190123077648975</v>
      </c>
      <c r="D478" s="2">
        <f t="shared" si="191"/>
        <v>0.9466888637931693</v>
      </c>
      <c r="E478" s="18">
        <f t="shared" si="199"/>
        <v>6.9347904554947837</v>
      </c>
      <c r="F478" s="21">
        <f t="shared" si="192"/>
        <v>3.5563051601595301</v>
      </c>
      <c r="G478" s="1">
        <f t="shared" si="193"/>
        <v>0</v>
      </c>
      <c r="H478" s="2">
        <f t="shared" si="189"/>
        <v>582.82481980031582</v>
      </c>
      <c r="I478" s="19">
        <f t="shared" si="188"/>
        <v>252.3051167966735</v>
      </c>
      <c r="J478" s="20">
        <f t="shared" si="194"/>
        <v>0.91762217486439912</v>
      </c>
      <c r="K478" s="21">
        <f t="shared" si="195"/>
        <v>232.35854697353656</v>
      </c>
      <c r="L478" s="21">
        <f t="shared" si="190"/>
        <v>2.8189315310150924</v>
      </c>
      <c r="M478" s="2">
        <f t="shared" si="200"/>
        <v>182.16044331319199</v>
      </c>
      <c r="N478" s="19">
        <f t="shared" si="213"/>
        <v>329.86330680015175</v>
      </c>
      <c r="O478" s="1">
        <f t="shared" si="201"/>
        <v>452</v>
      </c>
      <c r="P478" s="19">
        <f t="shared" si="202"/>
        <v>435.34580878467409</v>
      </c>
      <c r="Q478" s="18">
        <f t="shared" si="203"/>
        <v>8.4794132153921371</v>
      </c>
      <c r="R478" s="2">
        <f t="shared" si="204"/>
        <v>0.95719097879523618</v>
      </c>
      <c r="S478" s="18">
        <f t="shared" si="205"/>
        <v>8.4953663983720578</v>
      </c>
      <c r="T478" s="18">
        <f t="shared" si="206"/>
        <v>5.3042450927661893</v>
      </c>
      <c r="U478" s="1">
        <f t="shared" si="196"/>
        <v>0</v>
      </c>
      <c r="V478" s="2">
        <f t="shared" si="207"/>
        <v>1010.9530633853634</v>
      </c>
      <c r="W478" s="19">
        <f t="shared" si="208"/>
        <v>437.64201878154262</v>
      </c>
      <c r="X478" s="20"/>
      <c r="Y478" s="2">
        <f t="shared" si="209"/>
        <v>417.73807644586219</v>
      </c>
      <c r="Z478" s="21">
        <f t="shared" si="210"/>
        <v>4.2304062064318337</v>
      </c>
      <c r="AA478" s="2">
        <f t="shared" si="211"/>
        <v>329.70130039203349</v>
      </c>
      <c r="AB478" s="19">
        <f t="shared" si="214"/>
        <v>84.014849589546756</v>
      </c>
      <c r="AC478" s="2"/>
      <c r="AD478" s="18"/>
      <c r="AE478" s="118"/>
      <c r="AG478" s="2"/>
      <c r="AH478" s="19"/>
      <c r="AI478" s="20"/>
      <c r="AJ478" s="21"/>
      <c r="AK478" s="21"/>
      <c r="AM478" s="19"/>
      <c r="AN478" s="18"/>
      <c r="AO478" s="2"/>
      <c r="AP478" s="18"/>
      <c r="AQ478" s="118"/>
      <c r="AS478" s="2"/>
      <c r="AT478" s="19"/>
      <c r="AU478" s="20"/>
      <c r="AV478" s="21"/>
      <c r="AW478" s="21"/>
    </row>
    <row r="479" spans="1:49" x14ac:dyDescent="0.25">
      <c r="A479" s="1">
        <f t="shared" si="197"/>
        <v>453</v>
      </c>
      <c r="B479" s="19">
        <f t="shared" si="198"/>
        <v>252.3051167966735</v>
      </c>
      <c r="C479" s="18">
        <f t="shared" si="212"/>
        <v>6.9347904554947837</v>
      </c>
      <c r="D479" s="2">
        <f t="shared" si="191"/>
        <v>0.94680475572616929</v>
      </c>
      <c r="E479" s="18">
        <f t="shared" si="199"/>
        <v>6.9505705347568867</v>
      </c>
      <c r="F479" s="21">
        <f t="shared" si="192"/>
        <v>3.5722591478796972</v>
      </c>
      <c r="G479" s="1">
        <f t="shared" si="193"/>
        <v>0</v>
      </c>
      <c r="H479" s="2">
        <f t="shared" si="189"/>
        <v>586.39707894819549</v>
      </c>
      <c r="I479" s="19">
        <f t="shared" si="188"/>
        <v>253.85154932822314</v>
      </c>
      <c r="J479" s="20">
        <f t="shared" si="194"/>
        <v>0.91755992808194309</v>
      </c>
      <c r="K479" s="21">
        <f t="shared" si="195"/>
        <v>233.90533518456846</v>
      </c>
      <c r="L479" s="21">
        <f t="shared" si="190"/>
        <v>2.8317750548833334</v>
      </c>
      <c r="M479" s="2">
        <f t="shared" si="200"/>
        <v>183.38631996032763</v>
      </c>
      <c r="N479" s="19">
        <f t="shared" si="213"/>
        <v>329.97008927334105</v>
      </c>
      <c r="O479" s="1">
        <f t="shared" si="201"/>
        <v>453</v>
      </c>
      <c r="P479" s="19">
        <f t="shared" si="202"/>
        <v>437.64201878154262</v>
      </c>
      <c r="Q479" s="18">
        <f t="shared" si="203"/>
        <v>8.4953663983720578</v>
      </c>
      <c r="R479" s="2">
        <f t="shared" si="204"/>
        <v>0.9572916918691714</v>
      </c>
      <c r="S479" s="18">
        <f t="shared" si="205"/>
        <v>8.5113212599032106</v>
      </c>
      <c r="T479" s="18">
        <f t="shared" si="206"/>
        <v>5.3238879724437398</v>
      </c>
      <c r="U479" s="1">
        <f t="shared" si="196"/>
        <v>0</v>
      </c>
      <c r="V479" s="2">
        <f t="shared" si="207"/>
        <v>1016.2769513578072</v>
      </c>
      <c r="W479" s="19">
        <f t="shared" si="208"/>
        <v>439.94673218952693</v>
      </c>
      <c r="X479" s="20"/>
      <c r="Y479" s="2">
        <f t="shared" si="209"/>
        <v>420.04331993793033</v>
      </c>
      <c r="Z479" s="21">
        <f t="shared" si="210"/>
        <v>4.2463110944922997</v>
      </c>
      <c r="AA479" s="2">
        <f t="shared" si="211"/>
        <v>331.53953030306911</v>
      </c>
      <c r="AB479" s="19">
        <f t="shared" si="214"/>
        <v>84.102016409806481</v>
      </c>
      <c r="AC479" s="2"/>
      <c r="AD479" s="18"/>
      <c r="AE479" s="118"/>
      <c r="AG479" s="2"/>
      <c r="AH479" s="19"/>
      <c r="AI479" s="20"/>
      <c r="AJ479" s="21"/>
      <c r="AK479" s="21"/>
      <c r="AM479" s="19"/>
      <c r="AN479" s="18"/>
      <c r="AO479" s="2"/>
      <c r="AP479" s="18"/>
      <c r="AQ479" s="118"/>
      <c r="AS479" s="2"/>
      <c r="AT479" s="19"/>
      <c r="AU479" s="20"/>
      <c r="AV479" s="21"/>
      <c r="AW479" s="21"/>
    </row>
    <row r="480" spans="1:49" x14ac:dyDescent="0.25">
      <c r="A480" s="1">
        <f t="shared" si="197"/>
        <v>454</v>
      </c>
      <c r="B480" s="19">
        <f t="shared" si="198"/>
        <v>253.85154932822314</v>
      </c>
      <c r="C480" s="18">
        <f t="shared" si="212"/>
        <v>6.9505705347568867</v>
      </c>
      <c r="D480" s="2">
        <f t="shared" si="191"/>
        <v>0.94692047196987139</v>
      </c>
      <c r="E480" s="18">
        <f t="shared" si="199"/>
        <v>6.966352542623051</v>
      </c>
      <c r="F480" s="21">
        <f t="shared" si="192"/>
        <v>3.5882503065305511</v>
      </c>
      <c r="G480" s="1">
        <f t="shared" si="193"/>
        <v>0</v>
      </c>
      <c r="H480" s="2">
        <f t="shared" si="189"/>
        <v>589.98532925472603</v>
      </c>
      <c r="I480" s="19">
        <f t="shared" si="188"/>
        <v>255.40490443927533</v>
      </c>
      <c r="J480" s="20">
        <f t="shared" si="194"/>
        <v>0.91749770929528041</v>
      </c>
      <c r="K480" s="21">
        <f t="shared" si="195"/>
        <v>235.45904756729618</v>
      </c>
      <c r="L480" s="21">
        <f t="shared" si="190"/>
        <v>2.8446493459664879</v>
      </c>
      <c r="M480" s="2">
        <f t="shared" si="200"/>
        <v>184.61776989364645</v>
      </c>
      <c r="N480" s="19">
        <f t="shared" si="213"/>
        <v>330.07662931522458</v>
      </c>
      <c r="O480" s="1">
        <f t="shared" si="201"/>
        <v>454</v>
      </c>
      <c r="P480" s="19">
        <f t="shared" si="202"/>
        <v>439.94673218952693</v>
      </c>
      <c r="Q480" s="18">
        <f t="shared" si="203"/>
        <v>8.5113212599032106</v>
      </c>
      <c r="R480" s="2">
        <f t="shared" si="204"/>
        <v>0.95739225851632659</v>
      </c>
      <c r="S480" s="18">
        <f t="shared" si="205"/>
        <v>8.5272777975451497</v>
      </c>
      <c r="T480" s="18">
        <f t="shared" si="206"/>
        <v>5.3435687384933805</v>
      </c>
      <c r="U480" s="1">
        <f t="shared" si="196"/>
        <v>0</v>
      </c>
      <c r="V480" s="2">
        <f t="shared" si="207"/>
        <v>1021.6205200963005</v>
      </c>
      <c r="W480" s="19">
        <f t="shared" si="208"/>
        <v>442.25996540965389</v>
      </c>
      <c r="X480" s="20"/>
      <c r="Y480" s="2">
        <f t="shared" si="209"/>
        <v>422.35708520169794</v>
      </c>
      <c r="Z480" s="21">
        <f t="shared" si="210"/>
        <v>4.2622475005280203</v>
      </c>
      <c r="AA480" s="2">
        <f t="shared" si="211"/>
        <v>333.3846590911765</v>
      </c>
      <c r="AB480" s="19">
        <f t="shared" si="214"/>
        <v>84.189019831869274</v>
      </c>
      <c r="AC480" s="2"/>
      <c r="AD480" s="18"/>
      <c r="AE480" s="118"/>
      <c r="AG480" s="2"/>
      <c r="AH480" s="19"/>
      <c r="AI480" s="20"/>
      <c r="AJ480" s="21"/>
      <c r="AK480" s="21"/>
      <c r="AM480" s="19"/>
      <c r="AN480" s="18"/>
      <c r="AO480" s="2"/>
      <c r="AP480" s="18"/>
      <c r="AQ480" s="118"/>
      <c r="AS480" s="2"/>
      <c r="AT480" s="19"/>
      <c r="AU480" s="20"/>
      <c r="AV480" s="21"/>
      <c r="AW480" s="21"/>
    </row>
    <row r="481" spans="1:49" x14ac:dyDescent="0.25">
      <c r="A481" s="1">
        <f t="shared" si="197"/>
        <v>455</v>
      </c>
      <c r="B481" s="19">
        <f t="shared" si="198"/>
        <v>255.40490443927533</v>
      </c>
      <c r="C481" s="18">
        <f t="shared" si="212"/>
        <v>6.966352542623051</v>
      </c>
      <c r="D481" s="2">
        <f t="shared" si="191"/>
        <v>0.94703601281709859</v>
      </c>
      <c r="E481" s="18">
        <f t="shared" si="199"/>
        <v>6.9821364761700027</v>
      </c>
      <c r="F481" s="21">
        <f t="shared" si="192"/>
        <v>3.6042786440313321</v>
      </c>
      <c r="G481" s="1">
        <f t="shared" si="193"/>
        <v>0</v>
      </c>
      <c r="H481" s="2">
        <f t="shared" si="189"/>
        <v>593.58960789875732</v>
      </c>
      <c r="I481" s="19">
        <f t="shared" ref="I481:I544" si="215">H481/2.31</f>
        <v>256.96519822457026</v>
      </c>
      <c r="J481" s="20">
        <f t="shared" si="194"/>
        <v>0.91743551875024021</v>
      </c>
      <c r="K481" s="21">
        <f t="shared" si="195"/>
        <v>237.01970022016175</v>
      </c>
      <c r="L481" s="21">
        <f t="shared" si="190"/>
        <v>2.8575544125764569</v>
      </c>
      <c r="M481" s="2">
        <f t="shared" si="200"/>
        <v>185.85480643588735</v>
      </c>
      <c r="N481" s="19">
        <f t="shared" si="213"/>
        <v>330.18292799467793</v>
      </c>
      <c r="O481" s="1">
        <f t="shared" si="201"/>
        <v>455</v>
      </c>
      <c r="P481" s="19">
        <f t="shared" si="202"/>
        <v>442.25996540965389</v>
      </c>
      <c r="Q481" s="18">
        <f t="shared" si="203"/>
        <v>8.5272777975451497</v>
      </c>
      <c r="R481" s="2">
        <f t="shared" si="204"/>
        <v>0.95749267910053115</v>
      </c>
      <c r="S481" s="18">
        <f t="shared" si="205"/>
        <v>8.5432360088634915</v>
      </c>
      <c r="T481" s="18">
        <f t="shared" si="206"/>
        <v>5.3632873975370767</v>
      </c>
      <c r="U481" s="1">
        <f t="shared" si="196"/>
        <v>0</v>
      </c>
      <c r="V481" s="2">
        <f t="shared" si="207"/>
        <v>1026.9838074938375</v>
      </c>
      <c r="W481" s="19">
        <f t="shared" si="208"/>
        <v>444.5817348458171</v>
      </c>
      <c r="X481" s="20"/>
      <c r="Y481" s="2">
        <f t="shared" si="209"/>
        <v>424.67938864483148</v>
      </c>
      <c r="Z481" s="21">
        <f t="shared" si="210"/>
        <v>4.2782154315069754</v>
      </c>
      <c r="AA481" s="2">
        <f t="shared" si="211"/>
        <v>335.2367004035172</v>
      </c>
      <c r="AB481" s="19">
        <f t="shared" si="214"/>
        <v>84.275860450114479</v>
      </c>
      <c r="AC481" s="2"/>
      <c r="AD481" s="18"/>
      <c r="AE481" s="118"/>
      <c r="AG481" s="2"/>
      <c r="AH481" s="19"/>
      <c r="AI481" s="20"/>
      <c r="AJ481" s="21"/>
      <c r="AK481" s="21"/>
      <c r="AM481" s="19"/>
      <c r="AN481" s="18"/>
      <c r="AO481" s="2"/>
      <c r="AP481" s="18"/>
      <c r="AQ481" s="118"/>
      <c r="AS481" s="2"/>
      <c r="AT481" s="19"/>
      <c r="AU481" s="20"/>
      <c r="AV481" s="21"/>
      <c r="AW481" s="21"/>
    </row>
    <row r="482" spans="1:49" x14ac:dyDescent="0.25">
      <c r="A482" s="1">
        <f t="shared" si="197"/>
        <v>456</v>
      </c>
      <c r="B482" s="19">
        <f t="shared" si="198"/>
        <v>256.96519822457026</v>
      </c>
      <c r="C482" s="18">
        <f t="shared" si="212"/>
        <v>6.9821364761700027</v>
      </c>
      <c r="D482" s="2">
        <f t="shared" si="191"/>
        <v>0.947151378562755</v>
      </c>
      <c r="E482" s="18">
        <f t="shared" si="199"/>
        <v>6.9979223324793818</v>
      </c>
      <c r="F482" s="21">
        <f t="shared" si="192"/>
        <v>3.6203441682855373</v>
      </c>
      <c r="G482" s="1">
        <f t="shared" si="193"/>
        <v>0</v>
      </c>
      <c r="H482" s="2">
        <f t="shared" si="189"/>
        <v>597.20995206704288</v>
      </c>
      <c r="I482" s="19">
        <f t="shared" si="215"/>
        <v>258.53244678226963</v>
      </c>
      <c r="J482" s="20">
        <f t="shared" si="194"/>
        <v>0.91737335668963926</v>
      </c>
      <c r="K482" s="21">
        <f t="shared" si="195"/>
        <v>238.58730924502939</v>
      </c>
      <c r="L482" s="21">
        <f t="shared" si="190"/>
        <v>2.8704902630088425</v>
      </c>
      <c r="M482" s="2">
        <f t="shared" si="200"/>
        <v>187.09744291338035</v>
      </c>
      <c r="N482" s="19">
        <f t="shared" si="213"/>
        <v>330.2889863735731</v>
      </c>
      <c r="O482" s="1">
        <f t="shared" si="201"/>
        <v>456</v>
      </c>
      <c r="P482" s="19">
        <f t="shared" si="202"/>
        <v>444.5817348458171</v>
      </c>
      <c r="Q482" s="18">
        <f t="shared" si="203"/>
        <v>8.5432360088634915</v>
      </c>
      <c r="R482" s="2">
        <f t="shared" si="204"/>
        <v>0.957592953984849</v>
      </c>
      <c r="S482" s="18">
        <f t="shared" si="205"/>
        <v>8.5591958914299049</v>
      </c>
      <c r="T482" s="18">
        <f t="shared" si="206"/>
        <v>5.3830439561861176</v>
      </c>
      <c r="U482" s="1">
        <f t="shared" si="196"/>
        <v>0</v>
      </c>
      <c r="V482" s="2">
        <f t="shared" si="207"/>
        <v>1032.3668514500237</v>
      </c>
      <c r="W482" s="19">
        <f t="shared" si="208"/>
        <v>446.91205690477216</v>
      </c>
      <c r="X482" s="20"/>
      <c r="Y482" s="2">
        <f t="shared" si="209"/>
        <v>427.01024667786004</v>
      </c>
      <c r="Z482" s="21">
        <f t="shared" si="210"/>
        <v>4.2942148943859761</v>
      </c>
      <c r="AA482" s="2">
        <f t="shared" si="211"/>
        <v>337.09566789026439</v>
      </c>
      <c r="AB482" s="19">
        <f t="shared" si="214"/>
        <v>84.362538855711506</v>
      </c>
      <c r="AC482" s="2"/>
      <c r="AD482" s="18"/>
      <c r="AE482" s="118"/>
      <c r="AG482" s="2"/>
      <c r="AH482" s="19"/>
      <c r="AI482" s="20"/>
      <c r="AJ482" s="21"/>
      <c r="AK482" s="21"/>
      <c r="AM482" s="19"/>
      <c r="AN482" s="18"/>
      <c r="AO482" s="2"/>
      <c r="AP482" s="18"/>
      <c r="AQ482" s="118"/>
      <c r="AS482" s="2"/>
      <c r="AT482" s="19"/>
      <c r="AU482" s="20"/>
      <c r="AV482" s="21"/>
      <c r="AW482" s="21"/>
    </row>
    <row r="483" spans="1:49" x14ac:dyDescent="0.25">
      <c r="A483" s="1">
        <f t="shared" si="197"/>
        <v>457</v>
      </c>
      <c r="B483" s="19">
        <f t="shared" si="198"/>
        <v>258.53244678226963</v>
      </c>
      <c r="C483" s="18">
        <f t="shared" si="212"/>
        <v>6.9979223324793818</v>
      </c>
      <c r="D483" s="2">
        <f t="shared" si="191"/>
        <v>0.94726656950376886</v>
      </c>
      <c r="E483" s="18">
        <f t="shared" si="199"/>
        <v>7.0137101086377776</v>
      </c>
      <c r="F483" s="21">
        <f t="shared" si="192"/>
        <v>3.6364468871809859</v>
      </c>
      <c r="G483" s="1">
        <f t="shared" si="193"/>
        <v>0</v>
      </c>
      <c r="H483" s="2">
        <f t="shared" si="189"/>
        <v>600.8463989542239</v>
      </c>
      <c r="I483" s="19">
        <f t="shared" si="215"/>
        <v>260.10666621394972</v>
      </c>
      <c r="J483" s="20">
        <f t="shared" si="194"/>
        <v>0.91731122335331072</v>
      </c>
      <c r="K483" s="21">
        <f t="shared" si="195"/>
        <v>240.16189074717875</v>
      </c>
      <c r="L483" s="21">
        <f t="shared" si="190"/>
        <v>2.883456905543015</v>
      </c>
      <c r="M483" s="2">
        <f t="shared" si="200"/>
        <v>188.34569265603966</v>
      </c>
      <c r="N483" s="19">
        <f t="shared" si="213"/>
        <v>330.3948055068393</v>
      </c>
      <c r="O483" s="1">
        <f t="shared" si="201"/>
        <v>457</v>
      </c>
      <c r="P483" s="19">
        <f t="shared" si="202"/>
        <v>446.91205690477216</v>
      </c>
      <c r="Q483" s="18">
        <f t="shared" si="203"/>
        <v>8.5591958914299049</v>
      </c>
      <c r="R483" s="2">
        <f t="shared" si="204"/>
        <v>0.95769308353157345</v>
      </c>
      <c r="S483" s="18">
        <f t="shared" si="205"/>
        <v>8.575157442822098</v>
      </c>
      <c r="T483" s="18">
        <f t="shared" si="206"/>
        <v>5.4028384210411771</v>
      </c>
      <c r="U483" s="1">
        <f t="shared" si="196"/>
        <v>0</v>
      </c>
      <c r="V483" s="2">
        <f t="shared" si="207"/>
        <v>1037.7696898710649</v>
      </c>
      <c r="W483" s="19">
        <f t="shared" si="208"/>
        <v>449.25094799613197</v>
      </c>
      <c r="X483" s="20"/>
      <c r="Y483" s="2">
        <f t="shared" si="209"/>
        <v>429.34967571417087</v>
      </c>
      <c r="Z483" s="21">
        <f t="shared" si="210"/>
        <v>4.3102458961107288</v>
      </c>
      <c r="AA483" s="2">
        <f t="shared" si="211"/>
        <v>338.96157520459803</v>
      </c>
      <c r="AB483" s="19">
        <f t="shared" si="214"/>
        <v>84.449055636642868</v>
      </c>
      <c r="AC483" s="2"/>
      <c r="AD483" s="18"/>
      <c r="AE483" s="118"/>
      <c r="AG483" s="2"/>
      <c r="AH483" s="19"/>
      <c r="AI483" s="20"/>
      <c r="AJ483" s="21"/>
      <c r="AK483" s="21"/>
      <c r="AM483" s="19"/>
      <c r="AN483" s="18"/>
      <c r="AO483" s="2"/>
      <c r="AP483" s="18"/>
      <c r="AQ483" s="118"/>
      <c r="AS483" s="2"/>
      <c r="AT483" s="19"/>
      <c r="AU483" s="20"/>
      <c r="AV483" s="21"/>
      <c r="AW483" s="21"/>
    </row>
    <row r="484" spans="1:49" x14ac:dyDescent="0.25">
      <c r="A484" s="1">
        <f t="shared" si="197"/>
        <v>458</v>
      </c>
      <c r="B484" s="19">
        <f t="shared" si="198"/>
        <v>260.10666621394972</v>
      </c>
      <c r="C484" s="18">
        <f t="shared" si="212"/>
        <v>7.0137101086377776</v>
      </c>
      <c r="D484" s="2">
        <f t="shared" si="191"/>
        <v>0.9473815859390381</v>
      </c>
      <c r="E484" s="18">
        <f t="shared" si="199"/>
        <v>7.0294998017367618</v>
      </c>
      <c r="F484" s="21">
        <f t="shared" si="192"/>
        <v>3.6525868085898887</v>
      </c>
      <c r="G484" s="1">
        <f t="shared" si="193"/>
        <v>0</v>
      </c>
      <c r="H484" s="2">
        <f t="shared" si="189"/>
        <v>604.49898576281385</v>
      </c>
      <c r="I484" s="19">
        <f t="shared" si="215"/>
        <v>261.68787262459472</v>
      </c>
      <c r="J484" s="20">
        <f t="shared" si="194"/>
        <v>0.91724911897813244</v>
      </c>
      <c r="K484" s="21">
        <f t="shared" si="195"/>
        <v>241.74346083529818</v>
      </c>
      <c r="L484" s="21">
        <f t="shared" si="190"/>
        <v>2.8964543484421794</v>
      </c>
      <c r="M484" s="2">
        <f t="shared" si="200"/>
        <v>189.59956899735661</v>
      </c>
      <c r="N484" s="19">
        <f t="shared" si="213"/>
        <v>330.50038644252345</v>
      </c>
      <c r="O484" s="1">
        <f t="shared" si="201"/>
        <v>458</v>
      </c>
      <c r="P484" s="19">
        <f t="shared" si="202"/>
        <v>449.25094799613197</v>
      </c>
      <c r="Q484" s="18">
        <f t="shared" si="203"/>
        <v>8.575157442822098</v>
      </c>
      <c r="R484" s="2">
        <f t="shared" si="204"/>
        <v>0.95779306810222242</v>
      </c>
      <c r="S484" s="18">
        <f t="shared" si="205"/>
        <v>8.5911206606238011</v>
      </c>
      <c r="T484" s="18">
        <f t="shared" si="206"/>
        <v>5.4226707986923151</v>
      </c>
      <c r="U484" s="1">
        <f t="shared" si="196"/>
        <v>0</v>
      </c>
      <c r="V484" s="2">
        <f t="shared" si="207"/>
        <v>1043.1923606697571</v>
      </c>
      <c r="W484" s="19">
        <f t="shared" si="208"/>
        <v>451.5984245323624</v>
      </c>
      <c r="X484" s="20"/>
      <c r="Y484" s="2">
        <f t="shared" si="209"/>
        <v>431.69769217000464</v>
      </c>
      <c r="Z484" s="21">
        <f t="shared" si="210"/>
        <v>4.326308443615841</v>
      </c>
      <c r="AA484" s="2">
        <f t="shared" si="211"/>
        <v>340.83443600270016</v>
      </c>
      <c r="AB484" s="19">
        <f t="shared" si="214"/>
        <v>84.53541137772693</v>
      </c>
      <c r="AC484" s="2"/>
      <c r="AD484" s="18"/>
      <c r="AE484" s="118"/>
      <c r="AG484" s="2"/>
      <c r="AH484" s="19"/>
      <c r="AI484" s="20"/>
      <c r="AJ484" s="21"/>
      <c r="AK484" s="21"/>
      <c r="AM484" s="19"/>
      <c r="AN484" s="18"/>
      <c r="AO484" s="2"/>
      <c r="AP484" s="18"/>
      <c r="AQ484" s="118"/>
      <c r="AS484" s="2"/>
      <c r="AT484" s="19"/>
      <c r="AU484" s="20"/>
      <c r="AV484" s="21"/>
      <c r="AW484" s="21"/>
    </row>
    <row r="485" spans="1:49" x14ac:dyDescent="0.25">
      <c r="A485" s="1">
        <f t="shared" si="197"/>
        <v>459</v>
      </c>
      <c r="B485" s="19">
        <f t="shared" si="198"/>
        <v>261.68787262459472</v>
      </c>
      <c r="C485" s="18">
        <f t="shared" si="212"/>
        <v>7.0294998017367618</v>
      </c>
      <c r="D485" s="2">
        <f t="shared" si="191"/>
        <v>0.94749642816937485</v>
      </c>
      <c r="E485" s="18">
        <f t="shared" si="199"/>
        <v>7.0452914088729184</v>
      </c>
      <c r="F485" s="21">
        <f t="shared" si="192"/>
        <v>3.6687639403689065</v>
      </c>
      <c r="G485" s="1">
        <f t="shared" si="193"/>
        <v>0</v>
      </c>
      <c r="H485" s="2">
        <f t="shared" si="189"/>
        <v>608.16774970318272</v>
      </c>
      <c r="I485" s="19">
        <f t="shared" si="215"/>
        <v>263.27608212258991</v>
      </c>
      <c r="J485" s="20">
        <f t="shared" si="194"/>
        <v>0.91718704379805704</v>
      </c>
      <c r="K485" s="21">
        <f t="shared" si="195"/>
        <v>243.33203562147793</v>
      </c>
      <c r="L485" s="21">
        <f t="shared" si="190"/>
        <v>2.9094825999534395</v>
      </c>
      <c r="M485" s="2">
        <f t="shared" si="200"/>
        <v>190.85908527439273</v>
      </c>
      <c r="N485" s="19">
        <f t="shared" si="213"/>
        <v>330.60573022184963</v>
      </c>
      <c r="O485" s="1">
        <f t="shared" si="201"/>
        <v>459</v>
      </c>
      <c r="P485" s="19">
        <f t="shared" si="202"/>
        <v>451.5984245323624</v>
      </c>
      <c r="Q485" s="18">
        <f t="shared" si="203"/>
        <v>8.5911206606238011</v>
      </c>
      <c r="R485" s="2">
        <f t="shared" si="204"/>
        <v>0.9578929080575328</v>
      </c>
      <c r="S485" s="18">
        <f t="shared" si="205"/>
        <v>8.6070855424247608</v>
      </c>
      <c r="T485" s="18">
        <f t="shared" si="206"/>
        <v>5.4425410957190534</v>
      </c>
      <c r="U485" s="1">
        <f t="shared" si="196"/>
        <v>0</v>
      </c>
      <c r="V485" s="2">
        <f t="shared" si="207"/>
        <v>1048.6349017654761</v>
      </c>
      <c r="W485" s="19">
        <f t="shared" si="208"/>
        <v>453.95450292877752</v>
      </c>
      <c r="X485" s="20"/>
      <c r="Y485" s="2">
        <f t="shared" si="209"/>
        <v>434.05431246445102</v>
      </c>
      <c r="Z485" s="21">
        <f t="shared" si="210"/>
        <v>4.3424025438248899</v>
      </c>
      <c r="AA485" s="2">
        <f t="shared" si="211"/>
        <v>342.71426394374987</v>
      </c>
      <c r="AB485" s="19">
        <f t="shared" si="214"/>
        <v>84.621606660640538</v>
      </c>
      <c r="AC485" s="2"/>
      <c r="AD485" s="18"/>
      <c r="AE485" s="118"/>
      <c r="AG485" s="2"/>
      <c r="AH485" s="19"/>
      <c r="AI485" s="20"/>
      <c r="AJ485" s="21"/>
      <c r="AK485" s="21"/>
      <c r="AM485" s="19"/>
      <c r="AN485" s="18"/>
      <c r="AO485" s="2"/>
      <c r="AP485" s="18"/>
      <c r="AQ485" s="118"/>
      <c r="AS485" s="2"/>
      <c r="AT485" s="19"/>
      <c r="AU485" s="20"/>
      <c r="AV485" s="21"/>
      <c r="AW485" s="21"/>
    </row>
    <row r="486" spans="1:49" x14ac:dyDescent="0.25">
      <c r="A486" s="1">
        <f t="shared" si="197"/>
        <v>460</v>
      </c>
      <c r="B486" s="19">
        <f t="shared" si="198"/>
        <v>263.27608212258991</v>
      </c>
      <c r="C486" s="18">
        <f t="shared" si="212"/>
        <v>7.0452914088729184</v>
      </c>
      <c r="D486" s="2">
        <f t="shared" si="191"/>
        <v>0.94761109649745323</v>
      </c>
      <c r="E486" s="18">
        <f t="shared" si="199"/>
        <v>7.0610849271478759</v>
      </c>
      <c r="F486" s="21">
        <f t="shared" si="192"/>
        <v>3.684978290359215</v>
      </c>
      <c r="G486" s="1">
        <f t="shared" si="193"/>
        <v>0</v>
      </c>
      <c r="H486" s="2">
        <f t="shared" si="189"/>
        <v>611.85272799354198</v>
      </c>
      <c r="I486" s="19">
        <f t="shared" si="215"/>
        <v>264.87131081971512</v>
      </c>
      <c r="J486" s="20">
        <f t="shared" si="194"/>
        <v>0.91712499804413983</v>
      </c>
      <c r="K486" s="21">
        <f t="shared" si="195"/>
        <v>244.92763122120346</v>
      </c>
      <c r="L486" s="21">
        <f t="shared" si="190"/>
        <v>2.9225416683078622</v>
      </c>
      <c r="M486" s="2">
        <f t="shared" si="200"/>
        <v>192.12425482777275</v>
      </c>
      <c r="N486" s="19">
        <f t="shared" si="213"/>
        <v>330.71083787927807</v>
      </c>
      <c r="O486" s="1">
        <f t="shared" si="201"/>
        <v>460</v>
      </c>
      <c r="P486" s="19">
        <f t="shared" si="202"/>
        <v>453.95450292877752</v>
      </c>
      <c r="Q486" s="18">
        <f t="shared" si="203"/>
        <v>8.6070855424247608</v>
      </c>
      <c r="R486" s="2">
        <f t="shared" si="204"/>
        <v>0.95799260375745598</v>
      </c>
      <c r="S486" s="18">
        <f t="shared" si="205"/>
        <v>8.6230520858207189</v>
      </c>
      <c r="T486" s="18">
        <f t="shared" si="206"/>
        <v>5.4624493186903855</v>
      </c>
      <c r="U486" s="1">
        <f t="shared" si="196"/>
        <v>0</v>
      </c>
      <c r="V486" s="2">
        <f t="shared" si="207"/>
        <v>1054.0973510841666</v>
      </c>
      <c r="W486" s="19">
        <f t="shared" si="208"/>
        <v>456.31919960353531</v>
      </c>
      <c r="X486" s="20"/>
      <c r="Y486" s="2">
        <f t="shared" si="209"/>
        <v>436.41955301944392</v>
      </c>
      <c r="Z486" s="21">
        <f t="shared" si="210"/>
        <v>4.3585282036504402</v>
      </c>
      <c r="AA486" s="2">
        <f t="shared" si="211"/>
        <v>344.60107268991891</v>
      </c>
      <c r="AB486" s="19">
        <f t="shared" si="214"/>
        <v>84.707642063941378</v>
      </c>
      <c r="AC486" s="2"/>
      <c r="AD486" s="18"/>
      <c r="AE486" s="118"/>
      <c r="AG486" s="2"/>
      <c r="AH486" s="19"/>
      <c r="AI486" s="20"/>
      <c r="AJ486" s="21"/>
      <c r="AK486" s="21"/>
      <c r="AM486" s="19"/>
      <c r="AN486" s="18"/>
      <c r="AO486" s="2"/>
      <c r="AP486" s="18"/>
      <c r="AQ486" s="118"/>
      <c r="AS486" s="2"/>
      <c r="AT486" s="19"/>
      <c r="AU486" s="20"/>
      <c r="AV486" s="21"/>
      <c r="AW486" s="21"/>
    </row>
    <row r="487" spans="1:49" x14ac:dyDescent="0.25">
      <c r="A487" s="1">
        <f t="shared" si="197"/>
        <v>461</v>
      </c>
      <c r="B487" s="19">
        <f t="shared" si="198"/>
        <v>264.87131081971512</v>
      </c>
      <c r="C487" s="18">
        <f t="shared" si="212"/>
        <v>7.0610849271478759</v>
      </c>
      <c r="D487" s="2">
        <f t="shared" si="191"/>
        <v>0.94772559122775601</v>
      </c>
      <c r="E487" s="18">
        <f t="shared" si="199"/>
        <v>7.0768803536683382</v>
      </c>
      <c r="F487" s="21">
        <f t="shared" si="192"/>
        <v>3.7012298663865772</v>
      </c>
      <c r="G487" s="1">
        <f t="shared" si="193"/>
        <v>0</v>
      </c>
      <c r="H487" s="2">
        <f t="shared" si="189"/>
        <v>615.55395785992857</v>
      </c>
      <c r="I487" s="19">
        <f t="shared" si="215"/>
        <v>266.47357483113791</v>
      </c>
      <c r="J487" s="20">
        <f t="shared" si="194"/>
        <v>0.91706298194456604</v>
      </c>
      <c r="K487" s="21">
        <f t="shared" si="195"/>
        <v>246.53026375334883</v>
      </c>
      <c r="L487" s="21">
        <f t="shared" si="190"/>
        <v>2.9356315617205482</v>
      </c>
      <c r="M487" s="2">
        <f t="shared" si="200"/>
        <v>193.39509100167774</v>
      </c>
      <c r="N487" s="19">
        <f t="shared" si="213"/>
        <v>330.81571044256367</v>
      </c>
      <c r="O487" s="1">
        <f t="shared" si="201"/>
        <v>461</v>
      </c>
      <c r="P487" s="19">
        <f t="shared" si="202"/>
        <v>456.31919960353531</v>
      </c>
      <c r="Q487" s="18">
        <f t="shared" si="203"/>
        <v>8.6230520858207189</v>
      </c>
      <c r="R487" s="2">
        <f t="shared" si="204"/>
        <v>0.95809215556115312</v>
      </c>
      <c r="S487" s="18">
        <f t="shared" si="205"/>
        <v>8.6390202884134055</v>
      </c>
      <c r="T487" s="18">
        <f t="shared" si="206"/>
        <v>5.4823954741648286</v>
      </c>
      <c r="U487" s="1">
        <f t="shared" si="196"/>
        <v>0</v>
      </c>
      <c r="V487" s="2">
        <f t="shared" si="207"/>
        <v>1059.5797465583314</v>
      </c>
      <c r="W487" s="19">
        <f t="shared" si="208"/>
        <v>458.69253097763266</v>
      </c>
      <c r="X487" s="20"/>
      <c r="Y487" s="2">
        <f t="shared" si="209"/>
        <v>438.79343025975732</v>
      </c>
      <c r="Z487" s="21">
        <f t="shared" si="210"/>
        <v>4.374685429994094</v>
      </c>
      <c r="AA487" s="2">
        <f t="shared" si="211"/>
        <v>346.49487590636659</v>
      </c>
      <c r="AB487" s="19">
        <f t="shared" si="214"/>
        <v>84.793518163090198</v>
      </c>
      <c r="AC487" s="2"/>
      <c r="AD487" s="18"/>
      <c r="AE487" s="118"/>
      <c r="AG487" s="2"/>
      <c r="AH487" s="19"/>
      <c r="AI487" s="20"/>
      <c r="AJ487" s="21"/>
      <c r="AK487" s="21"/>
      <c r="AM487" s="19"/>
      <c r="AN487" s="18"/>
      <c r="AO487" s="2"/>
      <c r="AP487" s="18"/>
      <c r="AQ487" s="118"/>
      <c r="AS487" s="2"/>
      <c r="AT487" s="19"/>
      <c r="AU487" s="20"/>
      <c r="AV487" s="21"/>
      <c r="AW487" s="21"/>
    </row>
    <row r="488" spans="1:49" x14ac:dyDescent="0.25">
      <c r="A488" s="1">
        <f t="shared" si="197"/>
        <v>462</v>
      </c>
      <c r="B488" s="19">
        <f t="shared" si="198"/>
        <v>266.47357483113791</v>
      </c>
      <c r="C488" s="18">
        <f t="shared" si="212"/>
        <v>7.0768803536683382</v>
      </c>
      <c r="D488" s="2">
        <f t="shared" si="191"/>
        <v>0.94783991266652334</v>
      </c>
      <c r="E488" s="18">
        <f t="shared" si="199"/>
        <v>7.0926776855461133</v>
      </c>
      <c r="F488" s="21">
        <f t="shared" si="192"/>
        <v>3.7175186762613985</v>
      </c>
      <c r="G488" s="1">
        <f t="shared" si="193"/>
        <v>0</v>
      </c>
      <c r="H488" s="2">
        <f t="shared" si="189"/>
        <v>619.27147653618999</v>
      </c>
      <c r="I488" s="19">
        <f t="shared" si="215"/>
        <v>268.0828902754069</v>
      </c>
      <c r="J488" s="20">
        <f t="shared" si="194"/>
        <v>0.91700099572467941</v>
      </c>
      <c r="K488" s="21">
        <f t="shared" si="195"/>
        <v>248.13994934017001</v>
      </c>
      <c r="L488" s="21">
        <f t="shared" si="190"/>
        <v>2.9487522883906929</v>
      </c>
      <c r="M488" s="2">
        <f t="shared" si="200"/>
        <v>194.6716071438382</v>
      </c>
      <c r="N488" s="19">
        <f t="shared" si="213"/>
        <v>330.92034893281362</v>
      </c>
      <c r="O488" s="1">
        <f t="shared" si="201"/>
        <v>462</v>
      </c>
      <c r="P488" s="19">
        <f t="shared" si="202"/>
        <v>458.69253097763266</v>
      </c>
      <c r="Q488" s="18">
        <f t="shared" si="203"/>
        <v>8.6390202884134055</v>
      </c>
      <c r="R488" s="2">
        <f t="shared" si="204"/>
        <v>0.95819156382699122</v>
      </c>
      <c r="S488" s="18">
        <f t="shared" si="205"/>
        <v>8.6549901478105227</v>
      </c>
      <c r="T488" s="18">
        <f t="shared" si="206"/>
        <v>5.5023795686904524</v>
      </c>
      <c r="U488" s="1">
        <f t="shared" si="196"/>
        <v>0</v>
      </c>
      <c r="V488" s="2">
        <f t="shared" si="207"/>
        <v>1065.0821261270219</v>
      </c>
      <c r="W488" s="19">
        <f t="shared" si="208"/>
        <v>461.07451347490121</v>
      </c>
      <c r="X488" s="20"/>
      <c r="Y488" s="2">
        <f t="shared" si="209"/>
        <v>441.17596061300026</v>
      </c>
      <c r="Z488" s="21">
        <f t="shared" si="210"/>
        <v>4.3908742297465215</v>
      </c>
      <c r="AA488" s="2">
        <f t="shared" si="211"/>
        <v>348.3956872612352</v>
      </c>
      <c r="AB488" s="19">
        <f t="shared" si="214"/>
        <v>84.879235530472769</v>
      </c>
      <c r="AC488" s="2"/>
      <c r="AD488" s="18"/>
      <c r="AE488" s="118"/>
      <c r="AG488" s="2"/>
      <c r="AH488" s="19"/>
      <c r="AI488" s="20"/>
      <c r="AJ488" s="21"/>
      <c r="AK488" s="21"/>
      <c r="AM488" s="19"/>
      <c r="AN488" s="18"/>
      <c r="AO488" s="2"/>
      <c r="AP488" s="18"/>
      <c r="AQ488" s="118"/>
      <c r="AS488" s="2"/>
      <c r="AT488" s="19"/>
      <c r="AU488" s="20"/>
      <c r="AV488" s="21"/>
      <c r="AW488" s="21"/>
    </row>
    <row r="489" spans="1:49" x14ac:dyDescent="0.25">
      <c r="A489" s="1">
        <f t="shared" si="197"/>
        <v>463</v>
      </c>
      <c r="B489" s="19">
        <f t="shared" si="198"/>
        <v>268.0828902754069</v>
      </c>
      <c r="C489" s="18">
        <f t="shared" si="212"/>
        <v>7.0926776855461133</v>
      </c>
      <c r="D489" s="2">
        <f t="shared" si="191"/>
        <v>0.94795406112170222</v>
      </c>
      <c r="E489" s="18">
        <f t="shared" si="199"/>
        <v>7.1084769198981421</v>
      </c>
      <c r="F489" s="21">
        <f t="shared" si="192"/>
        <v>3.7338447277787954</v>
      </c>
      <c r="G489" s="1">
        <f t="shared" si="193"/>
        <v>0</v>
      </c>
      <c r="H489" s="2">
        <f t="shared" si="189"/>
        <v>623.00532126396877</v>
      </c>
      <c r="I489" s="19">
        <f t="shared" si="215"/>
        <v>269.69927327444537</v>
      </c>
      <c r="J489" s="20">
        <f t="shared" si="194"/>
        <v>0.91693903960701018</v>
      </c>
      <c r="K489" s="21">
        <f t="shared" si="195"/>
        <v>249.75670410729822</v>
      </c>
      <c r="L489" s="21">
        <f t="shared" si="190"/>
        <v>2.9619038565016518</v>
      </c>
      <c r="M489" s="2">
        <f t="shared" si="200"/>
        <v>195.95381660552724</v>
      </c>
      <c r="N489" s="19">
        <f t="shared" si="213"/>
        <v>331.02475436454449</v>
      </c>
      <c r="O489" s="1">
        <f t="shared" si="201"/>
        <v>463</v>
      </c>
      <c r="P489" s="19">
        <f t="shared" si="202"/>
        <v>461.07451347490121</v>
      </c>
      <c r="Q489" s="18">
        <f t="shared" si="203"/>
        <v>8.6549901478105227</v>
      </c>
      <c r="R489" s="2">
        <f t="shared" si="204"/>
        <v>0.95829082891253736</v>
      </c>
      <c r="S489" s="18">
        <f t="shared" si="205"/>
        <v>8.6709616616257321</v>
      </c>
      <c r="T489" s="18">
        <f t="shared" si="206"/>
        <v>5.5224016088049241</v>
      </c>
      <c r="U489" s="1">
        <f t="shared" si="196"/>
        <v>0</v>
      </c>
      <c r="V489" s="2">
        <f t="shared" si="207"/>
        <v>1070.6045277358269</v>
      </c>
      <c r="W489" s="19">
        <f t="shared" si="208"/>
        <v>463.46516352200297</v>
      </c>
      <c r="X489" s="20"/>
      <c r="Y489" s="2">
        <f t="shared" si="209"/>
        <v>443.56716050961279</v>
      </c>
      <c r="Z489" s="21">
        <f t="shared" si="210"/>
        <v>4.4070946097875074</v>
      </c>
      <c r="AA489" s="2">
        <f t="shared" si="211"/>
        <v>350.30352042564539</v>
      </c>
      <c r="AB489" s="19">
        <f t="shared" si="214"/>
        <v>84.964794735421691</v>
      </c>
      <c r="AC489" s="2"/>
      <c r="AD489" s="18"/>
      <c r="AE489" s="118"/>
      <c r="AG489" s="2"/>
      <c r="AH489" s="19"/>
      <c r="AI489" s="20"/>
      <c r="AJ489" s="21"/>
      <c r="AK489" s="21"/>
      <c r="AM489" s="19"/>
      <c r="AN489" s="18"/>
      <c r="AO489" s="2"/>
      <c r="AP489" s="18"/>
      <c r="AQ489" s="118"/>
      <c r="AS489" s="2"/>
      <c r="AT489" s="19"/>
      <c r="AU489" s="20"/>
      <c r="AV489" s="21"/>
      <c r="AW489" s="21"/>
    </row>
    <row r="490" spans="1:49" x14ac:dyDescent="0.25">
      <c r="A490" s="1">
        <f t="shared" si="197"/>
        <v>464</v>
      </c>
      <c r="B490" s="19">
        <f t="shared" si="198"/>
        <v>269.69927327444537</v>
      </c>
      <c r="C490" s="18">
        <f t="shared" si="212"/>
        <v>7.1084769198981421</v>
      </c>
      <c r="D490" s="2">
        <f t="shared" si="191"/>
        <v>0.94806803690289609</v>
      </c>
      <c r="E490" s="18">
        <f t="shared" si="199"/>
        <v>7.124278053846524</v>
      </c>
      <c r="F490" s="21">
        <f t="shared" si="192"/>
        <v>3.7502080287186534</v>
      </c>
      <c r="G490" s="1">
        <f t="shared" si="193"/>
        <v>0</v>
      </c>
      <c r="H490" s="2">
        <f t="shared" si="189"/>
        <v>626.75552929268758</v>
      </c>
      <c r="I490" s="19">
        <f t="shared" si="215"/>
        <v>271.32273995354439</v>
      </c>
      <c r="J490" s="20">
        <f t="shared" si="194"/>
        <v>0.9168771138113021</v>
      </c>
      <c r="K490" s="21">
        <f t="shared" si="195"/>
        <v>251.38054418373341</v>
      </c>
      <c r="L490" s="21">
        <f t="shared" si="190"/>
        <v>2.9750862742210029</v>
      </c>
      <c r="M490" s="2">
        <f t="shared" si="200"/>
        <v>197.24173274155365</v>
      </c>
      <c r="N490" s="19">
        <f t="shared" si="213"/>
        <v>331.12892774573879</v>
      </c>
      <c r="O490" s="1">
        <f t="shared" si="201"/>
        <v>464</v>
      </c>
      <c r="P490" s="19">
        <f t="shared" si="202"/>
        <v>463.46516352200297</v>
      </c>
      <c r="Q490" s="18">
        <f t="shared" si="203"/>
        <v>8.6709616616257321</v>
      </c>
      <c r="R490" s="2">
        <f t="shared" si="204"/>
        <v>0.95838995117455594</v>
      </c>
      <c r="S490" s="18">
        <f t="shared" si="205"/>
        <v>8.6869348274786411</v>
      </c>
      <c r="T490" s="18">
        <f t="shared" si="206"/>
        <v>5.5424616010355319</v>
      </c>
      <c r="U490" s="1">
        <f t="shared" si="196"/>
        <v>0</v>
      </c>
      <c r="V490" s="2">
        <f t="shared" si="207"/>
        <v>1076.1469893368624</v>
      </c>
      <c r="W490" s="19">
        <f t="shared" si="208"/>
        <v>465.86449754842528</v>
      </c>
      <c r="X490" s="20"/>
      <c r="Y490" s="2">
        <f t="shared" si="209"/>
        <v>445.96704638286116</v>
      </c>
      <c r="Z490" s="21">
        <f t="shared" si="210"/>
        <v>4.4233465769859723</v>
      </c>
      <c r="AA490" s="2">
        <f t="shared" si="211"/>
        <v>352.21838907369124</v>
      </c>
      <c r="AB490" s="19">
        <f t="shared" si="214"/>
        <v>85.050196344238003</v>
      </c>
      <c r="AC490" s="2"/>
      <c r="AD490" s="18"/>
      <c r="AE490" s="118"/>
      <c r="AG490" s="2"/>
      <c r="AH490" s="19"/>
      <c r="AI490" s="20"/>
      <c r="AJ490" s="21"/>
      <c r="AK490" s="21"/>
      <c r="AM490" s="19"/>
      <c r="AN490" s="18"/>
      <c r="AO490" s="2"/>
      <c r="AP490" s="18"/>
      <c r="AQ490" s="118"/>
      <c r="AS490" s="2"/>
      <c r="AT490" s="19"/>
      <c r="AU490" s="20"/>
      <c r="AV490" s="21"/>
      <c r="AW490" s="21"/>
    </row>
    <row r="491" spans="1:49" x14ac:dyDescent="0.25">
      <c r="A491" s="1">
        <f t="shared" si="197"/>
        <v>465</v>
      </c>
      <c r="B491" s="19">
        <f t="shared" si="198"/>
        <v>271.32273995354439</v>
      </c>
      <c r="C491" s="18">
        <f t="shared" si="212"/>
        <v>7.124278053846524</v>
      </c>
      <c r="D491" s="2">
        <f t="shared" si="191"/>
        <v>0.94818184032131758</v>
      </c>
      <c r="E491" s="18">
        <f t="shared" si="199"/>
        <v>7.1400810845185463</v>
      </c>
      <c r="F491" s="21">
        <f t="shared" si="192"/>
        <v>3.7666085868456953</v>
      </c>
      <c r="G491" s="1">
        <f t="shared" si="193"/>
        <v>0</v>
      </c>
      <c r="H491" s="2">
        <f t="shared" si="189"/>
        <v>630.52213787953326</v>
      </c>
      <c r="I491" s="19">
        <f t="shared" si="215"/>
        <v>272.9533064413564</v>
      </c>
      <c r="J491" s="20">
        <f t="shared" si="194"/>
        <v>0.91681521855453896</v>
      </c>
      <c r="K491" s="21">
        <f t="shared" si="195"/>
        <v>253.01148570183759</v>
      </c>
      <c r="L491" s="21">
        <f t="shared" si="190"/>
        <v>2.988299549700614</v>
      </c>
      <c r="M491" s="2">
        <f t="shared" si="200"/>
        <v>198.53536891025522</v>
      </c>
      <c r="N491" s="19">
        <f t="shared" si="213"/>
        <v>331.23287007790077</v>
      </c>
      <c r="O491" s="1">
        <f t="shared" si="201"/>
        <v>465</v>
      </c>
      <c r="P491" s="19">
        <f t="shared" si="202"/>
        <v>465.86449754842528</v>
      </c>
      <c r="Q491" s="18">
        <f t="shared" si="203"/>
        <v>8.6869348274786411</v>
      </c>
      <c r="R491" s="2">
        <f t="shared" si="204"/>
        <v>0.95848893096900378</v>
      </c>
      <c r="S491" s="18">
        <f t="shared" si="205"/>
        <v>8.7029096429947916</v>
      </c>
      <c r="T491" s="18">
        <f t="shared" si="206"/>
        <v>5.5625595518992421</v>
      </c>
      <c r="U491" s="1">
        <f t="shared" si="196"/>
        <v>0</v>
      </c>
      <c r="V491" s="2">
        <f t="shared" si="207"/>
        <v>1081.7095488887617</v>
      </c>
      <c r="W491" s="19">
        <f t="shared" si="208"/>
        <v>468.27253198647691</v>
      </c>
      <c r="X491" s="20"/>
      <c r="Y491" s="2">
        <f t="shared" si="209"/>
        <v>448.37563466883353</v>
      </c>
      <c r="Z491" s="21">
        <f t="shared" si="210"/>
        <v>4.4396301382000356</v>
      </c>
      <c r="AA491" s="2">
        <f t="shared" si="211"/>
        <v>354.14030688243582</v>
      </c>
      <c r="AB491" s="19">
        <f t="shared" si="214"/>
        <v>85.135440920212602</v>
      </c>
      <c r="AC491" s="2"/>
      <c r="AD491" s="18"/>
      <c r="AE491" s="118"/>
      <c r="AG491" s="2"/>
      <c r="AH491" s="19"/>
      <c r="AI491" s="20"/>
      <c r="AJ491" s="21"/>
      <c r="AK491" s="21"/>
      <c r="AM491" s="19"/>
      <c r="AN491" s="18"/>
      <c r="AO491" s="2"/>
      <c r="AP491" s="18"/>
      <c r="AQ491" s="118"/>
      <c r="AS491" s="2"/>
      <c r="AT491" s="19"/>
      <c r="AU491" s="20"/>
      <c r="AV491" s="21"/>
      <c r="AW491" s="21"/>
    </row>
    <row r="492" spans="1:49" x14ac:dyDescent="0.25">
      <c r="A492" s="1">
        <f t="shared" si="197"/>
        <v>466</v>
      </c>
      <c r="B492" s="19">
        <f t="shared" si="198"/>
        <v>272.9533064413564</v>
      </c>
      <c r="C492" s="18">
        <f t="shared" si="212"/>
        <v>7.1400810845185463</v>
      </c>
      <c r="D492" s="2">
        <f t="shared" si="191"/>
        <v>0.94829547168973838</v>
      </c>
      <c r="E492" s="18">
        <f t="shared" si="199"/>
        <v>7.1558860090467089</v>
      </c>
      <c r="F492" s="21">
        <f t="shared" si="192"/>
        <v>3.7830464099095416</v>
      </c>
      <c r="G492" s="1">
        <f t="shared" si="193"/>
        <v>0</v>
      </c>
      <c r="H492" s="2">
        <f t="shared" si="189"/>
        <v>634.30518428944276</v>
      </c>
      <c r="I492" s="19">
        <f t="shared" si="215"/>
        <v>274.59098886988863</v>
      </c>
      <c r="J492" s="20">
        <f t="shared" si="194"/>
        <v>0.91675335405097291</v>
      </c>
      <c r="K492" s="21">
        <f t="shared" si="195"/>
        <v>254.64954479732842</v>
      </c>
      <c r="L492" s="21">
        <f t="shared" si="190"/>
        <v>3.0015436910767033</v>
      </c>
      <c r="M492" s="2">
        <f t="shared" si="200"/>
        <v>199.83473847349188</v>
      </c>
      <c r="N492" s="19">
        <f t="shared" si="213"/>
        <v>331.33658235611188</v>
      </c>
      <c r="O492" s="1">
        <f t="shared" si="201"/>
        <v>466</v>
      </c>
      <c r="P492" s="19">
        <f t="shared" si="202"/>
        <v>468.27253198647691</v>
      </c>
      <c r="Q492" s="18">
        <f t="shared" si="203"/>
        <v>8.7029096429947916</v>
      </c>
      <c r="R492" s="2">
        <f t="shared" si="204"/>
        <v>0.95858776865102646</v>
      </c>
      <c r="S492" s="18">
        <f t="shared" si="205"/>
        <v>8.7188861058056428</v>
      </c>
      <c r="T492" s="18">
        <f t="shared" si="206"/>
        <v>5.5826954679027088</v>
      </c>
      <c r="U492" s="1">
        <f t="shared" si="196"/>
        <v>0</v>
      </c>
      <c r="V492" s="2">
        <f t="shared" si="207"/>
        <v>1087.2922443566645</v>
      </c>
      <c r="W492" s="19">
        <f t="shared" si="208"/>
        <v>470.68928327128333</v>
      </c>
      <c r="X492" s="20"/>
      <c r="Y492" s="2">
        <f t="shared" si="209"/>
        <v>450.79294180643541</v>
      </c>
      <c r="Z492" s="21">
        <f t="shared" si="210"/>
        <v>4.4559453002770217</v>
      </c>
      <c r="AA492" s="2">
        <f t="shared" si="211"/>
        <v>356.06928753190641</v>
      </c>
      <c r="AB492" s="19">
        <f t="shared" si="214"/>
        <v>85.220529023647458</v>
      </c>
      <c r="AC492" s="2"/>
      <c r="AD492" s="18"/>
      <c r="AE492" s="118"/>
      <c r="AG492" s="2"/>
      <c r="AH492" s="19"/>
      <c r="AI492" s="20"/>
      <c r="AJ492" s="21"/>
      <c r="AK492" s="21"/>
      <c r="AM492" s="19"/>
      <c r="AN492" s="18"/>
      <c r="AO492" s="2"/>
      <c r="AP492" s="18"/>
      <c r="AQ492" s="118"/>
      <c r="AS492" s="2"/>
      <c r="AT492" s="19"/>
      <c r="AU492" s="20"/>
      <c r="AV492" s="21"/>
      <c r="AW492" s="21"/>
    </row>
    <row r="493" spans="1:49" x14ac:dyDescent="0.25">
      <c r="A493" s="1">
        <f t="shared" si="197"/>
        <v>467</v>
      </c>
      <c r="B493" s="19">
        <f t="shared" si="198"/>
        <v>274.59098886988863</v>
      </c>
      <c r="C493" s="18">
        <f t="shared" si="212"/>
        <v>7.1558860090467089</v>
      </c>
      <c r="D493" s="2">
        <f t="shared" si="191"/>
        <v>0.94840893132244364</v>
      </c>
      <c r="E493" s="18">
        <f t="shared" si="199"/>
        <v>7.1716928245687495</v>
      </c>
      <c r="F493" s="21">
        <f t="shared" si="192"/>
        <v>3.7995215056447691</v>
      </c>
      <c r="G493" s="1">
        <f t="shared" si="193"/>
        <v>0</v>
      </c>
      <c r="H493" s="2">
        <f t="shared" si="189"/>
        <v>638.10470579508751</v>
      </c>
      <c r="I493" s="19">
        <f t="shared" si="215"/>
        <v>276.23580337449675</v>
      </c>
      <c r="J493" s="20">
        <f t="shared" si="194"/>
        <v>0.91669152051214975</v>
      </c>
      <c r="K493" s="21">
        <f t="shared" si="195"/>
        <v>256.2947376092726</v>
      </c>
      <c r="L493" s="21">
        <f t="shared" si="190"/>
        <v>3.0148187064699021</v>
      </c>
      <c r="M493" s="2">
        <f t="shared" si="200"/>
        <v>201.13985479663901</v>
      </c>
      <c r="N493" s="19">
        <f t="shared" si="213"/>
        <v>331.44006556908528</v>
      </c>
      <c r="O493" s="1">
        <f t="shared" si="201"/>
        <v>467</v>
      </c>
      <c r="P493" s="19">
        <f t="shared" si="202"/>
        <v>470.68928327128333</v>
      </c>
      <c r="Q493" s="18">
        <f t="shared" si="203"/>
        <v>8.7188861058056428</v>
      </c>
      <c r="R493" s="2">
        <f t="shared" si="204"/>
        <v>0.95868646457495399</v>
      </c>
      <c r="S493" s="18">
        <f t="shared" si="205"/>
        <v>8.7348642135485584</v>
      </c>
      <c r="T493" s="18">
        <f t="shared" si="206"/>
        <v>5.6028693555423352</v>
      </c>
      <c r="U493" s="1">
        <f t="shared" si="196"/>
        <v>0</v>
      </c>
      <c r="V493" s="2">
        <f t="shared" si="207"/>
        <v>1092.8951137122067</v>
      </c>
      <c r="W493" s="19">
        <f t="shared" si="208"/>
        <v>473.11476784078212</v>
      </c>
      <c r="X493" s="20"/>
      <c r="Y493" s="2">
        <f t="shared" si="209"/>
        <v>453.21898423738526</v>
      </c>
      <c r="Z493" s="21">
        <f t="shared" si="210"/>
        <v>4.472292070053526</v>
      </c>
      <c r="AA493" s="2">
        <f t="shared" si="211"/>
        <v>358.00534470508978</v>
      </c>
      <c r="AB493" s="19">
        <f t="shared" si="214"/>
        <v>85.305461211876676</v>
      </c>
      <c r="AC493" s="2"/>
      <c r="AD493" s="18"/>
      <c r="AE493" s="118"/>
      <c r="AG493" s="2"/>
      <c r="AH493" s="19"/>
      <c r="AI493" s="20"/>
      <c r="AJ493" s="21"/>
      <c r="AK493" s="21"/>
      <c r="AM493" s="19"/>
      <c r="AN493" s="18"/>
      <c r="AO493" s="2"/>
      <c r="AP493" s="18"/>
      <c r="AQ493" s="118"/>
      <c r="AS493" s="2"/>
      <c r="AT493" s="19"/>
      <c r="AU493" s="20"/>
      <c r="AV493" s="21"/>
      <c r="AW493" s="21"/>
    </row>
    <row r="494" spans="1:49" x14ac:dyDescent="0.25">
      <c r="A494" s="1">
        <f t="shared" si="197"/>
        <v>468</v>
      </c>
      <c r="B494" s="19">
        <f t="shared" si="198"/>
        <v>276.23580337449675</v>
      </c>
      <c r="C494" s="18">
        <f t="shared" si="212"/>
        <v>7.1716928245687495</v>
      </c>
      <c r="D494" s="2">
        <f t="shared" si="191"/>
        <v>0.9485222195351849</v>
      </c>
      <c r="E494" s="18">
        <f t="shared" si="199"/>
        <v>7.1875015282276689</v>
      </c>
      <c r="F494" s="21">
        <f t="shared" si="192"/>
        <v>3.8160338817709798</v>
      </c>
      <c r="G494" s="1">
        <f t="shared" si="193"/>
        <v>0</v>
      </c>
      <c r="H494" s="2">
        <f t="shared" si="189"/>
        <v>641.92073967685849</v>
      </c>
      <c r="I494" s="19">
        <f t="shared" si="215"/>
        <v>277.8877660938781</v>
      </c>
      <c r="J494" s="20">
        <f t="shared" si="194"/>
        <v>0.91662971814693617</v>
      </c>
      <c r="K494" s="21">
        <f t="shared" si="195"/>
        <v>257.94708028007943</v>
      </c>
      <c r="L494" s="21">
        <f t="shared" si="190"/>
        <v>3.0281246039853218</v>
      </c>
      <c r="M494" s="2">
        <f t="shared" si="200"/>
        <v>202.45073124858072</v>
      </c>
      <c r="N494" s="19">
        <f t="shared" si="213"/>
        <v>331.54332069922003</v>
      </c>
      <c r="O494" s="1">
        <f t="shared" si="201"/>
        <v>468</v>
      </c>
      <c r="P494" s="19">
        <f t="shared" si="202"/>
        <v>473.11476784078212</v>
      </c>
      <c r="Q494" s="18">
        <f t="shared" si="203"/>
        <v>8.7348642135485584</v>
      </c>
      <c r="R494" s="2">
        <f t="shared" si="204"/>
        <v>0.95878501909429814</v>
      </c>
      <c r="S494" s="18">
        <f t="shared" si="205"/>
        <v>8.7508439638667959</v>
      </c>
      <c r="T494" s="18">
        <f t="shared" si="206"/>
        <v>5.623081221304294</v>
      </c>
      <c r="U494" s="1">
        <f t="shared" si="196"/>
        <v>0</v>
      </c>
      <c r="V494" s="2">
        <f t="shared" si="207"/>
        <v>1098.518194933511</v>
      </c>
      <c r="W494" s="19">
        <f t="shared" si="208"/>
        <v>475.54900213571904</v>
      </c>
      <c r="X494" s="20"/>
      <c r="Y494" s="2">
        <f t="shared" si="209"/>
        <v>455.65377840620999</v>
      </c>
      <c r="Z494" s="21">
        <f t="shared" si="210"/>
        <v>4.4886704543554306</v>
      </c>
      <c r="AA494" s="2">
        <f t="shared" si="211"/>
        <v>359.9484920879276</v>
      </c>
      <c r="AB494" s="19">
        <f t="shared" si="214"/>
        <v>85.390238039287311</v>
      </c>
      <c r="AC494" s="2"/>
      <c r="AD494" s="18"/>
      <c r="AE494" s="118"/>
      <c r="AG494" s="2"/>
      <c r="AH494" s="19"/>
      <c r="AI494" s="20"/>
      <c r="AJ494" s="21"/>
      <c r="AK494" s="21"/>
      <c r="AM494" s="19"/>
      <c r="AN494" s="18"/>
      <c r="AO494" s="2"/>
      <c r="AP494" s="18"/>
      <c r="AQ494" s="118"/>
      <c r="AS494" s="2"/>
      <c r="AT494" s="19"/>
      <c r="AU494" s="20"/>
      <c r="AV494" s="21"/>
      <c r="AW494" s="21"/>
    </row>
    <row r="495" spans="1:49" x14ac:dyDescent="0.25">
      <c r="A495" s="1">
        <f t="shared" si="197"/>
        <v>469</v>
      </c>
      <c r="B495" s="19">
        <f t="shared" si="198"/>
        <v>277.8877660938781</v>
      </c>
      <c r="C495" s="18">
        <f t="shared" si="212"/>
        <v>7.1875015282276689</v>
      </c>
      <c r="D495" s="2">
        <f t="shared" si="191"/>
        <v>0.948635336645135</v>
      </c>
      <c r="E495" s="18">
        <f t="shared" si="199"/>
        <v>7.2033121171717545</v>
      </c>
      <c r="F495" s="21">
        <f t="shared" si="192"/>
        <v>3.8325835459928577</v>
      </c>
      <c r="G495" s="1">
        <f t="shared" si="193"/>
        <v>0</v>
      </c>
      <c r="H495" s="2">
        <f t="shared" si="189"/>
        <v>645.75332322285124</v>
      </c>
      <c r="I495" s="19">
        <f t="shared" si="215"/>
        <v>279.54689317006546</v>
      </c>
      <c r="J495" s="20">
        <f t="shared" si="194"/>
        <v>0.91656794716154544</v>
      </c>
      <c r="K495" s="21">
        <f t="shared" si="195"/>
        <v>259.60658895549432</v>
      </c>
      <c r="L495" s="21">
        <f t="shared" si="190"/>
        <v>3.0414613917126125</v>
      </c>
      <c r="M495" s="2">
        <f t="shared" si="200"/>
        <v>203.76738120170307</v>
      </c>
      <c r="N495" s="19">
        <f t="shared" si="213"/>
        <v>331.64634872265475</v>
      </c>
      <c r="O495" s="1">
        <f t="shared" si="201"/>
        <v>469</v>
      </c>
      <c r="P495" s="19">
        <f t="shared" si="202"/>
        <v>475.54900213571904</v>
      </c>
      <c r="Q495" s="18">
        <f t="shared" si="203"/>
        <v>8.7508439638667959</v>
      </c>
      <c r="R495" s="2">
        <f t="shared" si="204"/>
        <v>0.95888343256174735</v>
      </c>
      <c r="S495" s="18">
        <f t="shared" si="205"/>
        <v>8.766825354409491</v>
      </c>
      <c r="T495" s="18">
        <f t="shared" si="206"/>
        <v>5.6433310716645648</v>
      </c>
      <c r="U495" s="1">
        <f t="shared" si="196"/>
        <v>0</v>
      </c>
      <c r="V495" s="2">
        <f t="shared" si="207"/>
        <v>1104.1615260051756</v>
      </c>
      <c r="W495" s="19">
        <f t="shared" si="208"/>
        <v>477.99200259964311</v>
      </c>
      <c r="X495" s="20"/>
      <c r="Y495" s="2">
        <f t="shared" si="209"/>
        <v>458.09734076024074</v>
      </c>
      <c r="Z495" s="21">
        <f t="shared" si="210"/>
        <v>4.5050804599979521</v>
      </c>
      <c r="AA495" s="2">
        <f t="shared" si="211"/>
        <v>361.898743369312</v>
      </c>
      <c r="AB495" s="19">
        <f t="shared" si="214"/>
        <v>85.474860057340095</v>
      </c>
      <c r="AC495" s="2"/>
      <c r="AD495" s="18"/>
      <c r="AE495" s="118"/>
      <c r="AG495" s="2"/>
      <c r="AH495" s="19"/>
      <c r="AI495" s="20"/>
      <c r="AJ495" s="21"/>
      <c r="AK495" s="21"/>
      <c r="AM495" s="19"/>
      <c r="AN495" s="18"/>
      <c r="AO495" s="2"/>
      <c r="AP495" s="18"/>
      <c r="AQ495" s="118"/>
      <c r="AS495" s="2"/>
      <c r="AT495" s="19"/>
      <c r="AU495" s="20"/>
      <c r="AV495" s="21"/>
      <c r="AW495" s="21"/>
    </row>
    <row r="496" spans="1:49" x14ac:dyDescent="0.25">
      <c r="A496" s="1">
        <f t="shared" si="197"/>
        <v>470</v>
      </c>
      <c r="B496" s="19">
        <f t="shared" si="198"/>
        <v>279.54689317006546</v>
      </c>
      <c r="C496" s="18">
        <f t="shared" si="212"/>
        <v>7.2033121171717545</v>
      </c>
      <c r="D496" s="2">
        <f t="shared" si="191"/>
        <v>0.94874828297084313</v>
      </c>
      <c r="E496" s="18">
        <f t="shared" si="199"/>
        <v>7.2191245885546023</v>
      </c>
      <c r="F496" s="21">
        <f t="shared" si="192"/>
        <v>3.8491705060002284</v>
      </c>
      <c r="G496" s="1">
        <f t="shared" si="193"/>
        <v>0</v>
      </c>
      <c r="H496" s="2">
        <f t="shared" si="189"/>
        <v>649.60249372885141</v>
      </c>
      <c r="I496" s="19">
        <f t="shared" si="215"/>
        <v>281.21320074842055</v>
      </c>
      <c r="J496" s="20">
        <f t="shared" si="194"/>
        <v>0.91650620775956404</v>
      </c>
      <c r="K496" s="21">
        <f t="shared" si="195"/>
        <v>261.27327978459243</v>
      </c>
      <c r="L496" s="21">
        <f t="shared" si="190"/>
        <v>3.054829077726025</v>
      </c>
      <c r="M496" s="2">
        <f t="shared" si="200"/>
        <v>205.08981803188749</v>
      </c>
      <c r="N496" s="19">
        <f t="shared" si="213"/>
        <v>331.74915060932051</v>
      </c>
      <c r="O496" s="1">
        <f t="shared" si="201"/>
        <v>470</v>
      </c>
      <c r="P496" s="19">
        <f t="shared" si="202"/>
        <v>477.99200259964311</v>
      </c>
      <c r="Q496" s="18">
        <f t="shared" si="203"/>
        <v>8.766825354409491</v>
      </c>
      <c r="R496" s="2">
        <f t="shared" si="204"/>
        <v>0.95898170532916527</v>
      </c>
      <c r="S496" s="18">
        <f t="shared" si="205"/>
        <v>8.782808382831643</v>
      </c>
      <c r="T496" s="18">
        <f t="shared" si="206"/>
        <v>5.6636189130889756</v>
      </c>
      <c r="U496" s="1">
        <f t="shared" si="196"/>
        <v>0</v>
      </c>
      <c r="V496" s="2">
        <f t="shared" si="207"/>
        <v>1109.8251449182646</v>
      </c>
      <c r="W496" s="19">
        <f t="shared" si="208"/>
        <v>480.44378567890243</v>
      </c>
      <c r="X496" s="20"/>
      <c r="Y496" s="2">
        <f t="shared" si="209"/>
        <v>460.54968774960827</v>
      </c>
      <c r="Z496" s="21">
        <f t="shared" si="210"/>
        <v>4.5215220937856717</v>
      </c>
      <c r="AA496" s="2">
        <f t="shared" si="211"/>
        <v>363.85611224108067</v>
      </c>
      <c r="AB496" s="19">
        <f t="shared" si="214"/>
        <v>85.559327814589864</v>
      </c>
      <c r="AC496" s="2"/>
      <c r="AD496" s="18"/>
      <c r="AE496" s="118"/>
      <c r="AG496" s="2"/>
      <c r="AH496" s="19"/>
      <c r="AI496" s="20"/>
      <c r="AJ496" s="21"/>
      <c r="AK496" s="21"/>
      <c r="AM496" s="19"/>
      <c r="AN496" s="18"/>
      <c r="AO496" s="2"/>
      <c r="AP496" s="18"/>
      <c r="AQ496" s="118"/>
      <c r="AS496" s="2"/>
      <c r="AT496" s="19"/>
      <c r="AU496" s="20"/>
      <c r="AV496" s="21"/>
      <c r="AW496" s="21"/>
    </row>
    <row r="497" spans="1:49" x14ac:dyDescent="0.25">
      <c r="A497" s="1">
        <f t="shared" si="197"/>
        <v>471</v>
      </c>
      <c r="B497" s="19">
        <f t="shared" si="198"/>
        <v>281.21320074842055</v>
      </c>
      <c r="C497" s="18">
        <f t="shared" si="212"/>
        <v>7.2191245885546023</v>
      </c>
      <c r="D497" s="2">
        <f t="shared" si="191"/>
        <v>0.94886105883219085</v>
      </c>
      <c r="E497" s="18">
        <f t="shared" si="199"/>
        <v>7.2349389395351391</v>
      </c>
      <c r="F497" s="21">
        <f t="shared" si="192"/>
        <v>3.8657947694681249</v>
      </c>
      <c r="G497" s="1">
        <f t="shared" si="193"/>
        <v>0</v>
      </c>
      <c r="H497" s="2">
        <f t="shared" si="189"/>
        <v>653.46828849831968</v>
      </c>
      <c r="I497" s="19">
        <f t="shared" si="215"/>
        <v>282.88670497762757</v>
      </c>
      <c r="J497" s="20">
        <f t="shared" si="194"/>
        <v>0.91644450014197631</v>
      </c>
      <c r="K497" s="21">
        <f t="shared" si="195"/>
        <v>262.94716891977214</v>
      </c>
      <c r="L497" s="21">
        <f t="shared" si="190"/>
        <v>3.0682276700844739</v>
      </c>
      <c r="M497" s="2">
        <f t="shared" si="200"/>
        <v>206.41805511850416</v>
      </c>
      <c r="N497" s="19">
        <f t="shared" si="213"/>
        <v>331.85172732299316</v>
      </c>
      <c r="O497" s="1">
        <f t="shared" si="201"/>
        <v>471</v>
      </c>
      <c r="P497" s="19">
        <f t="shared" si="202"/>
        <v>480.44378567890243</v>
      </c>
      <c r="Q497" s="18">
        <f t="shared" si="203"/>
        <v>8.782808382831643</v>
      </c>
      <c r="R497" s="2">
        <f t="shared" si="204"/>
        <v>0.95907983774758498</v>
      </c>
      <c r="S497" s="18">
        <f t="shared" si="205"/>
        <v>8.7987930467941027</v>
      </c>
      <c r="T497" s="18">
        <f t="shared" si="206"/>
        <v>5.6839447520332316</v>
      </c>
      <c r="U497" s="1">
        <f t="shared" si="196"/>
        <v>0</v>
      </c>
      <c r="V497" s="2">
        <f t="shared" si="207"/>
        <v>1115.509089670298</v>
      </c>
      <c r="W497" s="19">
        <f t="shared" si="208"/>
        <v>482.90436782263981</v>
      </c>
      <c r="X497" s="20"/>
      <c r="Y497" s="2">
        <f t="shared" si="209"/>
        <v>463.01083582723868</v>
      </c>
      <c r="Z497" s="21">
        <f t="shared" si="210"/>
        <v>4.5379953625125777</v>
      </c>
      <c r="AA497" s="2">
        <f t="shared" si="211"/>
        <v>365.82061239801254</v>
      </c>
      <c r="AB497" s="19">
        <f t="shared" si="214"/>
        <v>85.643641856705926</v>
      </c>
      <c r="AC497" s="2"/>
      <c r="AD497" s="18"/>
      <c r="AE497" s="118"/>
      <c r="AG497" s="2"/>
      <c r="AH497" s="19"/>
      <c r="AI497" s="20"/>
      <c r="AJ497" s="21"/>
      <c r="AK497" s="21"/>
      <c r="AM497" s="19"/>
      <c r="AN497" s="18"/>
      <c r="AO497" s="2"/>
      <c r="AP497" s="18"/>
      <c r="AQ497" s="118"/>
      <c r="AS497" s="2"/>
      <c r="AT497" s="19"/>
      <c r="AU497" s="20"/>
      <c r="AV497" s="21"/>
      <c r="AW497" s="21"/>
    </row>
    <row r="498" spans="1:49" x14ac:dyDescent="0.25">
      <c r="A498" s="1">
        <f t="shared" si="197"/>
        <v>472</v>
      </c>
      <c r="B498" s="19">
        <f t="shared" si="198"/>
        <v>282.88670497762757</v>
      </c>
      <c r="C498" s="18">
        <f t="shared" si="212"/>
        <v>7.2349389395351391</v>
      </c>
      <c r="D498" s="2">
        <f t="shared" si="191"/>
        <v>0.94897366455034937</v>
      </c>
      <c r="E498" s="18">
        <f t="shared" si="199"/>
        <v>7.2507551672776449</v>
      </c>
      <c r="F498" s="21">
        <f t="shared" si="192"/>
        <v>3.8824563440568416</v>
      </c>
      <c r="G498" s="1">
        <f t="shared" si="193"/>
        <v>0</v>
      </c>
      <c r="H498" s="2">
        <f t="shared" si="189"/>
        <v>657.35074484237657</v>
      </c>
      <c r="I498" s="19">
        <f t="shared" si="215"/>
        <v>284.56742200968682</v>
      </c>
      <c r="J498" s="20">
        <f t="shared" si="194"/>
        <v>0.91638282450719133</v>
      </c>
      <c r="K498" s="21">
        <f t="shared" si="195"/>
        <v>264.62827251674878</v>
      </c>
      <c r="L498" s="21">
        <f t="shared" si="190"/>
        <v>3.0816571768315981</v>
      </c>
      <c r="M498" s="2">
        <f t="shared" si="200"/>
        <v>207.75210584440529</v>
      </c>
      <c r="N498" s="19">
        <f t="shared" si="213"/>
        <v>331.95407982134543</v>
      </c>
      <c r="O498" s="1">
        <f t="shared" si="201"/>
        <v>472</v>
      </c>
      <c r="P498" s="19">
        <f t="shared" si="202"/>
        <v>482.90436782263981</v>
      </c>
      <c r="Q498" s="18">
        <f t="shared" si="203"/>
        <v>8.7987930467941027</v>
      </c>
      <c r="R498" s="2">
        <f t="shared" si="204"/>
        <v>0.95917783016720859</v>
      </c>
      <c r="S498" s="18">
        <f t="shared" si="205"/>
        <v>8.814779343963556</v>
      </c>
      <c r="T498" s="18">
        <f t="shared" si="206"/>
        <v>5.7043085949429564</v>
      </c>
      <c r="U498" s="1">
        <f t="shared" si="196"/>
        <v>0</v>
      </c>
      <c r="V498" s="2">
        <f t="shared" si="207"/>
        <v>1121.2133982652408</v>
      </c>
      <c r="W498" s="19">
        <f t="shared" si="208"/>
        <v>485.3737654827882</v>
      </c>
      <c r="X498" s="20"/>
      <c r="Y498" s="2">
        <f t="shared" si="209"/>
        <v>465.48080144884898</v>
      </c>
      <c r="Z498" s="21">
        <f t="shared" si="210"/>
        <v>4.5545002729620983</v>
      </c>
      <c r="AA498" s="2">
        <f t="shared" si="211"/>
        <v>367.79225753782299</v>
      </c>
      <c r="AB498" s="19">
        <f t="shared" si="214"/>
        <v>85.727802726492172</v>
      </c>
      <c r="AC498" s="2"/>
      <c r="AD498" s="18"/>
      <c r="AE498" s="118"/>
      <c r="AG498" s="2"/>
      <c r="AH498" s="19"/>
      <c r="AI498" s="20"/>
      <c r="AJ498" s="21"/>
      <c r="AK498" s="21"/>
      <c r="AM498" s="19"/>
      <c r="AN498" s="18"/>
      <c r="AO498" s="2"/>
      <c r="AP498" s="18"/>
      <c r="AQ498" s="118"/>
      <c r="AS498" s="2"/>
      <c r="AT498" s="19"/>
      <c r="AU498" s="20"/>
      <c r="AV498" s="21"/>
      <c r="AW498" s="21"/>
    </row>
    <row r="499" spans="1:49" x14ac:dyDescent="0.25">
      <c r="A499" s="1">
        <f t="shared" si="197"/>
        <v>473</v>
      </c>
      <c r="B499" s="19">
        <f t="shared" si="198"/>
        <v>284.56742200968682</v>
      </c>
      <c r="C499" s="18">
        <f t="shared" si="212"/>
        <v>7.2507551672776449</v>
      </c>
      <c r="D499" s="2">
        <f t="shared" si="191"/>
        <v>0.94908610044773667</v>
      </c>
      <c r="E499" s="18">
        <f t="shared" si="199"/>
        <v>7.2665732689517739</v>
      </c>
      <c r="F499" s="21">
        <f t="shared" si="192"/>
        <v>3.8991552374120046</v>
      </c>
      <c r="G499" s="1">
        <f t="shared" si="193"/>
        <v>0</v>
      </c>
      <c r="H499" s="2">
        <f t="shared" si="189"/>
        <v>661.24990007978863</v>
      </c>
      <c r="I499" s="19">
        <f t="shared" si="215"/>
        <v>286.25536799990851</v>
      </c>
      <c r="J499" s="20">
        <f t="shared" si="194"/>
        <v>0.91632118105106675</v>
      </c>
      <c r="K499" s="21">
        <f t="shared" si="195"/>
        <v>266.3166067345482</v>
      </c>
      <c r="L499" s="21">
        <f t="shared" si="190"/>
        <v>3.0951176059958265</v>
      </c>
      <c r="M499" s="2">
        <f t="shared" si="200"/>
        <v>209.09198359591863</v>
      </c>
      <c r="N499" s="19">
        <f t="shared" si="213"/>
        <v>332.05620905599801</v>
      </c>
      <c r="O499" s="1">
        <f t="shared" si="201"/>
        <v>473</v>
      </c>
      <c r="P499" s="19">
        <f t="shared" si="202"/>
        <v>485.3737654827882</v>
      </c>
      <c r="Q499" s="18">
        <f t="shared" si="203"/>
        <v>8.814779343963556</v>
      </c>
      <c r="R499" s="2">
        <f t="shared" si="204"/>
        <v>0.95927568293740162</v>
      </c>
      <c r="S499" s="18">
        <f t="shared" si="205"/>
        <v>8.8307672720125119</v>
      </c>
      <c r="T499" s="18">
        <f t="shared" si="206"/>
        <v>5.7247104482537186</v>
      </c>
      <c r="U499" s="1">
        <f t="shared" si="196"/>
        <v>0</v>
      </c>
      <c r="V499" s="2">
        <f t="shared" si="207"/>
        <v>1126.9381087134946</v>
      </c>
      <c r="W499" s="19">
        <f t="shared" si="208"/>
        <v>487.85199511406688</v>
      </c>
      <c r="X499" s="20"/>
      <c r="Y499" s="2">
        <f t="shared" si="209"/>
        <v>467.95960107294286</v>
      </c>
      <c r="Z499" s="21">
        <f t="shared" si="210"/>
        <v>4.5710368319071311</v>
      </c>
      <c r="AA499" s="2">
        <f t="shared" si="211"/>
        <v>369.77106136115941</v>
      </c>
      <c r="AB499" s="19">
        <f t="shared" si="214"/>
        <v>85.81181096390705</v>
      </c>
      <c r="AC499" s="2"/>
      <c r="AD499" s="18"/>
      <c r="AE499" s="118"/>
      <c r="AG499" s="2"/>
      <c r="AH499" s="19"/>
      <c r="AI499" s="20"/>
      <c r="AJ499" s="21"/>
      <c r="AK499" s="21"/>
      <c r="AM499" s="19"/>
      <c r="AN499" s="18"/>
      <c r="AO499" s="2"/>
      <c r="AP499" s="18"/>
      <c r="AQ499" s="118"/>
      <c r="AS499" s="2"/>
      <c r="AT499" s="19"/>
      <c r="AU499" s="20"/>
      <c r="AV499" s="21"/>
      <c r="AW499" s="21"/>
    </row>
    <row r="500" spans="1:49" x14ac:dyDescent="0.25">
      <c r="A500" s="1">
        <f t="shared" si="197"/>
        <v>474</v>
      </c>
      <c r="B500" s="19">
        <f t="shared" si="198"/>
        <v>286.25536799990851</v>
      </c>
      <c r="C500" s="18">
        <f t="shared" si="212"/>
        <v>7.2665732689517739</v>
      </c>
      <c r="D500" s="2">
        <f t="shared" si="191"/>
        <v>0.94919836684797643</v>
      </c>
      <c r="E500" s="18">
        <f t="shared" si="199"/>
        <v>7.2823932417325734</v>
      </c>
      <c r="F500" s="21">
        <f t="shared" si="192"/>
        <v>3.915891457164618</v>
      </c>
      <c r="G500" s="1">
        <f t="shared" si="193"/>
        <v>0</v>
      </c>
      <c r="H500" s="2">
        <f t="shared" si="189"/>
        <v>665.16579153695329</v>
      </c>
      <c r="I500" s="19">
        <f t="shared" si="215"/>
        <v>287.95055910690616</v>
      </c>
      <c r="J500" s="20">
        <f t="shared" si="194"/>
        <v>0.91625956996693492</v>
      </c>
      <c r="K500" s="21">
        <f t="shared" si="195"/>
        <v>268.0121877355005</v>
      </c>
      <c r="L500" s="21">
        <f t="shared" si="190"/>
        <v>3.1086089655904283</v>
      </c>
      <c r="M500" s="2">
        <f t="shared" si="200"/>
        <v>210.4377017628409</v>
      </c>
      <c r="N500" s="19">
        <f t="shared" si="213"/>
        <v>332.15811597257056</v>
      </c>
      <c r="O500" s="1">
        <f t="shared" si="201"/>
        <v>474</v>
      </c>
      <c r="P500" s="19">
        <f t="shared" si="202"/>
        <v>487.85199511406688</v>
      </c>
      <c r="Q500" s="18">
        <f t="shared" si="203"/>
        <v>8.8307672720125119</v>
      </c>
      <c r="R500" s="2">
        <f t="shared" si="204"/>
        <v>0.9593733964066915</v>
      </c>
      <c r="S500" s="18">
        <f t="shared" si="205"/>
        <v>8.8467568286192897</v>
      </c>
      <c r="T500" s="18">
        <f t="shared" si="206"/>
        <v>5.7451503183910759</v>
      </c>
      <c r="U500" s="1">
        <f t="shared" si="196"/>
        <v>0</v>
      </c>
      <c r="V500" s="2">
        <f t="shared" si="207"/>
        <v>1132.6832590318857</v>
      </c>
      <c r="W500" s="19">
        <f t="shared" si="208"/>
        <v>490.33907317397649</v>
      </c>
      <c r="X500" s="20"/>
      <c r="Y500" s="2">
        <f t="shared" si="209"/>
        <v>470.44725116080622</v>
      </c>
      <c r="Z500" s="21">
        <f t="shared" si="210"/>
        <v>4.5876050461100943</v>
      </c>
      <c r="AA500" s="2">
        <f t="shared" si="211"/>
        <v>371.7570375715967</v>
      </c>
      <c r="AB500" s="19">
        <f t="shared" si="214"/>
        <v>85.895667106083309</v>
      </c>
      <c r="AC500" s="2"/>
      <c r="AD500" s="18"/>
      <c r="AE500" s="118"/>
      <c r="AG500" s="2"/>
      <c r="AH500" s="19"/>
      <c r="AI500" s="20"/>
      <c r="AJ500" s="21"/>
      <c r="AK500" s="21"/>
      <c r="AM500" s="19"/>
      <c r="AN500" s="18"/>
      <c r="AO500" s="2"/>
      <c r="AP500" s="18"/>
      <c r="AQ500" s="118"/>
      <c r="AS500" s="2"/>
      <c r="AT500" s="19"/>
      <c r="AU500" s="20"/>
      <c r="AV500" s="21"/>
      <c r="AW500" s="21"/>
    </row>
    <row r="501" spans="1:49" x14ac:dyDescent="0.25">
      <c r="A501" s="1">
        <f t="shared" si="197"/>
        <v>475</v>
      </c>
      <c r="B501" s="19">
        <f t="shared" si="198"/>
        <v>287.95055910690616</v>
      </c>
      <c r="C501" s="18">
        <f t="shared" si="212"/>
        <v>7.2823932417325734</v>
      </c>
      <c r="D501" s="2">
        <f t="shared" si="191"/>
        <v>0.94931046407585662</v>
      </c>
      <c r="E501" s="18">
        <f t="shared" si="199"/>
        <v>7.2982150828005041</v>
      </c>
      <c r="F501" s="21">
        <f t="shared" si="192"/>
        <v>3.9326650109311352</v>
      </c>
      <c r="G501" s="1">
        <f t="shared" si="193"/>
        <v>0</v>
      </c>
      <c r="H501" s="2">
        <f t="shared" si="189"/>
        <v>669.09845654788433</v>
      </c>
      <c r="I501" s="19">
        <f t="shared" si="215"/>
        <v>289.65301149259062</v>
      </c>
      <c r="J501" s="20">
        <f t="shared" si="194"/>
        <v>0.91619799144562686</v>
      </c>
      <c r="K501" s="21">
        <f t="shared" si="195"/>
        <v>269.71503168523367</v>
      </c>
      <c r="L501" s="21">
        <f t="shared" si="190"/>
        <v>3.1221312636135847</v>
      </c>
      <c r="M501" s="2">
        <f t="shared" si="200"/>
        <v>211.78927373843121</v>
      </c>
      <c r="N501" s="19">
        <f t="shared" si="213"/>
        <v>332.25980151073179</v>
      </c>
      <c r="O501" s="1">
        <f t="shared" si="201"/>
        <v>475</v>
      </c>
      <c r="P501" s="19">
        <f t="shared" si="202"/>
        <v>490.33907317397649</v>
      </c>
      <c r="Q501" s="18">
        <f t="shared" si="203"/>
        <v>8.8467568286192897</v>
      </c>
      <c r="R501" s="2">
        <f t="shared" si="204"/>
        <v>0.95947097092276457</v>
      </c>
      <c r="S501" s="18">
        <f t="shared" si="205"/>
        <v>8.8627480114680033</v>
      </c>
      <c r="T501" s="18">
        <f t="shared" si="206"/>
        <v>5.7656282117706059</v>
      </c>
      <c r="U501" s="1">
        <f t="shared" si="196"/>
        <v>0</v>
      </c>
      <c r="V501" s="2">
        <f t="shared" si="207"/>
        <v>1138.4488872436564</v>
      </c>
      <c r="W501" s="19">
        <f t="shared" si="208"/>
        <v>492.83501612279497</v>
      </c>
      <c r="X501" s="20"/>
      <c r="Y501" s="2">
        <f t="shared" si="209"/>
        <v>472.94376817650289</v>
      </c>
      <c r="Z501" s="21">
        <f t="shared" si="210"/>
        <v>4.6042049223229453</v>
      </c>
      <c r="AA501" s="2">
        <f t="shared" si="211"/>
        <v>373.75019987563263</v>
      </c>
      <c r="AB501" s="19">
        <f t="shared" si="214"/>
        <v>85.979371687347694</v>
      </c>
      <c r="AC501" s="2"/>
      <c r="AD501" s="18"/>
      <c r="AE501" s="118"/>
      <c r="AG501" s="2"/>
      <c r="AH501" s="19"/>
      <c r="AI501" s="20"/>
      <c r="AJ501" s="21"/>
      <c r="AK501" s="21"/>
      <c r="AM501" s="19"/>
      <c r="AN501" s="18"/>
      <c r="AO501" s="2"/>
      <c r="AP501" s="18"/>
      <c r="AQ501" s="118"/>
      <c r="AS501" s="2"/>
      <c r="AT501" s="19"/>
      <c r="AU501" s="20"/>
      <c r="AV501" s="21"/>
      <c r="AW501" s="21"/>
    </row>
    <row r="502" spans="1:49" x14ac:dyDescent="0.25">
      <c r="A502" s="1">
        <f t="shared" si="197"/>
        <v>476</v>
      </c>
      <c r="B502" s="19">
        <f t="shared" si="198"/>
        <v>289.65301149259062</v>
      </c>
      <c r="C502" s="18">
        <f t="shared" si="212"/>
        <v>7.2982150828005041</v>
      </c>
      <c r="D502" s="2">
        <f t="shared" si="191"/>
        <v>0.94942239245729043</v>
      </c>
      <c r="E502" s="18">
        <f t="shared" si="199"/>
        <v>7.3140387893414589</v>
      </c>
      <c r="F502" s="21">
        <f t="shared" si="192"/>
        <v>3.9494759063135105</v>
      </c>
      <c r="G502" s="1">
        <f t="shared" si="193"/>
        <v>0</v>
      </c>
      <c r="H502" s="2">
        <f t="shared" si="189"/>
        <v>673.04793245419785</v>
      </c>
      <c r="I502" s="19">
        <f t="shared" si="215"/>
        <v>291.36274132216357</v>
      </c>
      <c r="J502" s="20">
        <f t="shared" si="194"/>
        <v>0.91613644567549724</v>
      </c>
      <c r="K502" s="21">
        <f t="shared" si="195"/>
        <v>271.42515475266742</v>
      </c>
      <c r="L502" s="21">
        <f t="shared" si="190"/>
        <v>3.1356845080484419</v>
      </c>
      <c r="M502" s="2">
        <f t="shared" si="200"/>
        <v>213.14671291940456</v>
      </c>
      <c r="N502" s="19">
        <f t="shared" si="213"/>
        <v>332.36126660424929</v>
      </c>
      <c r="O502" s="1">
        <f t="shared" si="201"/>
        <v>476</v>
      </c>
      <c r="P502" s="19">
        <f t="shared" si="202"/>
        <v>492.83501612279497</v>
      </c>
      <c r="Q502" s="18">
        <f t="shared" si="203"/>
        <v>8.8627480114680033</v>
      </c>
      <c r="R502" s="2">
        <f t="shared" si="204"/>
        <v>0.95956840683246269</v>
      </c>
      <c r="S502" s="18">
        <f t="shared" si="205"/>
        <v>8.878740818248545</v>
      </c>
      <c r="T502" s="18">
        <f t="shared" si="206"/>
        <v>5.7861441347979312</v>
      </c>
      <c r="U502" s="1">
        <f t="shared" si="196"/>
        <v>0</v>
      </c>
      <c r="V502" s="2">
        <f t="shared" si="207"/>
        <v>1144.2350313784543</v>
      </c>
      <c r="W502" s="19">
        <f t="shared" si="208"/>
        <v>495.33984042357326</v>
      </c>
      <c r="X502" s="20"/>
      <c r="Y502" s="2">
        <f t="shared" si="209"/>
        <v>475.44916858687037</v>
      </c>
      <c r="Z502" s="21">
        <f t="shared" si="210"/>
        <v>4.6208364672872246</v>
      </c>
      <c r="AA502" s="2">
        <f t="shared" si="211"/>
        <v>375.75056198268339</v>
      </c>
      <c r="AB502" s="19">
        <f t="shared" si="214"/>
        <v>86.062925239240315</v>
      </c>
      <c r="AC502" s="2"/>
      <c r="AD502" s="18"/>
      <c r="AE502" s="118"/>
      <c r="AG502" s="2"/>
      <c r="AH502" s="19"/>
      <c r="AI502" s="20"/>
      <c r="AJ502" s="21"/>
      <c r="AK502" s="21"/>
      <c r="AM502" s="19"/>
      <c r="AN502" s="18"/>
      <c r="AO502" s="2"/>
      <c r="AP502" s="18"/>
      <c r="AQ502" s="118"/>
      <c r="AS502" s="2"/>
      <c r="AT502" s="19"/>
      <c r="AU502" s="20"/>
      <c r="AV502" s="21"/>
      <c r="AW502" s="21"/>
    </row>
    <row r="503" spans="1:49" x14ac:dyDescent="0.25">
      <c r="A503" s="1">
        <f t="shared" si="197"/>
        <v>477</v>
      </c>
      <c r="B503" s="19">
        <f t="shared" si="198"/>
        <v>291.36274132216357</v>
      </c>
      <c r="C503" s="18">
        <f t="shared" si="212"/>
        <v>7.3140387893414589</v>
      </c>
      <c r="D503" s="2">
        <f t="shared" si="191"/>
        <v>0.94953415231927529</v>
      </c>
      <c r="E503" s="18">
        <f t="shared" si="199"/>
        <v>7.3298643585467804</v>
      </c>
      <c r="F503" s="21">
        <f t="shared" si="192"/>
        <v>3.9663241508992666</v>
      </c>
      <c r="G503" s="1">
        <f t="shared" si="193"/>
        <v>0</v>
      </c>
      <c r="H503" s="2">
        <f t="shared" si="189"/>
        <v>677.0142566050971</v>
      </c>
      <c r="I503" s="19">
        <f t="shared" si="215"/>
        <v>293.0797647641113</v>
      </c>
      <c r="J503" s="20">
        <f t="shared" si="194"/>
        <v>0.9160749328424489</v>
      </c>
      <c r="K503" s="21">
        <f t="shared" si="195"/>
        <v>273.14257311000682</v>
      </c>
      <c r="L503" s="21">
        <f t="shared" si="190"/>
        <v>3.1492687068631779</v>
      </c>
      <c r="M503" s="2">
        <f t="shared" si="200"/>
        <v>214.51003270592543</v>
      </c>
      <c r="N503" s="19">
        <f t="shared" si="213"/>
        <v>332.46251218103873</v>
      </c>
      <c r="O503" s="1">
        <f t="shared" si="201"/>
        <v>477</v>
      </c>
      <c r="P503" s="19">
        <f t="shared" si="202"/>
        <v>495.33984042357326</v>
      </c>
      <c r="Q503" s="18">
        <f t="shared" si="203"/>
        <v>8.878740818248545</v>
      </c>
      <c r="R503" s="2">
        <f t="shared" si="204"/>
        <v>0.95966570448178112</v>
      </c>
      <c r="S503" s="18">
        <f t="shared" si="205"/>
        <v>8.894735246656575</v>
      </c>
      <c r="T503" s="18">
        <f t="shared" si="206"/>
        <v>5.8066980938687687</v>
      </c>
      <c r="U503" s="1">
        <f t="shared" si="196"/>
        <v>0</v>
      </c>
      <c r="V503" s="2">
        <f t="shared" si="207"/>
        <v>1150.0417294723231</v>
      </c>
      <c r="W503" s="19">
        <f t="shared" si="208"/>
        <v>497.85356254213121</v>
      </c>
      <c r="X503" s="20"/>
      <c r="Y503" s="2">
        <f t="shared" si="209"/>
        <v>477.96346886151554</v>
      </c>
      <c r="Z503" s="21">
        <f t="shared" si="210"/>
        <v>4.6374996877340902</v>
      </c>
      <c r="AA503" s="2">
        <f t="shared" si="211"/>
        <v>377.75813760507913</v>
      </c>
      <c r="AB503" s="19">
        <f t="shared" si="214"/>
        <v>86.146328290533958</v>
      </c>
      <c r="AC503" s="2"/>
      <c r="AD503" s="18"/>
      <c r="AE503" s="118"/>
      <c r="AG503" s="2"/>
      <c r="AH503" s="19"/>
      <c r="AI503" s="20"/>
      <c r="AJ503" s="21"/>
      <c r="AK503" s="21"/>
      <c r="AM503" s="19"/>
      <c r="AN503" s="18"/>
      <c r="AO503" s="2"/>
      <c r="AP503" s="18"/>
      <c r="AQ503" s="118"/>
      <c r="AS503" s="2"/>
      <c r="AT503" s="19"/>
      <c r="AU503" s="20"/>
      <c r="AV503" s="21"/>
      <c r="AW503" s="21"/>
    </row>
    <row r="504" spans="1:49" x14ac:dyDescent="0.25">
      <c r="A504" s="1">
        <f t="shared" si="197"/>
        <v>478</v>
      </c>
      <c r="B504" s="19">
        <f t="shared" si="198"/>
        <v>293.0797647641113</v>
      </c>
      <c r="C504" s="18">
        <f t="shared" si="212"/>
        <v>7.3298643585467804</v>
      </c>
      <c r="D504" s="2">
        <f t="shared" si="191"/>
        <v>0.94964574398985546</v>
      </c>
      <c r="E504" s="18">
        <f t="shared" si="199"/>
        <v>7.3456917876132781</v>
      </c>
      <c r="F504" s="21">
        <f t="shared" si="192"/>
        <v>3.9832097522615366</v>
      </c>
      <c r="G504" s="1">
        <f t="shared" si="193"/>
        <v>0</v>
      </c>
      <c r="H504" s="2">
        <f t="shared" si="189"/>
        <v>680.99746635735869</v>
      </c>
      <c r="I504" s="19">
        <f t="shared" si="215"/>
        <v>294.80409799019856</v>
      </c>
      <c r="J504" s="20">
        <f t="shared" si="194"/>
        <v>0.9160134531299563</v>
      </c>
      <c r="K504" s="21">
        <f t="shared" si="195"/>
        <v>274.8673029327361</v>
      </c>
      <c r="L504" s="21">
        <f t="shared" si="190"/>
        <v>3.1628838680110474</v>
      </c>
      <c r="M504" s="2">
        <f t="shared" si="200"/>
        <v>215.87924650160122</v>
      </c>
      <c r="N504" s="19">
        <f t="shared" si="213"/>
        <v>332.56353916321257</v>
      </c>
      <c r="O504" s="1">
        <f t="shared" si="201"/>
        <v>478</v>
      </c>
      <c r="P504" s="19">
        <f t="shared" si="202"/>
        <v>497.85356254213121</v>
      </c>
      <c r="Q504" s="18">
        <f t="shared" si="203"/>
        <v>8.894735246656575</v>
      </c>
      <c r="R504" s="2">
        <f t="shared" si="204"/>
        <v>0.9597628642158661</v>
      </c>
      <c r="S504" s="18">
        <f t="shared" si="205"/>
        <v>8.9107312943935053</v>
      </c>
      <c r="T504" s="18">
        <f t="shared" si="206"/>
        <v>5.8272900953689541</v>
      </c>
      <c r="U504" s="1">
        <f t="shared" si="196"/>
        <v>0</v>
      </c>
      <c r="V504" s="2">
        <f t="shared" si="207"/>
        <v>1155.869019567692</v>
      </c>
      <c r="W504" s="19">
        <f t="shared" si="208"/>
        <v>500.37619894705279</v>
      </c>
      <c r="X504" s="20"/>
      <c r="Y504" s="2">
        <f t="shared" si="209"/>
        <v>480.48668547281028</v>
      </c>
      <c r="Z504" s="21">
        <f t="shared" si="210"/>
        <v>4.6541945903843498</v>
      </c>
      <c r="AA504" s="2">
        <f t="shared" si="211"/>
        <v>379.77294045805934</v>
      </c>
      <c r="AB504" s="19">
        <f t="shared" si="214"/>
        <v>86.229581367253218</v>
      </c>
      <c r="AC504" s="2"/>
      <c r="AD504" s="18"/>
      <c r="AE504" s="118"/>
      <c r="AG504" s="2"/>
      <c r="AH504" s="19"/>
      <c r="AI504" s="20"/>
      <c r="AJ504" s="21"/>
      <c r="AK504" s="21"/>
      <c r="AM504" s="19"/>
      <c r="AN504" s="18"/>
      <c r="AO504" s="2"/>
      <c r="AP504" s="18"/>
      <c r="AQ504" s="118"/>
      <c r="AS504" s="2"/>
      <c r="AT504" s="19"/>
      <c r="AU504" s="20"/>
      <c r="AV504" s="21"/>
      <c r="AW504" s="21"/>
    </row>
    <row r="505" spans="1:49" x14ac:dyDescent="0.25">
      <c r="A505" s="1">
        <f t="shared" si="197"/>
        <v>479</v>
      </c>
      <c r="B505" s="19">
        <f t="shared" si="198"/>
        <v>294.80409799019856</v>
      </c>
      <c r="C505" s="18">
        <f t="shared" si="212"/>
        <v>7.3456917876132781</v>
      </c>
      <c r="D505" s="2">
        <f t="shared" si="191"/>
        <v>0.94975716779808395</v>
      </c>
      <c r="E505" s="18">
        <f t="shared" si="199"/>
        <v>7.3615210737432459</v>
      </c>
      <c r="F505" s="21">
        <f t="shared" si="192"/>
        <v>4.0001327179591444</v>
      </c>
      <c r="G505" s="1">
        <f t="shared" si="193"/>
        <v>0</v>
      </c>
      <c r="H505" s="2">
        <f t="shared" si="189"/>
        <v>684.99759907531779</v>
      </c>
      <c r="I505" s="19">
        <f t="shared" si="215"/>
        <v>296.53575717546227</v>
      </c>
      <c r="J505" s="20">
        <f t="shared" si="194"/>
        <v>0.91595200671909061</v>
      </c>
      <c r="K505" s="21">
        <f t="shared" si="195"/>
        <v>276.59936039961241</v>
      </c>
      <c r="L505" s="21">
        <f t="shared" si="190"/>
        <v>3.1765299994304614</v>
      </c>
      <c r="M505" s="2">
        <f t="shared" si="200"/>
        <v>217.25436771347589</v>
      </c>
      <c r="N505" s="19">
        <f t="shared" si="213"/>
        <v>332.66434846712809</v>
      </c>
      <c r="O505" s="1">
        <f t="shared" si="201"/>
        <v>479</v>
      </c>
      <c r="P505" s="19">
        <f t="shared" si="202"/>
        <v>500.37619894705279</v>
      </c>
      <c r="Q505" s="18">
        <f t="shared" si="203"/>
        <v>8.9107312943935053</v>
      </c>
      <c r="R505" s="2">
        <f t="shared" si="204"/>
        <v>0.95985988637901232</v>
      </c>
      <c r="S505" s="18">
        <f t="shared" si="205"/>
        <v>8.9267289591664891</v>
      </c>
      <c r="T505" s="18">
        <f t="shared" si="206"/>
        <v>5.8479201456744851</v>
      </c>
      <c r="U505" s="1">
        <f t="shared" si="196"/>
        <v>0</v>
      </c>
      <c r="V505" s="2">
        <f t="shared" si="207"/>
        <v>1161.7169397133664</v>
      </c>
      <c r="W505" s="19">
        <f t="shared" si="208"/>
        <v>502.90776610968243</v>
      </c>
      <c r="X505" s="20"/>
      <c r="Y505" s="2">
        <f t="shared" si="209"/>
        <v>483.01883489588732</v>
      </c>
      <c r="Z505" s="21">
        <f t="shared" si="210"/>
        <v>4.6709211819485059</v>
      </c>
      <c r="AA505" s="2">
        <f t="shared" si="211"/>
        <v>381.79498425976863</v>
      </c>
      <c r="AB505" s="19">
        <f t="shared" si="214"/>
        <v>86.312684992693406</v>
      </c>
      <c r="AC505" s="2"/>
      <c r="AD505" s="18"/>
      <c r="AE505" s="118"/>
      <c r="AG505" s="2"/>
      <c r="AH505" s="19"/>
      <c r="AI505" s="20"/>
      <c r="AJ505" s="21"/>
      <c r="AK505" s="21"/>
      <c r="AM505" s="19"/>
      <c r="AN505" s="18"/>
      <c r="AO505" s="2"/>
      <c r="AP505" s="18"/>
      <c r="AQ505" s="118"/>
      <c r="AS505" s="2"/>
      <c r="AT505" s="19"/>
      <c r="AU505" s="20"/>
      <c r="AV505" s="21"/>
      <c r="AW505" s="21"/>
    </row>
    <row r="506" spans="1:49" x14ac:dyDescent="0.25">
      <c r="A506" s="1">
        <f t="shared" si="197"/>
        <v>480</v>
      </c>
      <c r="B506" s="19">
        <f t="shared" si="198"/>
        <v>296.53575717546227</v>
      </c>
      <c r="C506" s="18">
        <f t="shared" si="212"/>
        <v>7.3615210737432459</v>
      </c>
      <c r="D506" s="2">
        <f t="shared" si="191"/>
        <v>0.94986842407398475</v>
      </c>
      <c r="E506" s="18">
        <f t="shared" si="199"/>
        <v>7.3773522141444792</v>
      </c>
      <c r="F506" s="21">
        <f t="shared" si="192"/>
        <v>4.017093055536642</v>
      </c>
      <c r="G506" s="1">
        <f t="shared" si="193"/>
        <v>0</v>
      </c>
      <c r="H506" s="2">
        <f t="shared" si="189"/>
        <v>689.01469213085443</v>
      </c>
      <c r="I506" s="19">
        <f t="shared" si="215"/>
        <v>298.27475849820536</v>
      </c>
      <c r="J506" s="20">
        <f t="shared" si="194"/>
        <v>0.91589059378854187</v>
      </c>
      <c r="K506" s="21">
        <f t="shared" si="195"/>
        <v>278.33876169265977</v>
      </c>
      <c r="L506" s="21">
        <f t="shared" si="190"/>
        <v>3.1902071090450264</v>
      </c>
      <c r="M506" s="2">
        <f t="shared" si="200"/>
        <v>218.63540975202352</v>
      </c>
      <c r="N506" s="19">
        <f t="shared" si="213"/>
        <v>332.76494100343541</v>
      </c>
      <c r="O506" s="1">
        <f t="shared" si="201"/>
        <v>480</v>
      </c>
      <c r="P506" s="19">
        <f t="shared" si="202"/>
        <v>502.90776610968243</v>
      </c>
      <c r="Q506" s="18">
        <f t="shared" si="203"/>
        <v>8.9267289591664891</v>
      </c>
      <c r="R506" s="2">
        <f t="shared" si="204"/>
        <v>0.9599567713146604</v>
      </c>
      <c r="S506" s="18">
        <f t="shared" si="205"/>
        <v>8.9427282386883995</v>
      </c>
      <c r="T506" s="18">
        <f t="shared" si="206"/>
        <v>5.8685882511515359</v>
      </c>
      <c r="U506" s="1">
        <f t="shared" si="196"/>
        <v>0</v>
      </c>
      <c r="V506" s="2">
        <f t="shared" si="207"/>
        <v>1167.585527964518</v>
      </c>
      <c r="W506" s="19">
        <f t="shared" si="208"/>
        <v>505.44828050412031</v>
      </c>
      <c r="X506" s="20"/>
      <c r="Y506" s="2">
        <f t="shared" si="209"/>
        <v>485.55993360863596</v>
      </c>
      <c r="Z506" s="21">
        <f t="shared" si="210"/>
        <v>4.6876794691267705</v>
      </c>
      <c r="AA506" s="2">
        <f t="shared" si="211"/>
        <v>383.82428273125208</v>
      </c>
      <c r="AB506" s="19">
        <f t="shared" si="214"/>
        <v>86.395639687439342</v>
      </c>
      <c r="AC506" s="2"/>
      <c r="AD506" s="18"/>
      <c r="AE506" s="118"/>
      <c r="AG506" s="2"/>
      <c r="AH506" s="19"/>
      <c r="AI506" s="20"/>
      <c r="AJ506" s="21"/>
      <c r="AK506" s="21"/>
      <c r="AM506" s="19"/>
      <c r="AN506" s="18"/>
      <c r="AO506" s="2"/>
      <c r="AP506" s="18"/>
      <c r="AQ506" s="118"/>
      <c r="AS506" s="2"/>
      <c r="AT506" s="19"/>
      <c r="AU506" s="20"/>
      <c r="AV506" s="21"/>
      <c r="AW506" s="21"/>
    </row>
    <row r="507" spans="1:49" x14ac:dyDescent="0.25">
      <c r="A507" s="1">
        <f t="shared" si="197"/>
        <v>481</v>
      </c>
      <c r="B507" s="19">
        <f t="shared" si="198"/>
        <v>298.27475849820536</v>
      </c>
      <c r="C507" s="18">
        <f t="shared" si="212"/>
        <v>7.3773522141444792</v>
      </c>
      <c r="D507" s="2">
        <f t="shared" si="191"/>
        <v>0.94997951314851614</v>
      </c>
      <c r="E507" s="18">
        <f t="shared" si="199"/>
        <v>7.3931852060302878</v>
      </c>
      <c r="F507" s="21">
        <f t="shared" si="192"/>
        <v>4.0340907725243813</v>
      </c>
      <c r="G507" s="1">
        <f t="shared" si="193"/>
        <v>0</v>
      </c>
      <c r="H507" s="2">
        <f t="shared" si="189"/>
        <v>693.04878290337876</v>
      </c>
      <c r="I507" s="19">
        <f t="shared" si="215"/>
        <v>300.02111813999079</v>
      </c>
      <c r="J507" s="20">
        <f t="shared" si="194"/>
        <v>0.91582921451464339</v>
      </c>
      <c r="K507" s="21">
        <f t="shared" si="195"/>
        <v>280.08552299716285</v>
      </c>
      <c r="L507" s="21">
        <f t="shared" si="190"/>
        <v>3.2039152047636184</v>
      </c>
      <c r="M507" s="2">
        <f t="shared" si="200"/>
        <v>220.02238603114196</v>
      </c>
      <c r="N507" s="19">
        <f t="shared" si="213"/>
        <v>332.86531767712432</v>
      </c>
      <c r="O507" s="1">
        <f t="shared" si="201"/>
        <v>481</v>
      </c>
      <c r="P507" s="19">
        <f t="shared" si="202"/>
        <v>505.44828050412031</v>
      </c>
      <c r="Q507" s="18">
        <f t="shared" si="203"/>
        <v>8.9427282386883995</v>
      </c>
      <c r="R507" s="2">
        <f t="shared" si="204"/>
        <v>0.96005351936539463</v>
      </c>
      <c r="S507" s="18">
        <f t="shared" si="205"/>
        <v>8.9587291306778223</v>
      </c>
      <c r="T507" s="18">
        <f t="shared" si="206"/>
        <v>5.8892944181565134</v>
      </c>
      <c r="U507" s="1">
        <f t="shared" si="196"/>
        <v>0</v>
      </c>
      <c r="V507" s="2">
        <f t="shared" si="207"/>
        <v>1173.4748223826746</v>
      </c>
      <c r="W507" s="19">
        <f t="shared" si="208"/>
        <v>507.99775860721843</v>
      </c>
      <c r="X507" s="20"/>
      <c r="Y507" s="2">
        <f t="shared" si="209"/>
        <v>488.10999809169772</v>
      </c>
      <c r="Z507" s="21">
        <f t="shared" si="210"/>
        <v>4.7044694586091174</v>
      </c>
      <c r="AA507" s="2">
        <f t="shared" si="211"/>
        <v>385.86084959645086</v>
      </c>
      <c r="AB507" s="19">
        <f t="shared" si="214"/>
        <v>86.478445969384012</v>
      </c>
      <c r="AC507" s="2"/>
      <c r="AD507" s="18"/>
      <c r="AE507" s="118"/>
      <c r="AG507" s="2"/>
      <c r="AH507" s="19"/>
      <c r="AI507" s="20"/>
      <c r="AJ507" s="21"/>
      <c r="AK507" s="21"/>
      <c r="AM507" s="19"/>
      <c r="AN507" s="18"/>
      <c r="AO507" s="2"/>
      <c r="AP507" s="18"/>
      <c r="AQ507" s="118"/>
      <c r="AS507" s="2"/>
      <c r="AT507" s="19"/>
      <c r="AU507" s="20"/>
      <c r="AV507" s="21"/>
      <c r="AW507" s="21"/>
    </row>
    <row r="508" spans="1:49" x14ac:dyDescent="0.25">
      <c r="A508" s="1">
        <f t="shared" si="197"/>
        <v>482</v>
      </c>
      <c r="B508" s="19">
        <f t="shared" si="198"/>
        <v>300.02111813999079</v>
      </c>
      <c r="C508" s="18">
        <f t="shared" si="212"/>
        <v>7.3931852060302878</v>
      </c>
      <c r="D508" s="2">
        <f t="shared" si="191"/>
        <v>0.95009043535353499</v>
      </c>
      <c r="E508" s="18">
        <f t="shared" si="199"/>
        <v>7.4090200466195135</v>
      </c>
      <c r="F508" s="21">
        <f t="shared" si="192"/>
        <v>4.0511258764385625</v>
      </c>
      <c r="G508" s="1">
        <f t="shared" si="193"/>
        <v>0</v>
      </c>
      <c r="H508" s="2">
        <f t="shared" si="189"/>
        <v>697.09990877981738</v>
      </c>
      <c r="I508" s="19">
        <f t="shared" si="215"/>
        <v>301.77485228563523</v>
      </c>
      <c r="J508" s="20">
        <f t="shared" si="194"/>
        <v>0.91576786907139529</v>
      </c>
      <c r="K508" s="21">
        <f t="shared" si="195"/>
        <v>281.83966050166077</v>
      </c>
      <c r="L508" s="21">
        <f t="shared" si="190"/>
        <v>3.2176542944804289</v>
      </c>
      <c r="M508" s="2">
        <f t="shared" si="200"/>
        <v>221.41530996814649</v>
      </c>
      <c r="N508" s="19">
        <f t="shared" si="213"/>
        <v>332.96547938757129</v>
      </c>
      <c r="O508" s="1">
        <f t="shared" si="201"/>
        <v>482</v>
      </c>
      <c r="P508" s="19">
        <f t="shared" si="202"/>
        <v>507.99775860721843</v>
      </c>
      <c r="Q508" s="18">
        <f t="shared" si="203"/>
        <v>8.9587291306778223</v>
      </c>
      <c r="R508" s="2">
        <f t="shared" si="204"/>
        <v>0.96015013087294121</v>
      </c>
      <c r="S508" s="18">
        <f t="shared" si="205"/>
        <v>8.9747316328590383</v>
      </c>
      <c r="T508" s="18">
        <f t="shared" si="206"/>
        <v>5.9100386530360769</v>
      </c>
      <c r="U508" s="1">
        <f t="shared" si="196"/>
        <v>0</v>
      </c>
      <c r="V508" s="2">
        <f t="shared" si="207"/>
        <v>1179.3848610357106</v>
      </c>
      <c r="W508" s="19">
        <f t="shared" si="208"/>
        <v>510.556216898576</v>
      </c>
      <c r="X508" s="20"/>
      <c r="Y508" s="2">
        <f t="shared" si="209"/>
        <v>490.66904482846235</v>
      </c>
      <c r="Z508" s="21">
        <f t="shared" si="210"/>
        <v>4.7212911570753091</v>
      </c>
      <c r="AA508" s="2">
        <f t="shared" si="211"/>
        <v>387.90469858219774</v>
      </c>
      <c r="AB508" s="19">
        <f t="shared" si="214"/>
        <v>86.561104353746998</v>
      </c>
      <c r="AC508" s="2"/>
      <c r="AD508" s="18"/>
      <c r="AE508" s="118"/>
      <c r="AG508" s="2"/>
      <c r="AH508" s="19"/>
      <c r="AI508" s="20"/>
      <c r="AJ508" s="21"/>
      <c r="AK508" s="21"/>
      <c r="AM508" s="19"/>
      <c r="AN508" s="18"/>
      <c r="AO508" s="2"/>
      <c r="AP508" s="18"/>
      <c r="AQ508" s="118"/>
      <c r="AS508" s="2"/>
      <c r="AT508" s="19"/>
      <c r="AU508" s="20"/>
      <c r="AV508" s="21"/>
      <c r="AW508" s="21"/>
    </row>
    <row r="509" spans="1:49" x14ac:dyDescent="0.25">
      <c r="A509" s="1">
        <f t="shared" si="197"/>
        <v>483</v>
      </c>
      <c r="B509" s="19">
        <f t="shared" si="198"/>
        <v>301.77485228563523</v>
      </c>
      <c r="C509" s="18">
        <f t="shared" si="212"/>
        <v>7.4090200466195135</v>
      </c>
      <c r="D509" s="2">
        <f t="shared" si="191"/>
        <v>0.95020119102176204</v>
      </c>
      <c r="E509" s="18">
        <f t="shared" si="199"/>
        <v>7.4248567331365427</v>
      </c>
      <c r="F509" s="21">
        <f t="shared" si="192"/>
        <v>4.0681983747812991</v>
      </c>
      <c r="G509" s="1">
        <f t="shared" si="193"/>
        <v>0</v>
      </c>
      <c r="H509" s="2">
        <f t="shared" si="189"/>
        <v>701.16810715459872</v>
      </c>
      <c r="I509" s="19">
        <f t="shared" si="215"/>
        <v>303.53597712320288</v>
      </c>
      <c r="J509" s="20">
        <f t="shared" si="194"/>
        <v>0.91570655763048614</v>
      </c>
      <c r="K509" s="21">
        <f t="shared" si="195"/>
        <v>283.60119039794108</v>
      </c>
      <c r="L509" s="21">
        <f t="shared" si="190"/>
        <v>3.2314243860750325</v>
      </c>
      <c r="M509" s="2">
        <f t="shared" si="200"/>
        <v>222.81419498376337</v>
      </c>
      <c r="N509" s="19">
        <f t="shared" si="213"/>
        <v>333.06542702858559</v>
      </c>
      <c r="O509" s="1">
        <f t="shared" si="201"/>
        <v>483</v>
      </c>
      <c r="P509" s="19">
        <f t="shared" si="202"/>
        <v>510.556216898576</v>
      </c>
      <c r="Q509" s="18">
        <f t="shared" si="203"/>
        <v>8.9747316328590383</v>
      </c>
      <c r="R509" s="2">
        <f t="shared" si="204"/>
        <v>0.96024660617816626</v>
      </c>
      <c r="S509" s="18">
        <f t="shared" si="205"/>
        <v>8.9907357429620074</v>
      </c>
      <c r="T509" s="18">
        <f t="shared" si="206"/>
        <v>5.9308209621271679</v>
      </c>
      <c r="U509" s="1">
        <f t="shared" si="196"/>
        <v>0</v>
      </c>
      <c r="V509" s="2">
        <f t="shared" si="207"/>
        <v>1185.3156819978378</v>
      </c>
      <c r="W509" s="19">
        <f t="shared" si="208"/>
        <v>513.12367186053586</v>
      </c>
      <c r="X509" s="20"/>
      <c r="Y509" s="2">
        <f t="shared" si="209"/>
        <v>493.23709030506342</v>
      </c>
      <c r="Z509" s="21">
        <f t="shared" si="210"/>
        <v>4.7381445711949306</v>
      </c>
      <c r="AA509" s="2">
        <f t="shared" si="211"/>
        <v>389.95584341821285</v>
      </c>
      <c r="AB509" s="19">
        <f t="shared" si="214"/>
        <v>86.643615353092784</v>
      </c>
      <c r="AC509" s="2"/>
      <c r="AD509" s="18"/>
      <c r="AE509" s="118"/>
      <c r="AG509" s="2"/>
      <c r="AH509" s="19"/>
      <c r="AI509" s="20"/>
      <c r="AJ509" s="21"/>
      <c r="AK509" s="21"/>
      <c r="AM509" s="19"/>
      <c r="AN509" s="18"/>
      <c r="AO509" s="2"/>
      <c r="AP509" s="18"/>
      <c r="AQ509" s="118"/>
      <c r="AS509" s="2"/>
      <c r="AT509" s="19"/>
      <c r="AU509" s="20"/>
      <c r="AV509" s="21"/>
      <c r="AW509" s="21"/>
    </row>
    <row r="510" spans="1:49" x14ac:dyDescent="0.25">
      <c r="A510" s="1">
        <f t="shared" si="197"/>
        <v>484</v>
      </c>
      <c r="B510" s="19">
        <f t="shared" si="198"/>
        <v>303.53597712320288</v>
      </c>
      <c r="C510" s="18">
        <f t="shared" si="212"/>
        <v>7.4248567331365427</v>
      </c>
      <c r="D510" s="2">
        <f t="shared" si="191"/>
        <v>0.95031178048674603</v>
      </c>
      <c r="E510" s="18">
        <f t="shared" si="199"/>
        <v>7.4406952628113219</v>
      </c>
      <c r="F510" s="21">
        <f t="shared" si="192"/>
        <v>4.085308275040668</v>
      </c>
      <c r="G510" s="1">
        <f t="shared" si="193"/>
        <v>0</v>
      </c>
      <c r="H510" s="2">
        <f t="shared" si="189"/>
        <v>705.2534154296394</v>
      </c>
      <c r="I510" s="19">
        <f t="shared" si="215"/>
        <v>305.30450884399971</v>
      </c>
      <c r="J510" s="20">
        <f t="shared" si="194"/>
        <v>0.91564528036131754</v>
      </c>
      <c r="K510" s="21">
        <f t="shared" si="195"/>
        <v>285.37012888103368</v>
      </c>
      <c r="L510" s="21">
        <f t="shared" si="190"/>
        <v>3.2452254874124393</v>
      </c>
      <c r="M510" s="2">
        <f t="shared" si="200"/>
        <v>224.21905450212373</v>
      </c>
      <c r="N510" s="19">
        <f t="shared" si="213"/>
        <v>333.16516148845506</v>
      </c>
      <c r="O510" s="1">
        <f t="shared" si="201"/>
        <v>484</v>
      </c>
      <c r="P510" s="19">
        <f t="shared" si="202"/>
        <v>513.12367186053586</v>
      </c>
      <c r="Q510" s="18">
        <f t="shared" si="203"/>
        <v>8.9907357429620074</v>
      </c>
      <c r="R510" s="2">
        <f t="shared" si="204"/>
        <v>0.96034294562107347</v>
      </c>
      <c r="S510" s="18">
        <f t="shared" si="205"/>
        <v>9.0067414587223578</v>
      </c>
      <c r="T510" s="18">
        <f t="shared" si="206"/>
        <v>5.9516413517570621</v>
      </c>
      <c r="U510" s="1">
        <f t="shared" si="196"/>
        <v>0</v>
      </c>
      <c r="V510" s="2">
        <f t="shared" si="207"/>
        <v>1191.2673233495948</v>
      </c>
      <c r="W510" s="19">
        <f t="shared" si="208"/>
        <v>515.70013997817955</v>
      </c>
      <c r="X510" s="20"/>
      <c r="Y510" s="2">
        <f t="shared" si="209"/>
        <v>495.81415101037425</v>
      </c>
      <c r="Z510" s="21">
        <f t="shared" si="210"/>
        <v>4.7550297076274255</v>
      </c>
      <c r="AA510" s="2">
        <f t="shared" si="211"/>
        <v>392.01429783709921</v>
      </c>
      <c r="AB510" s="19">
        <f t="shared" si="214"/>
        <v>86.725979477348915</v>
      </c>
      <c r="AC510" s="2"/>
      <c r="AD510" s="18"/>
      <c r="AE510" s="118"/>
      <c r="AG510" s="2"/>
      <c r="AH510" s="19"/>
      <c r="AI510" s="20"/>
      <c r="AJ510" s="21"/>
      <c r="AK510" s="21"/>
      <c r="AM510" s="19"/>
      <c r="AN510" s="18"/>
      <c r="AO510" s="2"/>
      <c r="AP510" s="18"/>
      <c r="AQ510" s="118"/>
      <c r="AS510" s="2"/>
      <c r="AT510" s="19"/>
      <c r="AU510" s="20"/>
      <c r="AV510" s="21"/>
      <c r="AW510" s="21"/>
    </row>
    <row r="511" spans="1:49" x14ac:dyDescent="0.25">
      <c r="A511" s="1">
        <f t="shared" si="197"/>
        <v>485</v>
      </c>
      <c r="B511" s="19">
        <f t="shared" si="198"/>
        <v>305.30450884399971</v>
      </c>
      <c r="C511" s="18">
        <f t="shared" si="212"/>
        <v>7.4406952628113219</v>
      </c>
      <c r="D511" s="2">
        <f t="shared" si="191"/>
        <v>0.95042220408283085</v>
      </c>
      <c r="E511" s="18">
        <f t="shared" si="199"/>
        <v>7.456535632879369</v>
      </c>
      <c r="F511" s="21">
        <f t="shared" si="192"/>
        <v>4.1024555846907651</v>
      </c>
      <c r="G511" s="1">
        <f t="shared" si="193"/>
        <v>0</v>
      </c>
      <c r="H511" s="2">
        <f t="shared" si="189"/>
        <v>709.35587101433021</v>
      </c>
      <c r="I511" s="19">
        <f t="shared" si="215"/>
        <v>307.08046364256717</v>
      </c>
      <c r="J511" s="20">
        <f t="shared" si="194"/>
        <v>0.91558403743102568</v>
      </c>
      <c r="K511" s="21">
        <f t="shared" si="195"/>
        <v>287.14649214920479</v>
      </c>
      <c r="L511" s="21">
        <f t="shared" si="190"/>
        <v>3.2590576063431502</v>
      </c>
      <c r="M511" s="2">
        <f t="shared" si="200"/>
        <v>225.62990195075713</v>
      </c>
      <c r="N511" s="19">
        <f t="shared" si="213"/>
        <v>333.2646836499913</v>
      </c>
      <c r="O511" s="1">
        <f t="shared" si="201"/>
        <v>485</v>
      </c>
      <c r="P511" s="19">
        <f t="shared" si="202"/>
        <v>515.70013997817955</v>
      </c>
      <c r="Q511" s="18">
        <f t="shared" si="203"/>
        <v>9.0067414587223578</v>
      </c>
      <c r="R511" s="2">
        <f t="shared" si="204"/>
        <v>0.96043914954080234</v>
      </c>
      <c r="S511" s="18">
        <f t="shared" si="205"/>
        <v>9.0227487778813718</v>
      </c>
      <c r="T511" s="18">
        <f t="shared" si="206"/>
        <v>5.9724998282433788</v>
      </c>
      <c r="U511" s="1">
        <f t="shared" si="196"/>
        <v>0</v>
      </c>
      <c r="V511" s="2">
        <f t="shared" si="207"/>
        <v>1197.2398231778382</v>
      </c>
      <c r="W511" s="19">
        <f t="shared" si="208"/>
        <v>518.28563773932387</v>
      </c>
      <c r="X511" s="20"/>
      <c r="Y511" s="2">
        <f t="shared" si="209"/>
        <v>498.40024343600362</v>
      </c>
      <c r="Z511" s="21">
        <f t="shared" si="210"/>
        <v>4.7719465730221282</v>
      </c>
      <c r="AA511" s="2">
        <f t="shared" si="211"/>
        <v>394.0800755743382</v>
      </c>
      <c r="AB511" s="19">
        <f t="shared" si="214"/>
        <v>86.808197233824018</v>
      </c>
      <c r="AC511" s="2"/>
      <c r="AD511" s="18"/>
      <c r="AE511" s="118"/>
      <c r="AG511" s="2"/>
      <c r="AH511" s="19"/>
      <c r="AI511" s="20"/>
      <c r="AJ511" s="21"/>
      <c r="AK511" s="21"/>
      <c r="AM511" s="19"/>
      <c r="AN511" s="18"/>
      <c r="AO511" s="2"/>
      <c r="AP511" s="18"/>
      <c r="AQ511" s="118"/>
      <c r="AS511" s="2"/>
      <c r="AT511" s="19"/>
      <c r="AU511" s="20"/>
      <c r="AV511" s="21"/>
      <c r="AW511" s="21"/>
    </row>
    <row r="512" spans="1:49" x14ac:dyDescent="0.25">
      <c r="A512" s="1">
        <f t="shared" si="197"/>
        <v>486</v>
      </c>
      <c r="B512" s="19">
        <f t="shared" si="198"/>
        <v>307.08046364256717</v>
      </c>
      <c r="C512" s="18">
        <f t="shared" si="212"/>
        <v>7.456535632879369</v>
      </c>
      <c r="D512" s="2">
        <f t="shared" si="191"/>
        <v>0.95053246214512088</v>
      </c>
      <c r="E512" s="18">
        <f t="shared" si="199"/>
        <v>7.472377840581788</v>
      </c>
      <c r="F512" s="21">
        <f t="shared" si="192"/>
        <v>4.1196403111917679</v>
      </c>
      <c r="G512" s="1">
        <f t="shared" si="193"/>
        <v>0</v>
      </c>
      <c r="H512" s="2">
        <f t="shared" si="189"/>
        <v>713.47551132552201</v>
      </c>
      <c r="I512" s="19">
        <f t="shared" si="215"/>
        <v>308.86385771667619</v>
      </c>
      <c r="J512" s="20">
        <f t="shared" si="194"/>
        <v>0.91552282900450344</v>
      </c>
      <c r="K512" s="21">
        <f t="shared" si="195"/>
        <v>288.93029640395082</v>
      </c>
      <c r="L512" s="21">
        <f t="shared" si="190"/>
        <v>3.2729207507032188</v>
      </c>
      <c r="M512" s="2">
        <f t="shared" si="200"/>
        <v>227.04675076058535</v>
      </c>
      <c r="N512" s="19">
        <f t="shared" si="213"/>
        <v>333.36399439057465</v>
      </c>
      <c r="O512" s="1">
        <f t="shared" si="201"/>
        <v>486</v>
      </c>
      <c r="P512" s="19">
        <f t="shared" si="202"/>
        <v>518.28563773932387</v>
      </c>
      <c r="Q512" s="18">
        <f t="shared" si="203"/>
        <v>9.0227487778813718</v>
      </c>
      <c r="R512" s="2">
        <f t="shared" si="204"/>
        <v>0.96053521827562727</v>
      </c>
      <c r="S512" s="18">
        <f t="shared" si="205"/>
        <v>9.0387576981859663</v>
      </c>
      <c r="T512" s="18">
        <f t="shared" si="206"/>
        <v>5.9933963978941271</v>
      </c>
      <c r="U512" s="1">
        <f t="shared" si="196"/>
        <v>0</v>
      </c>
      <c r="V512" s="2">
        <f t="shared" si="207"/>
        <v>1203.2332195757324</v>
      </c>
      <c r="W512" s="19">
        <f t="shared" si="208"/>
        <v>520.88018163451613</v>
      </c>
      <c r="X512" s="20"/>
      <c r="Y512" s="2">
        <f t="shared" si="209"/>
        <v>500.99538407629177</v>
      </c>
      <c r="Z512" s="21">
        <f t="shared" si="210"/>
        <v>4.7888951740182959</v>
      </c>
      <c r="AA512" s="2">
        <f t="shared" si="211"/>
        <v>396.15319036828549</v>
      </c>
      <c r="AB512" s="19">
        <f t="shared" si="214"/>
        <v>86.890269127225579</v>
      </c>
      <c r="AC512" s="2"/>
      <c r="AD512" s="18"/>
      <c r="AE512" s="118"/>
      <c r="AG512" s="2"/>
      <c r="AH512" s="19"/>
      <c r="AI512" s="20"/>
      <c r="AJ512" s="21"/>
      <c r="AK512" s="21"/>
      <c r="AM512" s="19"/>
      <c r="AN512" s="18"/>
      <c r="AO512" s="2"/>
      <c r="AP512" s="18"/>
      <c r="AQ512" s="118"/>
      <c r="AS512" s="2"/>
      <c r="AT512" s="19"/>
      <c r="AU512" s="20"/>
      <c r="AV512" s="21"/>
      <c r="AW512" s="21"/>
    </row>
    <row r="513" spans="1:49" x14ac:dyDescent="0.25">
      <c r="A513" s="1">
        <f t="shared" si="197"/>
        <v>487</v>
      </c>
      <c r="B513" s="19">
        <f t="shared" si="198"/>
        <v>308.86385771667619</v>
      </c>
      <c r="C513" s="18">
        <f t="shared" si="212"/>
        <v>7.472377840581788</v>
      </c>
      <c r="D513" s="2">
        <f t="shared" si="191"/>
        <v>0.95064255500944961</v>
      </c>
      <c r="E513" s="18">
        <f t="shared" si="199"/>
        <v>7.4882218831652789</v>
      </c>
      <c r="F513" s="21">
        <f t="shared" si="192"/>
        <v>4.1368624619899848</v>
      </c>
      <c r="G513" s="1">
        <f t="shared" si="193"/>
        <v>0</v>
      </c>
      <c r="H513" s="2">
        <f t="shared" si="189"/>
        <v>717.61237378751196</v>
      </c>
      <c r="I513" s="19">
        <f t="shared" si="215"/>
        <v>310.65470726732121</v>
      </c>
      <c r="J513" s="20">
        <f t="shared" si="194"/>
        <v>0.91546165524442358</v>
      </c>
      <c r="K513" s="21">
        <f t="shared" si="195"/>
        <v>290.72155784999251</v>
      </c>
      <c r="L513" s="21">
        <f t="shared" si="190"/>
        <v>3.2868149283143042</v>
      </c>
      <c r="M513" s="2">
        <f t="shared" si="200"/>
        <v>228.46961436591621</v>
      </c>
      <c r="N513" s="19">
        <f t="shared" si="213"/>
        <v>333.46309458219849</v>
      </c>
      <c r="O513" s="1">
        <f t="shared" si="201"/>
        <v>487</v>
      </c>
      <c r="P513" s="19">
        <f t="shared" si="202"/>
        <v>520.88018163451613</v>
      </c>
      <c r="Q513" s="18">
        <f t="shared" si="203"/>
        <v>9.0387576981859663</v>
      </c>
      <c r="R513" s="2">
        <f t="shared" si="204"/>
        <v>0.96063115216295469</v>
      </c>
      <c r="S513" s="18">
        <f t="shared" si="205"/>
        <v>9.0547682173886823</v>
      </c>
      <c r="T513" s="18">
        <f t="shared" si="206"/>
        <v>6.0143310670077348</v>
      </c>
      <c r="U513" s="1">
        <f t="shared" si="196"/>
        <v>0</v>
      </c>
      <c r="V513" s="2">
        <f t="shared" si="207"/>
        <v>1209.2475506427402</v>
      </c>
      <c r="W513" s="19">
        <f t="shared" si="208"/>
        <v>523.4837881570304</v>
      </c>
      <c r="X513" s="20"/>
      <c r="Y513" s="2">
        <f t="shared" si="209"/>
        <v>503.5995894283061</v>
      </c>
      <c r="Z513" s="21">
        <f t="shared" si="210"/>
        <v>4.8058755172451431</v>
      </c>
      <c r="AA513" s="2">
        <f t="shared" si="211"/>
        <v>398.23365596016652</v>
      </c>
      <c r="AB513" s="19">
        <f t="shared" si="214"/>
        <v>86.972195659677709</v>
      </c>
      <c r="AC513" s="2"/>
      <c r="AD513" s="18"/>
      <c r="AE513" s="118"/>
      <c r="AG513" s="2"/>
      <c r="AH513" s="19"/>
      <c r="AI513" s="20"/>
      <c r="AJ513" s="21"/>
      <c r="AK513" s="21"/>
      <c r="AM513" s="19"/>
      <c r="AN513" s="18"/>
      <c r="AO513" s="2"/>
      <c r="AP513" s="18"/>
      <c r="AQ513" s="118"/>
      <c r="AS513" s="2"/>
      <c r="AT513" s="19"/>
      <c r="AU513" s="20"/>
      <c r="AV513" s="21"/>
      <c r="AW513" s="21"/>
    </row>
    <row r="514" spans="1:49" x14ac:dyDescent="0.25">
      <c r="A514" s="1">
        <f t="shared" si="197"/>
        <v>488</v>
      </c>
      <c r="B514" s="19">
        <f t="shared" si="198"/>
        <v>310.65470726732121</v>
      </c>
      <c r="C514" s="18">
        <f t="shared" si="212"/>
        <v>7.4882218831652789</v>
      </c>
      <c r="D514" s="2">
        <f t="shared" si="191"/>
        <v>0.95075248301234638</v>
      </c>
      <c r="E514" s="18">
        <f t="shared" si="199"/>
        <v>7.5040677578821517</v>
      </c>
      <c r="F514" s="21">
        <f t="shared" si="192"/>
        <v>4.1541220445179166</v>
      </c>
      <c r="G514" s="1">
        <f t="shared" si="193"/>
        <v>0</v>
      </c>
      <c r="H514" s="2">
        <f t="shared" si="189"/>
        <v>721.76649583202993</v>
      </c>
      <c r="I514" s="19">
        <f t="shared" si="215"/>
        <v>312.45302849871427</v>
      </c>
      <c r="J514" s="20">
        <f t="shared" si="194"/>
        <v>0.91540051631126007</v>
      </c>
      <c r="K514" s="21">
        <f t="shared" si="195"/>
        <v>292.52029269526878</v>
      </c>
      <c r="L514" s="21">
        <f t="shared" si="190"/>
        <v>3.3007401469837316</v>
      </c>
      <c r="M514" s="2">
        <f t="shared" si="200"/>
        <v>229.8985062044373</v>
      </c>
      <c r="N514" s="19">
        <f t="shared" si="213"/>
        <v>333.56198509151318</v>
      </c>
      <c r="O514" s="1">
        <f t="shared" si="201"/>
        <v>488</v>
      </c>
      <c r="P514" s="19">
        <f t="shared" si="202"/>
        <v>523.4837881570304</v>
      </c>
      <c r="Q514" s="18">
        <f t="shared" si="203"/>
        <v>9.0547682173886823</v>
      </c>
      <c r="R514" s="2">
        <f t="shared" si="204"/>
        <v>0.96072695153932253</v>
      </c>
      <c r="S514" s="18">
        <f t="shared" si="205"/>
        <v>9.0707803332476704</v>
      </c>
      <c r="T514" s="18">
        <f t="shared" si="206"/>
        <v>6.035303841873084</v>
      </c>
      <c r="U514" s="1">
        <f t="shared" si="196"/>
        <v>0</v>
      </c>
      <c r="V514" s="2">
        <f t="shared" si="207"/>
        <v>1215.2828544846132</v>
      </c>
      <c r="W514" s="19">
        <f t="shared" si="208"/>
        <v>526.09647380286287</v>
      </c>
      <c r="X514" s="20"/>
      <c r="Y514" s="2">
        <f t="shared" si="209"/>
        <v>506.21287599183717</v>
      </c>
      <c r="Z514" s="21">
        <f t="shared" si="210"/>
        <v>4.8228876093218824</v>
      </c>
      <c r="AA514" s="2">
        <f t="shared" si="211"/>
        <v>400.3214860940721</v>
      </c>
      <c r="AB514" s="19">
        <f t="shared" si="214"/>
        <v>87.053977330738633</v>
      </c>
      <c r="AC514" s="2"/>
      <c r="AD514" s="18"/>
      <c r="AE514" s="118"/>
      <c r="AG514" s="2"/>
      <c r="AH514" s="19"/>
      <c r="AI514" s="20"/>
      <c r="AJ514" s="21"/>
      <c r="AK514" s="21"/>
      <c r="AM514" s="19"/>
      <c r="AN514" s="18"/>
      <c r="AO514" s="2"/>
      <c r="AP514" s="18"/>
      <c r="AQ514" s="118"/>
      <c r="AS514" s="2"/>
      <c r="AT514" s="19"/>
      <c r="AU514" s="20"/>
      <c r="AV514" s="21"/>
      <c r="AW514" s="21"/>
    </row>
    <row r="515" spans="1:49" x14ac:dyDescent="0.25">
      <c r="A515" s="1">
        <f t="shared" si="197"/>
        <v>489</v>
      </c>
      <c r="B515" s="19">
        <f t="shared" si="198"/>
        <v>312.45302849871427</v>
      </c>
      <c r="C515" s="18">
        <f t="shared" si="212"/>
        <v>7.5040677578821517</v>
      </c>
      <c r="D515" s="2">
        <f t="shared" si="191"/>
        <v>0.95086224649100548</v>
      </c>
      <c r="E515" s="18">
        <f t="shared" si="199"/>
        <v>7.519915461990335</v>
      </c>
      <c r="F515" s="21">
        <f t="shared" si="192"/>
        <v>4.1714190661943009</v>
      </c>
      <c r="G515" s="1">
        <f t="shared" si="193"/>
        <v>0</v>
      </c>
      <c r="H515" s="2">
        <f t="shared" si="189"/>
        <v>725.93791489822434</v>
      </c>
      <c r="I515" s="19">
        <f t="shared" si="215"/>
        <v>314.2588376182789</v>
      </c>
      <c r="J515" s="20">
        <f t="shared" si="194"/>
        <v>0.91533941236330996</v>
      </c>
      <c r="K515" s="21">
        <f t="shared" si="195"/>
        <v>294.3265171509309</v>
      </c>
      <c r="L515" s="21">
        <f t="shared" si="190"/>
        <v>3.3146964145045401</v>
      </c>
      <c r="M515" s="2">
        <f t="shared" si="200"/>
        <v>231.33343971720981</v>
      </c>
      <c r="N515" s="19">
        <f t="shared" si="213"/>
        <v>333.66066677986942</v>
      </c>
      <c r="O515" s="1">
        <f t="shared" si="201"/>
        <v>489</v>
      </c>
      <c r="P515" s="19">
        <f t="shared" si="202"/>
        <v>526.09647380286287</v>
      </c>
      <c r="Q515" s="18">
        <f t="shared" si="203"/>
        <v>9.0707803332476704</v>
      </c>
      <c r="R515" s="2">
        <f t="shared" si="204"/>
        <v>0.96082261674039782</v>
      </c>
      <c r="S515" s="18">
        <f t="shared" si="205"/>
        <v>9.0867940435266767</v>
      </c>
      <c r="T515" s="18">
        <f t="shared" si="206"/>
        <v>6.0563147287695349</v>
      </c>
      <c r="U515" s="1">
        <f t="shared" si="196"/>
        <v>0</v>
      </c>
      <c r="V515" s="2">
        <f t="shared" si="207"/>
        <v>1221.339169213383</v>
      </c>
      <c r="W515" s="19">
        <f t="shared" si="208"/>
        <v>528.71825507072856</v>
      </c>
      <c r="X515" s="20"/>
      <c r="Y515" s="2">
        <f t="shared" si="209"/>
        <v>508.83526026939438</v>
      </c>
      <c r="Z515" s="21">
        <f t="shared" si="210"/>
        <v>4.8399314568577383</v>
      </c>
      <c r="AA515" s="2">
        <f t="shared" si="211"/>
        <v>402.41669451695424</v>
      </c>
      <c r="AB515" s="19">
        <f t="shared" si="214"/>
        <v>87.135614637418101</v>
      </c>
      <c r="AC515" s="2"/>
      <c r="AD515" s="18"/>
      <c r="AE515" s="118"/>
      <c r="AG515" s="2"/>
      <c r="AH515" s="19"/>
      <c r="AI515" s="20"/>
      <c r="AJ515" s="21"/>
      <c r="AK515" s="21"/>
      <c r="AM515" s="19"/>
      <c r="AN515" s="18"/>
      <c r="AO515" s="2"/>
      <c r="AP515" s="18"/>
      <c r="AQ515" s="118"/>
      <c r="AS515" s="2"/>
      <c r="AT515" s="19"/>
      <c r="AU515" s="20"/>
      <c r="AV515" s="21"/>
      <c r="AW515" s="21"/>
    </row>
    <row r="516" spans="1:49" x14ac:dyDescent="0.25">
      <c r="A516" s="1">
        <f t="shared" si="197"/>
        <v>490</v>
      </c>
      <c r="B516" s="19">
        <f t="shared" si="198"/>
        <v>314.2588376182789</v>
      </c>
      <c r="C516" s="18">
        <f t="shared" si="212"/>
        <v>7.519915461990335</v>
      </c>
      <c r="D516" s="2">
        <f t="shared" si="191"/>
        <v>0.95097184578325411</v>
      </c>
      <c r="E516" s="18">
        <f t="shared" si="199"/>
        <v>7.5357649927533892</v>
      </c>
      <c r="F516" s="21">
        <f t="shared" si="192"/>
        <v>4.1887535344241815</v>
      </c>
      <c r="G516" s="1">
        <f t="shared" si="193"/>
        <v>0</v>
      </c>
      <c r="H516" s="2">
        <f t="shared" si="189"/>
        <v>730.12666843264856</v>
      </c>
      <c r="I516" s="19">
        <f t="shared" si="215"/>
        <v>316.07215083664437</v>
      </c>
      <c r="J516" s="20">
        <f t="shared" si="194"/>
        <v>0.91527834355671478</v>
      </c>
      <c r="K516" s="21">
        <f t="shared" si="195"/>
        <v>296.14024743133655</v>
      </c>
      <c r="L516" s="21">
        <f t="shared" si="190"/>
        <v>3.3286837386555486</v>
      </c>
      <c r="M516" s="2">
        <f t="shared" si="200"/>
        <v>232.77442834866244</v>
      </c>
      <c r="N516" s="19">
        <f t="shared" si="213"/>
        <v>333.75914050336144</v>
      </c>
      <c r="O516" s="1">
        <f t="shared" si="201"/>
        <v>490</v>
      </c>
      <c r="P516" s="19">
        <f t="shared" si="202"/>
        <v>528.71825507072856</v>
      </c>
      <c r="Q516" s="18">
        <f t="shared" si="203"/>
        <v>9.0867940435266767</v>
      </c>
      <c r="R516" s="2">
        <f t="shared" si="204"/>
        <v>0.96091814810097631</v>
      </c>
      <c r="S516" s="18">
        <f t="shared" si="205"/>
        <v>9.102809345995027</v>
      </c>
      <c r="T516" s="18">
        <f t="shared" si="206"/>
        <v>6.0773637339669717</v>
      </c>
      <c r="U516" s="1">
        <f t="shared" si="196"/>
        <v>0</v>
      </c>
      <c r="V516" s="2">
        <f t="shared" si="207"/>
        <v>1227.4165329473499</v>
      </c>
      <c r="W516" s="19">
        <f t="shared" si="208"/>
        <v>531.34914846205618</v>
      </c>
      <c r="X516" s="20"/>
      <c r="Y516" s="2">
        <f t="shared" si="209"/>
        <v>511.46675876620208</v>
      </c>
      <c r="Z516" s="21">
        <f t="shared" si="210"/>
        <v>4.857007066452006</v>
      </c>
      <c r="AA516" s="2">
        <f t="shared" si="211"/>
        <v>404.51929497862176</v>
      </c>
      <c r="AB516" s="19">
        <f t="shared" si="214"/>
        <v>87.217108074194627</v>
      </c>
      <c r="AC516" s="2"/>
      <c r="AD516" s="18"/>
      <c r="AE516" s="118"/>
      <c r="AG516" s="2"/>
      <c r="AH516" s="19"/>
      <c r="AI516" s="20"/>
      <c r="AJ516" s="21"/>
      <c r="AK516" s="21"/>
      <c r="AM516" s="19"/>
      <c r="AN516" s="18"/>
      <c r="AO516" s="2"/>
      <c r="AP516" s="18"/>
      <c r="AQ516" s="118"/>
      <c r="AS516" s="2"/>
      <c r="AT516" s="19"/>
      <c r="AU516" s="20"/>
      <c r="AV516" s="21"/>
      <c r="AW516" s="21"/>
    </row>
    <row r="517" spans="1:49" x14ac:dyDescent="0.25">
      <c r="A517" s="1">
        <f t="shared" si="197"/>
        <v>491</v>
      </c>
      <c r="B517" s="19">
        <f t="shared" si="198"/>
        <v>316.07215083664437</v>
      </c>
      <c r="C517" s="18">
        <f t="shared" si="212"/>
        <v>7.5357649927533892</v>
      </c>
      <c r="D517" s="2">
        <f t="shared" si="191"/>
        <v>0.95108128122752322</v>
      </c>
      <c r="E517" s="18">
        <f t="shared" si="199"/>
        <v>7.5516163474405147</v>
      </c>
      <c r="F517" s="21">
        <f t="shared" si="192"/>
        <v>4.2061254565989517</v>
      </c>
      <c r="G517" s="1">
        <f t="shared" si="193"/>
        <v>0</v>
      </c>
      <c r="H517" s="2">
        <f t="shared" si="189"/>
        <v>734.33279388924745</v>
      </c>
      <c r="I517" s="19">
        <f t="shared" si="215"/>
        <v>317.8929843676396</v>
      </c>
      <c r="J517" s="20">
        <f t="shared" si="194"/>
        <v>0.91521731004548268</v>
      </c>
      <c r="K517" s="21">
        <f t="shared" si="195"/>
        <v>297.96149975404387</v>
      </c>
      <c r="L517" s="21">
        <f t="shared" si="190"/>
        <v>3.3427021272014037</v>
      </c>
      <c r="M517" s="2">
        <f t="shared" si="200"/>
        <v>234.22148554658511</v>
      </c>
      <c r="N517" s="19">
        <f t="shared" si="213"/>
        <v>333.85740711286951</v>
      </c>
      <c r="O517" s="1">
        <f t="shared" si="201"/>
        <v>491</v>
      </c>
      <c r="P517" s="19">
        <f t="shared" si="202"/>
        <v>531.34914846205618</v>
      </c>
      <c r="Q517" s="18">
        <f t="shared" si="203"/>
        <v>9.102809345995027</v>
      </c>
      <c r="R517" s="2">
        <f t="shared" si="204"/>
        <v>0.96101354595498056</v>
      </c>
      <c r="S517" s="18">
        <f t="shared" si="205"/>
        <v>9.1188262384276104</v>
      </c>
      <c r="T517" s="18">
        <f t="shared" si="206"/>
        <v>6.0984508637258141</v>
      </c>
      <c r="U517" s="1">
        <f t="shared" si="196"/>
        <v>0</v>
      </c>
      <c r="V517" s="2">
        <f t="shared" si="207"/>
        <v>1233.5149838110756</v>
      </c>
      <c r="W517" s="19">
        <f t="shared" si="208"/>
        <v>533.98917048098508</v>
      </c>
      <c r="X517" s="20"/>
      <c r="Y517" s="2">
        <f t="shared" si="209"/>
        <v>514.10738799019532</v>
      </c>
      <c r="Z517" s="21">
        <f t="shared" si="210"/>
        <v>4.8741144446940563</v>
      </c>
      <c r="AA517" s="2">
        <f t="shared" si="211"/>
        <v>406.62930123173606</v>
      </c>
      <c r="AB517" s="19">
        <f t="shared" si="214"/>
        <v>87.298458133032582</v>
      </c>
      <c r="AC517" s="2"/>
      <c r="AD517" s="18"/>
      <c r="AE517" s="118"/>
      <c r="AG517" s="2"/>
      <c r="AH517" s="19"/>
      <c r="AI517" s="20"/>
      <c r="AJ517" s="21"/>
      <c r="AK517" s="21"/>
      <c r="AM517" s="19"/>
      <c r="AN517" s="18"/>
      <c r="AO517" s="2"/>
      <c r="AP517" s="18"/>
      <c r="AQ517" s="118"/>
      <c r="AS517" s="2"/>
      <c r="AT517" s="19"/>
      <c r="AU517" s="20"/>
      <c r="AV517" s="21"/>
      <c r="AW517" s="21"/>
    </row>
    <row r="518" spans="1:49" x14ac:dyDescent="0.25">
      <c r="A518" s="1">
        <f t="shared" si="197"/>
        <v>492</v>
      </c>
      <c r="B518" s="19">
        <f t="shared" si="198"/>
        <v>317.8929843676396</v>
      </c>
      <c r="C518" s="18">
        <f t="shared" si="212"/>
        <v>7.5516163474405147</v>
      </c>
      <c r="D518" s="2">
        <f t="shared" si="191"/>
        <v>0.95119055316281687</v>
      </c>
      <c r="E518" s="18">
        <f t="shared" si="199"/>
        <v>7.5674695233265616</v>
      </c>
      <c r="F518" s="21">
        <f t="shared" si="192"/>
        <v>4.223534840096411</v>
      </c>
      <c r="G518" s="1">
        <f t="shared" si="193"/>
        <v>0</v>
      </c>
      <c r="H518" s="2">
        <f t="shared" si="189"/>
        <v>738.55632872934382</v>
      </c>
      <c r="I518" s="19">
        <f t="shared" si="215"/>
        <v>319.72135442828738</v>
      </c>
      <c r="J518" s="20">
        <f t="shared" si="194"/>
        <v>0.9151563119815086</v>
      </c>
      <c r="K518" s="21">
        <f t="shared" si="195"/>
        <v>299.79029033980561</v>
      </c>
      <c r="L518" s="21">
        <f t="shared" si="190"/>
        <v>3.3567515878926377</v>
      </c>
      <c r="M518" s="2">
        <f t="shared" si="200"/>
        <v>235.67462476212305</v>
      </c>
      <c r="N518" s="19">
        <f t="shared" si="213"/>
        <v>333.95546745410206</v>
      </c>
      <c r="O518" s="1">
        <f t="shared" si="201"/>
        <v>492</v>
      </c>
      <c r="P518" s="19">
        <f t="shared" si="202"/>
        <v>533.98917048098508</v>
      </c>
      <c r="Q518" s="18">
        <f t="shared" si="203"/>
        <v>9.1188262384276104</v>
      </c>
      <c r="R518" s="2">
        <f t="shared" si="204"/>
        <v>0.96110881063545894</v>
      </c>
      <c r="S518" s="18">
        <f t="shared" si="205"/>
        <v>9.1348447186048674</v>
      </c>
      <c r="T518" s="18">
        <f t="shared" si="206"/>
        <v>6.119576124297069</v>
      </c>
      <c r="U518" s="1">
        <f t="shared" si="196"/>
        <v>0</v>
      </c>
      <c r="V518" s="2">
        <f t="shared" si="207"/>
        <v>1239.6345599353726</v>
      </c>
      <c r="W518" s="19">
        <f t="shared" si="208"/>
        <v>536.63833763436048</v>
      </c>
      <c r="X518" s="20"/>
      <c r="Y518" s="2">
        <f t="shared" si="209"/>
        <v>516.7571644520159</v>
      </c>
      <c r="Z518" s="21">
        <f t="shared" si="210"/>
        <v>4.8912535981633924</v>
      </c>
      <c r="AA518" s="2">
        <f t="shared" si="211"/>
        <v>408.74672703180681</v>
      </c>
      <c r="AB518" s="19">
        <f t="shared" si="214"/>
        <v>87.379665303399179</v>
      </c>
      <c r="AC518" s="2"/>
      <c r="AD518" s="18"/>
      <c r="AE518" s="118"/>
      <c r="AG518" s="2"/>
      <c r="AH518" s="19"/>
      <c r="AI518" s="20"/>
      <c r="AJ518" s="21"/>
      <c r="AK518" s="21"/>
      <c r="AM518" s="19"/>
      <c r="AN518" s="18"/>
      <c r="AO518" s="2"/>
      <c r="AP518" s="18"/>
      <c r="AQ518" s="118"/>
      <c r="AS518" s="2"/>
      <c r="AT518" s="19"/>
      <c r="AU518" s="20"/>
      <c r="AV518" s="21"/>
      <c r="AW518" s="21"/>
    </row>
    <row r="519" spans="1:49" x14ac:dyDescent="0.25">
      <c r="A519" s="1">
        <f t="shared" si="197"/>
        <v>493</v>
      </c>
      <c r="B519" s="19">
        <f t="shared" si="198"/>
        <v>319.72135442828738</v>
      </c>
      <c r="C519" s="18">
        <f t="shared" si="212"/>
        <v>7.5674695233265616</v>
      </c>
      <c r="D519" s="2">
        <f t="shared" si="191"/>
        <v>0.95129966192868298</v>
      </c>
      <c r="E519" s="18">
        <f t="shared" si="199"/>
        <v>7.5833245176920396</v>
      </c>
      <c r="F519" s="21">
        <f t="shared" si="192"/>
        <v>4.2409816922808226</v>
      </c>
      <c r="G519" s="1">
        <f t="shared" si="193"/>
        <v>0</v>
      </c>
      <c r="H519" s="2">
        <f t="shared" si="189"/>
        <v>742.79731042162462</v>
      </c>
      <c r="I519" s="19">
        <f t="shared" si="215"/>
        <v>321.55727723879852</v>
      </c>
      <c r="J519" s="20">
        <f t="shared" si="194"/>
        <v>0.91509534951459581</v>
      </c>
      <c r="K519" s="21">
        <f t="shared" si="195"/>
        <v>301.62663541256319</v>
      </c>
      <c r="L519" s="21">
        <f t="shared" si="190"/>
        <v>3.3708321284657217</v>
      </c>
      <c r="M519" s="2">
        <f t="shared" si="200"/>
        <v>237.13385944977054</v>
      </c>
      <c r="N519" s="19">
        <f t="shared" si="213"/>
        <v>334.05332236763752</v>
      </c>
      <c r="O519" s="1">
        <f t="shared" si="201"/>
        <v>493</v>
      </c>
      <c r="P519" s="19">
        <f t="shared" si="202"/>
        <v>536.63833763436048</v>
      </c>
      <c r="Q519" s="18">
        <f t="shared" si="203"/>
        <v>9.1348447186048674</v>
      </c>
      <c r="R519" s="2">
        <f t="shared" si="204"/>
        <v>0.96120394247458407</v>
      </c>
      <c r="S519" s="18">
        <f t="shared" si="205"/>
        <v>9.1508647843127768</v>
      </c>
      <c r="T519" s="18">
        <f t="shared" si="206"/>
        <v>6.1407395219223471</v>
      </c>
      <c r="U519" s="1">
        <f t="shared" si="196"/>
        <v>0</v>
      </c>
      <c r="V519" s="2">
        <f t="shared" si="207"/>
        <v>1245.775299457295</v>
      </c>
      <c r="W519" s="19">
        <f t="shared" si="208"/>
        <v>539.29666643172936</v>
      </c>
      <c r="X519" s="20"/>
      <c r="Y519" s="2">
        <f t="shared" si="209"/>
        <v>519.41610466500822</v>
      </c>
      <c r="Z519" s="21">
        <f t="shared" si="210"/>
        <v>4.9084245334296641</v>
      </c>
      <c r="AA519" s="2">
        <f t="shared" si="211"/>
        <v>410.87158613718759</v>
      </c>
      <c r="AB519" s="19">
        <f t="shared" si="214"/>
        <v>87.460730072281265</v>
      </c>
      <c r="AC519" s="2"/>
      <c r="AD519" s="18"/>
      <c r="AE519" s="118"/>
      <c r="AG519" s="2"/>
      <c r="AH519" s="19"/>
      <c r="AI519" s="20"/>
      <c r="AJ519" s="21"/>
      <c r="AK519" s="21"/>
      <c r="AM519" s="19"/>
      <c r="AN519" s="18"/>
      <c r="AO519" s="2"/>
      <c r="AP519" s="18"/>
      <c r="AQ519" s="118"/>
      <c r="AS519" s="2"/>
      <c r="AT519" s="19"/>
      <c r="AU519" s="20"/>
      <c r="AV519" s="21"/>
      <c r="AW519" s="21"/>
    </row>
    <row r="520" spans="1:49" x14ac:dyDescent="0.25">
      <c r="A520" s="1">
        <f t="shared" si="197"/>
        <v>494</v>
      </c>
      <c r="B520" s="19">
        <f t="shared" si="198"/>
        <v>321.55727723879852</v>
      </c>
      <c r="C520" s="18">
        <f t="shared" si="212"/>
        <v>7.5833245176920396</v>
      </c>
      <c r="D520" s="2">
        <f t="shared" si="191"/>
        <v>0.95140860786518466</v>
      </c>
      <c r="E520" s="18">
        <f t="shared" si="199"/>
        <v>7.5991813278231257</v>
      </c>
      <c r="F520" s="21">
        <f t="shared" si="192"/>
        <v>4.2584660205029614</v>
      </c>
      <c r="G520" s="1">
        <f t="shared" si="193"/>
        <v>0</v>
      </c>
      <c r="H520" s="2">
        <f t="shared" si="189"/>
        <v>747.05577644212758</v>
      </c>
      <c r="I520" s="19">
        <f t="shared" si="215"/>
        <v>323.40076902256607</v>
      </c>
      <c r="J520" s="20">
        <f t="shared" si="194"/>
        <v>0.91503442279247682</v>
      </c>
      <c r="K520" s="21">
        <f t="shared" si="195"/>
        <v>303.47055119944099</v>
      </c>
      <c r="L520" s="21">
        <f t="shared" si="190"/>
        <v>3.3849437566431226</v>
      </c>
      <c r="M520" s="2">
        <f t="shared" si="200"/>
        <v>238.59920306736495</v>
      </c>
      <c r="N520" s="19">
        <f t="shared" si="213"/>
        <v>334.15097268896557</v>
      </c>
      <c r="O520" s="1">
        <f t="shared" si="201"/>
        <v>494</v>
      </c>
      <c r="P520" s="19">
        <f t="shared" si="202"/>
        <v>539.29666643172936</v>
      </c>
      <c r="Q520" s="18">
        <f t="shared" si="203"/>
        <v>9.1508647843127768</v>
      </c>
      <c r="R520" s="2">
        <f t="shared" si="204"/>
        <v>0.9612989418036525</v>
      </c>
      <c r="S520" s="18">
        <f t="shared" si="205"/>
        <v>9.166886433342837</v>
      </c>
      <c r="T520" s="18">
        <f t="shared" si="206"/>
        <v>6.1619410628339111</v>
      </c>
      <c r="U520" s="1">
        <f t="shared" si="196"/>
        <v>0</v>
      </c>
      <c r="V520" s="2">
        <f t="shared" si="207"/>
        <v>1251.9372405201286</v>
      </c>
      <c r="W520" s="19">
        <f t="shared" si="208"/>
        <v>541.96417338533706</v>
      </c>
      <c r="X520" s="20"/>
      <c r="Y520" s="2">
        <f t="shared" si="209"/>
        <v>522.08422514521533</v>
      </c>
      <c r="Z520" s="21">
        <f t="shared" si="210"/>
        <v>4.9256272570527164</v>
      </c>
      <c r="AA520" s="2">
        <f t="shared" si="211"/>
        <v>413.00389230907189</v>
      </c>
      <c r="AB520" s="19">
        <f t="shared" si="214"/>
        <v>87.541652924201983</v>
      </c>
      <c r="AC520" s="2"/>
      <c r="AD520" s="18"/>
      <c r="AE520" s="118"/>
      <c r="AG520" s="2"/>
      <c r="AH520" s="19"/>
      <c r="AI520" s="20"/>
      <c r="AJ520" s="21"/>
      <c r="AK520" s="21"/>
      <c r="AM520" s="19"/>
      <c r="AN520" s="18"/>
      <c r="AO520" s="2"/>
      <c r="AP520" s="18"/>
      <c r="AQ520" s="118"/>
      <c r="AS520" s="2"/>
      <c r="AT520" s="19"/>
      <c r="AU520" s="20"/>
      <c r="AV520" s="21"/>
      <c r="AW520" s="21"/>
    </row>
    <row r="521" spans="1:49" x14ac:dyDescent="0.25">
      <c r="A521" s="1">
        <f t="shared" si="197"/>
        <v>495</v>
      </c>
      <c r="B521" s="19">
        <f t="shared" si="198"/>
        <v>323.40076902256607</v>
      </c>
      <c r="C521" s="18">
        <f t="shared" si="212"/>
        <v>7.5991813278231257</v>
      </c>
      <c r="D521" s="2">
        <f t="shared" si="191"/>
        <v>0.95151739131287216</v>
      </c>
      <c r="E521" s="18">
        <f t="shared" si="199"/>
        <v>7.6150399510116733</v>
      </c>
      <c r="F521" s="21">
        <f t="shared" si="192"/>
        <v>4.2759878321001743</v>
      </c>
      <c r="G521" s="1">
        <f t="shared" si="193"/>
        <v>0</v>
      </c>
      <c r="H521" s="2">
        <f t="shared" si="189"/>
        <v>751.33176427422779</v>
      </c>
      <c r="I521" s="19">
        <f t="shared" si="215"/>
        <v>325.25184600615921</v>
      </c>
      <c r="J521" s="20">
        <f t="shared" si="194"/>
        <v>0.91497353196083309</v>
      </c>
      <c r="K521" s="21">
        <f t="shared" si="195"/>
        <v>305.32205393074037</v>
      </c>
      <c r="L521" s="21">
        <f t="shared" si="190"/>
        <v>3.3990864801333553</v>
      </c>
      <c r="M521" s="2">
        <f t="shared" si="200"/>
        <v>240.07066907608069</v>
      </c>
      <c r="N521" s="19">
        <f t="shared" si="213"/>
        <v>334.24841924852797</v>
      </c>
      <c r="O521" s="1">
        <f t="shared" si="201"/>
        <v>495</v>
      </c>
      <c r="P521" s="19">
        <f t="shared" si="202"/>
        <v>541.96417338533706</v>
      </c>
      <c r="Q521" s="18">
        <f t="shared" si="203"/>
        <v>9.166886433342837</v>
      </c>
      <c r="R521" s="2">
        <f t="shared" si="204"/>
        <v>0.96139380895308313</v>
      </c>
      <c r="S521" s="18">
        <f t="shared" si="205"/>
        <v>9.1829096634920546</v>
      </c>
      <c r="T521" s="18">
        <f t="shared" si="206"/>
        <v>6.1831807532546819</v>
      </c>
      <c r="U521" s="1">
        <f t="shared" si="196"/>
        <v>0</v>
      </c>
      <c r="V521" s="2">
        <f t="shared" si="207"/>
        <v>1258.1204212733833</v>
      </c>
      <c r="W521" s="19">
        <f t="shared" si="208"/>
        <v>544.64087501012261</v>
      </c>
      <c r="X521" s="20"/>
      <c r="Y521" s="2">
        <f t="shared" si="209"/>
        <v>524.76154241137465</v>
      </c>
      <c r="Z521" s="21">
        <f t="shared" si="210"/>
        <v>4.9428617755826041</v>
      </c>
      <c r="AA521" s="2">
        <f t="shared" si="211"/>
        <v>415.14365931148859</v>
      </c>
      <c r="AB521" s="19">
        <f t="shared" si="214"/>
        <v>87.622434341237309</v>
      </c>
      <c r="AC521" s="2"/>
      <c r="AD521" s="18"/>
      <c r="AE521" s="118"/>
      <c r="AG521" s="2"/>
      <c r="AH521" s="19"/>
      <c r="AI521" s="20"/>
      <c r="AJ521" s="21"/>
      <c r="AK521" s="21"/>
      <c r="AM521" s="19"/>
      <c r="AN521" s="18"/>
      <c r="AO521" s="2"/>
      <c r="AP521" s="18"/>
      <c r="AQ521" s="118"/>
      <c r="AS521" s="2"/>
      <c r="AT521" s="19"/>
      <c r="AU521" s="20"/>
      <c r="AV521" s="21"/>
      <c r="AW521" s="21"/>
    </row>
    <row r="522" spans="1:49" x14ac:dyDescent="0.25">
      <c r="A522" s="1">
        <f t="shared" si="197"/>
        <v>496</v>
      </c>
      <c r="B522" s="19">
        <f t="shared" si="198"/>
        <v>325.25184600615921</v>
      </c>
      <c r="C522" s="18">
        <f t="shared" si="212"/>
        <v>7.6150399510116733</v>
      </c>
      <c r="D522" s="2">
        <f t="shared" si="191"/>
        <v>0.95162601261275426</v>
      </c>
      <c r="E522" s="18">
        <f t="shared" si="199"/>
        <v>7.6309003845552192</v>
      </c>
      <c r="F522" s="21">
        <f t="shared" si="192"/>
        <v>4.2935471343964275</v>
      </c>
      <c r="G522" s="1">
        <f t="shared" si="193"/>
        <v>0</v>
      </c>
      <c r="H522" s="2">
        <f t="shared" si="189"/>
        <v>755.62531140862427</v>
      </c>
      <c r="I522" s="19">
        <f t="shared" si="215"/>
        <v>327.11052441931787</v>
      </c>
      <c r="J522" s="20">
        <f t="shared" si="194"/>
        <v>0.91491267716331703</v>
      </c>
      <c r="K522" s="21">
        <f t="shared" si="195"/>
        <v>307.18115983993403</v>
      </c>
      <c r="L522" s="21">
        <f t="shared" si="190"/>
        <v>3.4132603066310372</v>
      </c>
      <c r="M522" s="2">
        <f t="shared" si="200"/>
        <v>241.54827094042312</v>
      </c>
      <c r="N522" s="19">
        <f t="shared" si="213"/>
        <v>334.34566287175926</v>
      </c>
      <c r="O522" s="1">
        <f t="shared" si="201"/>
        <v>496</v>
      </c>
      <c r="P522" s="19">
        <f t="shared" si="202"/>
        <v>544.64087501012261</v>
      </c>
      <c r="Q522" s="18">
        <f t="shared" si="203"/>
        <v>9.1829096634920546</v>
      </c>
      <c r="R522" s="2">
        <f t="shared" si="204"/>
        <v>0.96148854425241681</v>
      </c>
      <c r="S522" s="18">
        <f t="shared" si="205"/>
        <v>9.1989344725629287</v>
      </c>
      <c r="T522" s="18">
        <f t="shared" si="206"/>
        <v>6.2044585993982935</v>
      </c>
      <c r="U522" s="1">
        <f t="shared" si="196"/>
        <v>0</v>
      </c>
      <c r="V522" s="2">
        <f t="shared" si="207"/>
        <v>1264.3248798727816</v>
      </c>
      <c r="W522" s="19">
        <f t="shared" si="208"/>
        <v>547.32678782371499</v>
      </c>
      <c r="X522" s="20"/>
      <c r="Y522" s="2">
        <f t="shared" si="209"/>
        <v>527.44807298491412</v>
      </c>
      <c r="Z522" s="21">
        <f t="shared" si="210"/>
        <v>4.9601280955596367</v>
      </c>
      <c r="AA522" s="2">
        <f t="shared" si="211"/>
        <v>417.29090091129797</v>
      </c>
      <c r="AB522" s="19">
        <f t="shared" si="214"/>
        <v>87.703074803032493</v>
      </c>
      <c r="AC522" s="2"/>
      <c r="AD522" s="18"/>
      <c r="AE522" s="118"/>
      <c r="AG522" s="2"/>
      <c r="AH522" s="19"/>
      <c r="AI522" s="20"/>
      <c r="AJ522" s="21"/>
      <c r="AK522" s="21"/>
      <c r="AM522" s="19"/>
      <c r="AN522" s="18"/>
      <c r="AO522" s="2"/>
      <c r="AP522" s="18"/>
      <c r="AQ522" s="118"/>
      <c r="AS522" s="2"/>
      <c r="AT522" s="19"/>
      <c r="AU522" s="20"/>
      <c r="AV522" s="21"/>
      <c r="AW522" s="21"/>
    </row>
    <row r="523" spans="1:49" x14ac:dyDescent="0.25">
      <c r="A523" s="1">
        <f t="shared" si="197"/>
        <v>497</v>
      </c>
      <c r="B523" s="19">
        <f t="shared" si="198"/>
        <v>327.11052441931787</v>
      </c>
      <c r="C523" s="18">
        <f t="shared" si="212"/>
        <v>7.6309003845552192</v>
      </c>
      <c r="D523" s="2">
        <f t="shared" si="191"/>
        <v>0.95173447210627249</v>
      </c>
      <c r="E523" s="18">
        <f t="shared" si="199"/>
        <v>7.6467626257569901</v>
      </c>
      <c r="F523" s="21">
        <f t="shared" si="192"/>
        <v>4.3111439347023541</v>
      </c>
      <c r="G523" s="1">
        <f t="shared" si="193"/>
        <v>0</v>
      </c>
      <c r="H523" s="2">
        <f t="shared" si="189"/>
        <v>759.93645534332666</v>
      </c>
      <c r="I523" s="19">
        <f t="shared" si="215"/>
        <v>328.97682049494659</v>
      </c>
      <c r="J523" s="20">
        <f t="shared" si="194"/>
        <v>0.91485185854157036</v>
      </c>
      <c r="K523" s="21">
        <f t="shared" si="195"/>
        <v>309.04788516366017</v>
      </c>
      <c r="L523" s="21">
        <f t="shared" si="190"/>
        <v>3.4274652438169388</v>
      </c>
      <c r="M523" s="2">
        <f t="shared" si="200"/>
        <v>243.03202212822265</v>
      </c>
      <c r="N523" s="19">
        <f t="shared" si="213"/>
        <v>334.44270437912661</v>
      </c>
      <c r="O523" s="1">
        <f t="shared" si="201"/>
        <v>497</v>
      </c>
      <c r="P523" s="19">
        <f t="shared" si="202"/>
        <v>547.32678782371499</v>
      </c>
      <c r="Q523" s="18">
        <f t="shared" si="203"/>
        <v>9.1989344725629287</v>
      </c>
      <c r="R523" s="2">
        <f t="shared" si="204"/>
        <v>0.96158314803031497</v>
      </c>
      <c r="S523" s="18">
        <f t="shared" si="205"/>
        <v>9.2149608583634333</v>
      </c>
      <c r="T523" s="18">
        <f t="shared" si="206"/>
        <v>6.2257746074691092</v>
      </c>
      <c r="U523" s="1">
        <f t="shared" si="196"/>
        <v>0</v>
      </c>
      <c r="V523" s="2">
        <f t="shared" si="207"/>
        <v>1270.5506544802506</v>
      </c>
      <c r="W523" s="19">
        <f t="shared" si="208"/>
        <v>550.02192834642881</v>
      </c>
      <c r="X523" s="20"/>
      <c r="Y523" s="2">
        <f t="shared" si="209"/>
        <v>530.14383338994821</v>
      </c>
      <c r="Z523" s="21">
        <f t="shared" si="210"/>
        <v>4.9774262235144047</v>
      </c>
      <c r="AA523" s="2">
        <f t="shared" si="211"/>
        <v>419.44563087818733</v>
      </c>
      <c r="AB523" s="19">
        <f t="shared" si="214"/>
        <v>87.783574786818235</v>
      </c>
      <c r="AC523" s="2"/>
      <c r="AD523" s="18"/>
      <c r="AE523" s="118"/>
      <c r="AG523" s="2"/>
      <c r="AH523" s="19"/>
      <c r="AI523" s="20"/>
      <c r="AJ523" s="21"/>
      <c r="AK523" s="21"/>
      <c r="AM523" s="19"/>
      <c r="AN523" s="18"/>
      <c r="AO523" s="2"/>
      <c r="AP523" s="18"/>
      <c r="AQ523" s="118"/>
      <c r="AS523" s="2"/>
      <c r="AT523" s="19"/>
      <c r="AU523" s="20"/>
      <c r="AV523" s="21"/>
      <c r="AW523" s="21"/>
    </row>
    <row r="524" spans="1:49" x14ac:dyDescent="0.25">
      <c r="A524" s="1">
        <f t="shared" si="197"/>
        <v>498</v>
      </c>
      <c r="B524" s="19">
        <f t="shared" si="198"/>
        <v>328.97682049494659</v>
      </c>
      <c r="C524" s="18">
        <f t="shared" si="212"/>
        <v>7.6467626257569901</v>
      </c>
      <c r="D524" s="2">
        <f t="shared" si="191"/>
        <v>0.95184277013527285</v>
      </c>
      <c r="E524" s="18">
        <f t="shared" si="199"/>
        <v>7.6626266719259108</v>
      </c>
      <c r="F524" s="21">
        <f t="shared" si="192"/>
        <v>4.3287782403153274</v>
      </c>
      <c r="G524" s="1">
        <f t="shared" si="193"/>
        <v>0</v>
      </c>
      <c r="H524" s="2">
        <f t="shared" si="189"/>
        <v>764.26523358364193</v>
      </c>
      <c r="I524" s="19">
        <f t="shared" si="215"/>
        <v>330.85075046910907</v>
      </c>
      <c r="J524" s="20">
        <f t="shared" si="194"/>
        <v>0.91479107623524547</v>
      </c>
      <c r="K524" s="21">
        <f t="shared" si="195"/>
        <v>310.9222461417167</v>
      </c>
      <c r="L524" s="21">
        <f t="shared" si="190"/>
        <v>3.4417012993580451</v>
      </c>
      <c r="M524" s="2">
        <f t="shared" si="200"/>
        <v>244.52193611062873</v>
      </c>
      <c r="N524" s="19">
        <f t="shared" si="213"/>
        <v>334.53954458616965</v>
      </c>
      <c r="O524" s="1">
        <f t="shared" si="201"/>
        <v>498</v>
      </c>
      <c r="P524" s="19">
        <f t="shared" si="202"/>
        <v>550.02192834642881</v>
      </c>
      <c r="Q524" s="18">
        <f t="shared" si="203"/>
        <v>9.2149608583634333</v>
      </c>
      <c r="R524" s="2">
        <f t="shared" si="204"/>
        <v>0.96167762061455941</v>
      </c>
      <c r="S524" s="18">
        <f t="shared" si="205"/>
        <v>9.2309888187070097</v>
      </c>
      <c r="T524" s="18">
        <f t="shared" si="206"/>
        <v>6.2471287836622622</v>
      </c>
      <c r="U524" s="1">
        <f t="shared" si="196"/>
        <v>0</v>
      </c>
      <c r="V524" s="2">
        <f t="shared" si="207"/>
        <v>1276.7977832639128</v>
      </c>
      <c r="W524" s="19">
        <f t="shared" si="208"/>
        <v>552.72631310126098</v>
      </c>
      <c r="X524" s="20"/>
      <c r="Y524" s="2">
        <f t="shared" si="209"/>
        <v>532.84884015327395</v>
      </c>
      <c r="Z524" s="21">
        <f t="shared" si="210"/>
        <v>4.9947561659678144</v>
      </c>
      <c r="AA524" s="2">
        <f t="shared" si="211"/>
        <v>421.60786298466689</v>
      </c>
      <c r="AB524" s="19">
        <f t="shared" si="214"/>
        <v>87.863934767426869</v>
      </c>
      <c r="AC524" s="2"/>
      <c r="AD524" s="18"/>
      <c r="AE524" s="118"/>
      <c r="AG524" s="2"/>
      <c r="AH524" s="19"/>
      <c r="AI524" s="20"/>
      <c r="AJ524" s="21"/>
      <c r="AK524" s="21"/>
      <c r="AM524" s="19"/>
      <c r="AN524" s="18"/>
      <c r="AO524" s="2"/>
      <c r="AP524" s="18"/>
      <c r="AQ524" s="118"/>
      <c r="AS524" s="2"/>
      <c r="AT524" s="19"/>
      <c r="AU524" s="20"/>
      <c r="AV524" s="21"/>
      <c r="AW524" s="21"/>
    </row>
    <row r="525" spans="1:49" x14ac:dyDescent="0.25">
      <c r="A525" s="1">
        <f t="shared" si="197"/>
        <v>499</v>
      </c>
      <c r="B525" s="19">
        <f t="shared" si="198"/>
        <v>330.85075046910907</v>
      </c>
      <c r="C525" s="18">
        <f t="shared" si="212"/>
        <v>7.6626266719259108</v>
      </c>
      <c r="D525" s="2">
        <f t="shared" si="191"/>
        <v>0.95195090704198115</v>
      </c>
      <c r="E525" s="18">
        <f t="shared" si="199"/>
        <v>7.6784925203766106</v>
      </c>
      <c r="F525" s="21">
        <f t="shared" si="192"/>
        <v>4.3464500585194852</v>
      </c>
      <c r="G525" s="1">
        <f t="shared" si="193"/>
        <v>0</v>
      </c>
      <c r="H525" s="2">
        <f t="shared" si="189"/>
        <v>768.61168364216144</v>
      </c>
      <c r="I525" s="19">
        <f t="shared" si="215"/>
        <v>332.73233058102227</v>
      </c>
      <c r="J525" s="20">
        <f t="shared" si="194"/>
        <v>0.91473033038202456</v>
      </c>
      <c r="K525" s="21">
        <f t="shared" si="195"/>
        <v>312.80425901705564</v>
      </c>
      <c r="L525" s="21">
        <f t="shared" si="190"/>
        <v>3.4559684809075986</v>
      </c>
      <c r="M525" s="2">
        <f t="shared" si="200"/>
        <v>246.01802636210388</v>
      </c>
      <c r="N525" s="19">
        <f t="shared" si="213"/>
        <v>334.63618430353972</v>
      </c>
      <c r="O525" s="1">
        <f t="shared" si="201"/>
        <v>499</v>
      </c>
      <c r="P525" s="19">
        <f t="shared" si="202"/>
        <v>552.72631310126098</v>
      </c>
      <c r="Q525" s="18">
        <f t="shared" si="203"/>
        <v>9.2309888187070097</v>
      </c>
      <c r="R525" s="2">
        <f t="shared" si="204"/>
        <v>0.96177196233205076</v>
      </c>
      <c r="S525" s="18">
        <f t="shared" si="205"/>
        <v>9.2470183514125441</v>
      </c>
      <c r="T525" s="18">
        <f t="shared" si="206"/>
        <v>6.2685211341636755</v>
      </c>
      <c r="U525" s="1">
        <f t="shared" si="196"/>
        <v>0</v>
      </c>
      <c r="V525" s="2">
        <f t="shared" si="207"/>
        <v>1283.0663043980765</v>
      </c>
      <c r="W525" s="19">
        <f t="shared" si="208"/>
        <v>555.43995861388589</v>
      </c>
      <c r="X525" s="20"/>
      <c r="Y525" s="2">
        <f t="shared" si="209"/>
        <v>535.56310980436683</v>
      </c>
      <c r="Z525" s="21">
        <f t="shared" si="210"/>
        <v>5.0121179294311116</v>
      </c>
      <c r="AA525" s="2">
        <f t="shared" si="211"/>
        <v>423.77761100606563</v>
      </c>
      <c r="AB525" s="19">
        <f t="shared" si="214"/>
        <v>87.944155217308321</v>
      </c>
      <c r="AC525" s="2"/>
      <c r="AD525" s="18"/>
      <c r="AE525" s="118"/>
      <c r="AG525" s="2"/>
      <c r="AH525" s="19"/>
      <c r="AI525" s="20"/>
      <c r="AJ525" s="21"/>
      <c r="AK525" s="21"/>
      <c r="AM525" s="19"/>
      <c r="AN525" s="18"/>
      <c r="AO525" s="2"/>
      <c r="AP525" s="18"/>
      <c r="AQ525" s="118"/>
      <c r="AS525" s="2"/>
      <c r="AT525" s="19"/>
      <c r="AU525" s="20"/>
      <c r="AV525" s="21"/>
      <c r="AW525" s="21"/>
    </row>
    <row r="526" spans="1:49" x14ac:dyDescent="0.25">
      <c r="A526" s="1">
        <f t="shared" si="197"/>
        <v>500</v>
      </c>
      <c r="B526" s="19">
        <f t="shared" si="198"/>
        <v>332.73233058102227</v>
      </c>
      <c r="C526" s="18">
        <f t="shared" si="212"/>
        <v>7.6784925203766106</v>
      </c>
      <c r="D526" s="2">
        <f t="shared" si="191"/>
        <v>0.95205888316897591</v>
      </c>
      <c r="E526" s="18">
        <f t="shared" si="199"/>
        <v>7.6943601684294265</v>
      </c>
      <c r="F526" s="21">
        <f t="shared" si="192"/>
        <v>4.3641593965858023</v>
      </c>
      <c r="G526" s="1">
        <f t="shared" si="193"/>
        <v>0</v>
      </c>
      <c r="H526" s="2">
        <f t="shared" si="189"/>
        <v>772.97584303874726</v>
      </c>
      <c r="I526" s="19">
        <f t="shared" si="215"/>
        <v>334.62157707305073</v>
      </c>
      <c r="J526" s="20">
        <f t="shared" si="194"/>
        <v>0.91466962111763961</v>
      </c>
      <c r="K526" s="21">
        <f t="shared" si="195"/>
        <v>314.6939400357773</v>
      </c>
      <c r="L526" s="21">
        <f t="shared" si="190"/>
        <v>3.4702667961051579</v>
      </c>
      <c r="M526" s="2">
        <f t="shared" si="200"/>
        <v>247.52030636041781</v>
      </c>
      <c r="N526" s="19">
        <f t="shared" si="213"/>
        <v>334.73262433703877</v>
      </c>
      <c r="O526" s="1">
        <f t="shared" si="201"/>
        <v>500</v>
      </c>
      <c r="P526" s="19">
        <f t="shared" si="202"/>
        <v>555.43995861388589</v>
      </c>
      <c r="Q526" s="18">
        <f t="shared" si="203"/>
        <v>9.2470183514125441</v>
      </c>
      <c r="R526" s="2">
        <f t="shared" si="204"/>
        <v>0.96186617350880932</v>
      </c>
      <c r="S526" s="18">
        <f t="shared" si="205"/>
        <v>9.2630494543043582</v>
      </c>
      <c r="T526" s="18">
        <f t="shared" si="206"/>
        <v>6.2899516651500988</v>
      </c>
      <c r="U526" s="1">
        <f t="shared" si="196"/>
        <v>0</v>
      </c>
      <c r="V526" s="2">
        <f t="shared" si="207"/>
        <v>1289.3562560632265</v>
      </c>
      <c r="W526" s="19">
        <f t="shared" si="208"/>
        <v>558.16288141265215</v>
      </c>
      <c r="X526" s="20"/>
      <c r="Y526" s="2">
        <f t="shared" si="209"/>
        <v>538.28665887537682</v>
      </c>
      <c r="Z526" s="21">
        <f t="shared" si="210"/>
        <v>5.0295115204059231</v>
      </c>
      <c r="AA526" s="2">
        <f t="shared" si="211"/>
        <v>425.95488872052704</v>
      </c>
      <c r="AB526" s="19">
        <f t="shared" si="214"/>
        <v>88.024236606545998</v>
      </c>
      <c r="AC526" s="2"/>
      <c r="AD526" s="18"/>
      <c r="AE526" s="118"/>
      <c r="AG526" s="2"/>
      <c r="AH526" s="19"/>
      <c r="AI526" s="20"/>
      <c r="AJ526" s="21"/>
      <c r="AK526" s="21"/>
      <c r="AM526" s="19"/>
      <c r="AN526" s="18"/>
      <c r="AO526" s="2"/>
      <c r="AP526" s="18"/>
      <c r="AQ526" s="118"/>
      <c r="AS526" s="2"/>
      <c r="AT526" s="19"/>
      <c r="AU526" s="20"/>
      <c r="AV526" s="21"/>
      <c r="AW526" s="21"/>
    </row>
    <row r="527" spans="1:49" x14ac:dyDescent="0.25">
      <c r="A527" s="1">
        <f t="shared" si="197"/>
        <v>501</v>
      </c>
      <c r="B527" s="19">
        <f t="shared" si="198"/>
        <v>334.62157707305073</v>
      </c>
      <c r="C527" s="18">
        <f t="shared" si="212"/>
        <v>7.6943601684294265</v>
      </c>
      <c r="D527" s="2">
        <f t="shared" si="191"/>
        <v>0.95216669885916427</v>
      </c>
      <c r="E527" s="18">
        <f t="shared" si="199"/>
        <v>7.7102296134104122</v>
      </c>
      <c r="F527" s="21">
        <f t="shared" si="192"/>
        <v>4.3819062617721318</v>
      </c>
      <c r="G527" s="1">
        <f t="shared" si="193"/>
        <v>0</v>
      </c>
      <c r="H527" s="2">
        <f t="shared" si="189"/>
        <v>777.35774930051934</v>
      </c>
      <c r="I527" s="19">
        <f t="shared" si="215"/>
        <v>336.51850619070103</v>
      </c>
      <c r="J527" s="20">
        <f t="shared" si="194"/>
        <v>0.9146089485758917</v>
      </c>
      <c r="K527" s="21">
        <f t="shared" si="195"/>
        <v>316.59130544712463</v>
      </c>
      <c r="L527" s="21">
        <f t="shared" si="190"/>
        <v>3.4845962525766474</v>
      </c>
      <c r="M527" s="2">
        <f t="shared" si="200"/>
        <v>249.02878958664147</v>
      </c>
      <c r="N527" s="19">
        <f t="shared" si="213"/>
        <v>334.82886548765788</v>
      </c>
      <c r="O527" s="1">
        <f t="shared" si="201"/>
        <v>501</v>
      </c>
      <c r="P527" s="19">
        <f t="shared" si="202"/>
        <v>558.16288141265215</v>
      </c>
      <c r="Q527" s="18">
        <f t="shared" si="203"/>
        <v>9.2630494543043582</v>
      </c>
      <c r="R527" s="2">
        <f t="shared" si="204"/>
        <v>0.96196025446997324</v>
      </c>
      <c r="S527" s="18">
        <f t="shared" si="205"/>
        <v>9.2790821252121916</v>
      </c>
      <c r="T527" s="18">
        <f t="shared" si="206"/>
        <v>6.3114203827891373</v>
      </c>
      <c r="U527" s="1">
        <f t="shared" si="196"/>
        <v>0</v>
      </c>
      <c r="V527" s="2">
        <f t="shared" si="207"/>
        <v>1295.6676764460155</v>
      </c>
      <c r="W527" s="19">
        <f t="shared" si="208"/>
        <v>560.8950980285781</v>
      </c>
      <c r="X527" s="20"/>
      <c r="Y527" s="2">
        <f t="shared" si="209"/>
        <v>541.01950390112449</v>
      </c>
      <c r="Z527" s="21">
        <f t="shared" si="210"/>
        <v>5.0469369453842816</v>
      </c>
      <c r="AA527" s="2">
        <f t="shared" si="211"/>
        <v>428.13970990900509</v>
      </c>
      <c r="AB527" s="19">
        <f t="shared" si="214"/>
        <v>88.104179402872461</v>
      </c>
      <c r="AC527" s="2"/>
      <c r="AD527" s="18"/>
      <c r="AE527" s="118"/>
      <c r="AG527" s="2"/>
      <c r="AH527" s="19"/>
      <c r="AI527" s="20"/>
      <c r="AJ527" s="21"/>
      <c r="AK527" s="21"/>
      <c r="AM527" s="19"/>
      <c r="AN527" s="18"/>
      <c r="AO527" s="2"/>
      <c r="AP527" s="18"/>
      <c r="AQ527" s="118"/>
      <c r="AS527" s="2"/>
      <c r="AT527" s="19"/>
      <c r="AU527" s="20"/>
      <c r="AV527" s="21"/>
      <c r="AW527" s="21"/>
    </row>
    <row r="528" spans="1:49" x14ac:dyDescent="0.25">
      <c r="A528" s="1">
        <f t="shared" si="197"/>
        <v>502</v>
      </c>
      <c r="B528" s="19">
        <f t="shared" si="198"/>
        <v>336.51850619070103</v>
      </c>
      <c r="C528" s="18">
        <f t="shared" si="212"/>
        <v>7.7102296134104122</v>
      </c>
      <c r="D528" s="2">
        <f t="shared" si="191"/>
        <v>0.95227435445575648</v>
      </c>
      <c r="E528" s="18">
        <f t="shared" si="199"/>
        <v>7.7261008526513413</v>
      </c>
      <c r="F528" s="21">
        <f t="shared" si="192"/>
        <v>4.3996906613232634</v>
      </c>
      <c r="G528" s="1">
        <f t="shared" si="193"/>
        <v>0</v>
      </c>
      <c r="H528" s="2">
        <f t="shared" si="189"/>
        <v>781.75743996184269</v>
      </c>
      <c r="I528" s="19">
        <f t="shared" si="215"/>
        <v>338.42313418261585</v>
      </c>
      <c r="J528" s="20">
        <f t="shared" si="194"/>
        <v>0.91454831288867033</v>
      </c>
      <c r="K528" s="21">
        <f t="shared" si="195"/>
        <v>318.49637150347758</v>
      </c>
      <c r="L528" s="21">
        <f t="shared" si="190"/>
        <v>3.4989568579344152</v>
      </c>
      <c r="M528" s="2">
        <f t="shared" si="200"/>
        <v>250.54348952514121</v>
      </c>
      <c r="N528" s="19">
        <f t="shared" si="213"/>
        <v>334.92490855161532</v>
      </c>
      <c r="O528" s="1">
        <f t="shared" si="201"/>
        <v>502</v>
      </c>
      <c r="P528" s="19">
        <f t="shared" si="202"/>
        <v>560.8950980285781</v>
      </c>
      <c r="Q528" s="18">
        <f t="shared" si="203"/>
        <v>9.2790821252121916</v>
      </c>
      <c r="R528" s="2">
        <f t="shared" si="204"/>
        <v>0.96205420553979804</v>
      </c>
      <c r="S528" s="18">
        <f t="shared" si="205"/>
        <v>9.2951163619711874</v>
      </c>
      <c r="T528" s="18">
        <f t="shared" si="206"/>
        <v>6.3329272932392788</v>
      </c>
      <c r="U528" s="1">
        <f t="shared" si="196"/>
        <v>0</v>
      </c>
      <c r="V528" s="2">
        <f t="shared" si="207"/>
        <v>1302.0006037392548</v>
      </c>
      <c r="W528" s="19">
        <f t="shared" si="208"/>
        <v>563.63662499534837</v>
      </c>
      <c r="X528" s="20"/>
      <c r="Y528" s="2">
        <f t="shared" si="209"/>
        <v>543.76166141909709</v>
      </c>
      <c r="Z528" s="21">
        <f t="shared" si="210"/>
        <v>5.0643942108486533</v>
      </c>
      <c r="AA528" s="2">
        <f t="shared" si="211"/>
        <v>430.33208835525994</v>
      </c>
      <c r="AB528" s="19">
        <f t="shared" si="214"/>
        <v>88.183984071685046</v>
      </c>
      <c r="AC528" s="2"/>
      <c r="AD528" s="18"/>
      <c r="AE528" s="118"/>
      <c r="AG528" s="2"/>
      <c r="AH528" s="19"/>
      <c r="AI528" s="20"/>
      <c r="AJ528" s="21"/>
      <c r="AK528" s="21"/>
      <c r="AM528" s="19"/>
      <c r="AN528" s="18"/>
      <c r="AO528" s="2"/>
      <c r="AP528" s="18"/>
      <c r="AQ528" s="118"/>
      <c r="AS528" s="2"/>
      <c r="AT528" s="19"/>
      <c r="AU528" s="20"/>
      <c r="AV528" s="21"/>
      <c r="AW528" s="21"/>
    </row>
    <row r="529" spans="1:49" x14ac:dyDescent="0.25">
      <c r="A529" s="1">
        <f t="shared" si="197"/>
        <v>503</v>
      </c>
      <c r="B529" s="19">
        <f t="shared" si="198"/>
        <v>338.42313418261585</v>
      </c>
      <c r="C529" s="18">
        <f t="shared" si="212"/>
        <v>7.7261008526513413</v>
      </c>
      <c r="D529" s="2">
        <f t="shared" si="191"/>
        <v>0.95238185030224232</v>
      </c>
      <c r="E529" s="18">
        <f t="shared" si="199"/>
        <v>7.7419738834897123</v>
      </c>
      <c r="F529" s="21">
        <f t="shared" si="192"/>
        <v>4.4175126024709659</v>
      </c>
      <c r="G529" s="1">
        <f t="shared" si="193"/>
        <v>0</v>
      </c>
      <c r="H529" s="2">
        <f t="shared" si="189"/>
        <v>786.17495256431368</v>
      </c>
      <c r="I529" s="19">
        <f t="shared" si="215"/>
        <v>340.3354773005687</v>
      </c>
      <c r="J529" s="20">
        <f t="shared" si="194"/>
        <v>0.91448771418597208</v>
      </c>
      <c r="K529" s="21">
        <f t="shared" si="195"/>
        <v>320.40915446034751</v>
      </c>
      <c r="L529" s="21">
        <f t="shared" si="190"/>
        <v>3.5133486197772745</v>
      </c>
      <c r="M529" s="2">
        <f t="shared" si="200"/>
        <v>252.06441966357292</v>
      </c>
      <c r="N529" s="19">
        <f t="shared" si="213"/>
        <v>335.02075432039442</v>
      </c>
      <c r="O529" s="1">
        <f t="shared" si="201"/>
        <v>503</v>
      </c>
      <c r="P529" s="19">
        <f t="shared" si="202"/>
        <v>563.63662499534837</v>
      </c>
      <c r="Q529" s="18">
        <f t="shared" si="203"/>
        <v>9.2951163619711874</v>
      </c>
      <c r="R529" s="2">
        <f t="shared" si="204"/>
        <v>0.96214802704165769</v>
      </c>
      <c r="S529" s="18">
        <f t="shared" si="205"/>
        <v>9.311152162421882</v>
      </c>
      <c r="T529" s="18">
        <f t="shared" si="206"/>
        <v>6.3544724026499377</v>
      </c>
      <c r="U529" s="1">
        <f t="shared" si="196"/>
        <v>0</v>
      </c>
      <c r="V529" s="2">
        <f t="shared" si="207"/>
        <v>1308.3550761419046</v>
      </c>
      <c r="W529" s="19">
        <f t="shared" si="208"/>
        <v>566.38747884930933</v>
      </c>
      <c r="X529" s="20"/>
      <c r="Y529" s="2">
        <f t="shared" si="209"/>
        <v>546.5131479694445</v>
      </c>
      <c r="Z529" s="21">
        <f t="shared" si="210"/>
        <v>5.0818833232719811</v>
      </c>
      <c r="AA529" s="2">
        <f t="shared" si="211"/>
        <v>432.53203784585389</v>
      </c>
      <c r="AB529" s="19">
        <f t="shared" si="214"/>
        <v>88.26365107606135</v>
      </c>
      <c r="AC529" s="2"/>
      <c r="AD529" s="18"/>
      <c r="AE529" s="118"/>
      <c r="AG529" s="2"/>
      <c r="AH529" s="19"/>
      <c r="AI529" s="20"/>
      <c r="AJ529" s="21"/>
      <c r="AK529" s="21"/>
      <c r="AM529" s="19"/>
      <c r="AN529" s="18"/>
      <c r="AO529" s="2"/>
      <c r="AP529" s="18"/>
      <c r="AQ529" s="118"/>
      <c r="AS529" s="2"/>
      <c r="AT529" s="19"/>
      <c r="AU529" s="20"/>
      <c r="AV529" s="21"/>
      <c r="AW529" s="21"/>
    </row>
    <row r="530" spans="1:49" x14ac:dyDescent="0.25">
      <c r="A530" s="1">
        <f t="shared" si="197"/>
        <v>504</v>
      </c>
      <c r="B530" s="19">
        <f t="shared" si="198"/>
        <v>340.3354773005687</v>
      </c>
      <c r="C530" s="18">
        <f t="shared" si="212"/>
        <v>7.7419738834897123</v>
      </c>
      <c r="D530" s="2">
        <f t="shared" si="191"/>
        <v>0.95248918674236638</v>
      </c>
      <c r="E530" s="18">
        <f t="shared" si="199"/>
        <v>7.7578487032687518</v>
      </c>
      <c r="F530" s="21">
        <f t="shared" si="192"/>
        <v>4.4353720924340454</v>
      </c>
      <c r="G530" s="1">
        <f t="shared" si="193"/>
        <v>0</v>
      </c>
      <c r="H530" s="2">
        <f t="shared" si="189"/>
        <v>790.61032465674771</v>
      </c>
      <c r="I530" s="19">
        <f t="shared" si="215"/>
        <v>342.25555179945786</v>
      </c>
      <c r="J530" s="20">
        <f t="shared" si="194"/>
        <v>0.91442715259592078</v>
      </c>
      <c r="K530" s="21">
        <f t="shared" si="195"/>
        <v>322.32967057637143</v>
      </c>
      <c r="L530" s="21">
        <f t="shared" si="190"/>
        <v>3.5277715456905661</v>
      </c>
      <c r="M530" s="2">
        <f t="shared" si="200"/>
        <v>253.5915934928762</v>
      </c>
      <c r="N530" s="19">
        <f t="shared" si="213"/>
        <v>335.11640358078091</v>
      </c>
      <c r="O530" s="1">
        <f t="shared" si="201"/>
        <v>504</v>
      </c>
      <c r="P530" s="19">
        <f t="shared" si="202"/>
        <v>566.38747884930933</v>
      </c>
      <c r="Q530" s="18">
        <f t="shared" si="203"/>
        <v>9.311152162421882</v>
      </c>
      <c r="R530" s="2">
        <f t="shared" si="204"/>
        <v>0.96224171929804203</v>
      </c>
      <c r="S530" s="18">
        <f t="shared" si="205"/>
        <v>9.3271895244101835</v>
      </c>
      <c r="T530" s="18">
        <f t="shared" si="206"/>
        <v>6.37605571716146</v>
      </c>
      <c r="U530" s="1">
        <f t="shared" si="196"/>
        <v>0</v>
      </c>
      <c r="V530" s="2">
        <f t="shared" si="207"/>
        <v>1314.7311318590662</v>
      </c>
      <c r="W530" s="19">
        <f t="shared" si="208"/>
        <v>569.14767612946582</v>
      </c>
      <c r="X530" s="20"/>
      <c r="Y530" s="2">
        <f t="shared" si="209"/>
        <v>549.2739800949754</v>
      </c>
      <c r="Z530" s="21">
        <f t="shared" si="210"/>
        <v>5.0994042891177029</v>
      </c>
      <c r="AA530" s="2">
        <f t="shared" si="211"/>
        <v>434.73957217014726</v>
      </c>
      <c r="AB530" s="19">
        <f t="shared" si="214"/>
        <v>88.343180876774511</v>
      </c>
      <c r="AC530" s="2"/>
      <c r="AD530" s="18"/>
      <c r="AE530" s="118"/>
      <c r="AG530" s="2"/>
      <c r="AH530" s="19"/>
      <c r="AI530" s="20"/>
      <c r="AJ530" s="21"/>
      <c r="AK530" s="21"/>
      <c r="AM530" s="19"/>
      <c r="AN530" s="18"/>
      <c r="AO530" s="2"/>
      <c r="AP530" s="18"/>
      <c r="AQ530" s="118"/>
      <c r="AS530" s="2"/>
      <c r="AT530" s="19"/>
      <c r="AU530" s="20"/>
      <c r="AV530" s="21"/>
      <c r="AW530" s="21"/>
    </row>
    <row r="531" spans="1:49" x14ac:dyDescent="0.25">
      <c r="A531" s="1">
        <f t="shared" si="197"/>
        <v>505</v>
      </c>
      <c r="B531" s="19">
        <f t="shared" si="198"/>
        <v>342.25555179945786</v>
      </c>
      <c r="C531" s="18">
        <f t="shared" si="212"/>
        <v>7.7578487032687518</v>
      </c>
      <c r="D531" s="2">
        <f t="shared" si="191"/>
        <v>0.9525963641201054</v>
      </c>
      <c r="E531" s="18">
        <f t="shared" si="199"/>
        <v>7.7737253093374203</v>
      </c>
      <c r="F531" s="21">
        <f t="shared" si="192"/>
        <v>4.4532691384183911</v>
      </c>
      <c r="G531" s="1">
        <f t="shared" si="193"/>
        <v>0</v>
      </c>
      <c r="H531" s="2">
        <f t="shared" si="189"/>
        <v>795.06359379516607</v>
      </c>
      <c r="I531" s="19">
        <f t="shared" si="215"/>
        <v>344.18337393730133</v>
      </c>
      <c r="J531" s="20">
        <f t="shared" si="194"/>
        <v>0.91436662824478443</v>
      </c>
      <c r="K531" s="21">
        <f t="shared" si="195"/>
        <v>324.25793611330658</v>
      </c>
      <c r="L531" s="21">
        <f t="shared" si="190"/>
        <v>3.5422256432462</v>
      </c>
      <c r="M531" s="2">
        <f t="shared" si="200"/>
        <v>255.12502450726851</v>
      </c>
      <c r="N531" s="19">
        <f t="shared" si="213"/>
        <v>335.21185711489989</v>
      </c>
      <c r="O531" s="1">
        <f t="shared" si="201"/>
        <v>505</v>
      </c>
      <c r="P531" s="19">
        <f t="shared" si="202"/>
        <v>569.14767612946582</v>
      </c>
      <c r="Q531" s="18">
        <f t="shared" si="203"/>
        <v>9.3271895244101835</v>
      </c>
      <c r="R531" s="2">
        <f t="shared" si="204"/>
        <v>0.96233528263055845</v>
      </c>
      <c r="S531" s="18">
        <f t="shared" si="205"/>
        <v>9.3432284457873589</v>
      </c>
      <c r="T531" s="18">
        <f t="shared" si="206"/>
        <v>6.3976772429051714</v>
      </c>
      <c r="U531" s="1">
        <f t="shared" si="196"/>
        <v>0</v>
      </c>
      <c r="V531" s="2">
        <f t="shared" si="207"/>
        <v>1321.1288091019715</v>
      </c>
      <c r="W531" s="19">
        <f t="shared" si="208"/>
        <v>571.9172333774768</v>
      </c>
      <c r="X531" s="20"/>
      <c r="Y531" s="2">
        <f t="shared" si="209"/>
        <v>552.04417434115339</v>
      </c>
      <c r="Z531" s="21">
        <f t="shared" si="210"/>
        <v>5.1169571148397859</v>
      </c>
      <c r="AA531" s="2">
        <f t="shared" si="211"/>
        <v>436.95470512029436</v>
      </c>
      <c r="AB531" s="19">
        <f t="shared" si="214"/>
        <v>88.422573932308481</v>
      </c>
      <c r="AC531" s="2"/>
      <c r="AD531" s="18"/>
      <c r="AE531" s="118"/>
      <c r="AG531" s="2"/>
      <c r="AH531" s="19"/>
      <c r="AI531" s="20"/>
      <c r="AJ531" s="21"/>
      <c r="AK531" s="21"/>
      <c r="AM531" s="19"/>
      <c r="AN531" s="18"/>
      <c r="AO531" s="2"/>
      <c r="AP531" s="18"/>
      <c r="AQ531" s="118"/>
      <c r="AS531" s="2"/>
      <c r="AT531" s="19"/>
      <c r="AU531" s="20"/>
      <c r="AV531" s="21"/>
      <c r="AW531" s="21"/>
    </row>
    <row r="532" spans="1:49" x14ac:dyDescent="0.25">
      <c r="A532" s="1">
        <f t="shared" si="197"/>
        <v>506</v>
      </c>
      <c r="B532" s="19">
        <f t="shared" si="198"/>
        <v>344.18337393730133</v>
      </c>
      <c r="C532" s="18">
        <f t="shared" si="212"/>
        <v>7.7737253093374203</v>
      </c>
      <c r="D532" s="2">
        <f t="shared" si="191"/>
        <v>0.95270338277964517</v>
      </c>
      <c r="E532" s="18">
        <f t="shared" si="199"/>
        <v>7.7896036990504145</v>
      </c>
      <c r="F532" s="21">
        <f t="shared" si="192"/>
        <v>4.4712037476170261</v>
      </c>
      <c r="G532" s="1">
        <f t="shared" si="193"/>
        <v>0</v>
      </c>
      <c r="H532" s="2">
        <f t="shared" si="189"/>
        <v>799.53479754278305</v>
      </c>
      <c r="I532" s="19">
        <f t="shared" si="215"/>
        <v>346.11895997523072</v>
      </c>
      <c r="J532" s="20">
        <f t="shared" si="194"/>
        <v>0.91430614125699539</v>
      </c>
      <c r="K532" s="21">
        <f t="shared" si="195"/>
        <v>326.19396733602474</v>
      </c>
      <c r="L532" s="21">
        <f t="shared" si="190"/>
        <v>3.5567109200027125</v>
      </c>
      <c r="M532" s="2">
        <f t="shared" si="200"/>
        <v>256.6647262042394</v>
      </c>
      <c r="N532" s="19">
        <f t="shared" si="213"/>
        <v>335.3071157002525</v>
      </c>
      <c r="O532" s="1">
        <f t="shared" si="201"/>
        <v>506</v>
      </c>
      <c r="P532" s="19">
        <f t="shared" si="202"/>
        <v>571.9172333774768</v>
      </c>
      <c r="Q532" s="18">
        <f t="shared" si="203"/>
        <v>9.3432284457873589</v>
      </c>
      <c r="R532" s="2">
        <f t="shared" si="204"/>
        <v>0.96242871735993096</v>
      </c>
      <c r="S532" s="18">
        <f t="shared" si="205"/>
        <v>9.3592689244100242</v>
      </c>
      <c r="T532" s="18">
        <f t="shared" si="206"/>
        <v>6.4193369860034046</v>
      </c>
      <c r="U532" s="1">
        <f t="shared" si="196"/>
        <v>0</v>
      </c>
      <c r="V532" s="2">
        <f t="shared" si="207"/>
        <v>1327.5481460879748</v>
      </c>
      <c r="W532" s="19">
        <f t="shared" si="208"/>
        <v>574.6961671376514</v>
      </c>
      <c r="X532" s="20"/>
      <c r="Y532" s="2">
        <f t="shared" si="209"/>
        <v>554.82374725609282</v>
      </c>
      <c r="Z532" s="21">
        <f t="shared" si="210"/>
        <v>5.1345418068827575</v>
      </c>
      <c r="AA532" s="2">
        <f t="shared" si="211"/>
        <v>439.17745049123926</v>
      </c>
      <c r="AB532" s="19">
        <f t="shared" si="214"/>
        <v>88.501830698873064</v>
      </c>
      <c r="AC532" s="2"/>
      <c r="AD532" s="18"/>
      <c r="AE532" s="118"/>
      <c r="AG532" s="2"/>
      <c r="AH532" s="19"/>
      <c r="AI532" s="20"/>
      <c r="AJ532" s="21"/>
      <c r="AK532" s="21"/>
      <c r="AM532" s="19"/>
      <c r="AN532" s="18"/>
      <c r="AO532" s="2"/>
      <c r="AP532" s="18"/>
      <c r="AQ532" s="118"/>
      <c r="AS532" s="2"/>
      <c r="AT532" s="19"/>
      <c r="AU532" s="20"/>
      <c r="AV532" s="21"/>
      <c r="AW532" s="21"/>
    </row>
    <row r="533" spans="1:49" x14ac:dyDescent="0.25">
      <c r="A533" s="1">
        <f t="shared" si="197"/>
        <v>507</v>
      </c>
      <c r="B533" s="19">
        <f t="shared" si="198"/>
        <v>346.11895997523072</v>
      </c>
      <c r="C533" s="18">
        <f t="shared" si="212"/>
        <v>7.7896036990504145</v>
      </c>
      <c r="D533" s="2">
        <f t="shared" si="191"/>
        <v>0.95281024306535822</v>
      </c>
      <c r="E533" s="18">
        <f t="shared" si="199"/>
        <v>7.8054838697681701</v>
      </c>
      <c r="F533" s="21">
        <f t="shared" si="192"/>
        <v>4.4891759272101632</v>
      </c>
      <c r="G533" s="1">
        <f t="shared" si="193"/>
        <v>0</v>
      </c>
      <c r="H533" s="2">
        <f t="shared" si="189"/>
        <v>804.02397346999305</v>
      </c>
      <c r="I533" s="19">
        <f t="shared" si="215"/>
        <v>348.06232617748617</v>
      </c>
      <c r="J533" s="20">
        <f t="shared" si="194"/>
        <v>0.91424569175516723</v>
      </c>
      <c r="K533" s="21">
        <f t="shared" si="195"/>
        <v>328.13778051250677</v>
      </c>
      <c r="L533" s="21">
        <f t="shared" si="190"/>
        <v>3.5712273835053194</v>
      </c>
      <c r="M533" s="2">
        <f t="shared" si="200"/>
        <v>258.21071208454475</v>
      </c>
      <c r="N533" s="19">
        <f t="shared" si="213"/>
        <v>335.40218010975224</v>
      </c>
      <c r="O533" s="1">
        <f t="shared" si="201"/>
        <v>507</v>
      </c>
      <c r="P533" s="19">
        <f t="shared" si="202"/>
        <v>574.6961671376514</v>
      </c>
      <c r="Q533" s="18">
        <f t="shared" si="203"/>
        <v>9.3592689244100242</v>
      </c>
      <c r="R533" s="2">
        <f t="shared" si="204"/>
        <v>0.96252202380599916</v>
      </c>
      <c r="S533" s="18">
        <f t="shared" si="205"/>
        <v>9.3753109581401244</v>
      </c>
      <c r="T533" s="18">
        <f t="shared" si="206"/>
        <v>6.441034952569523</v>
      </c>
      <c r="U533" s="1">
        <f t="shared" si="196"/>
        <v>0</v>
      </c>
      <c r="V533" s="2">
        <f t="shared" si="207"/>
        <v>1333.9891810405443</v>
      </c>
      <c r="W533" s="19">
        <f t="shared" si="208"/>
        <v>577.48449395694558</v>
      </c>
      <c r="X533" s="20"/>
      <c r="Y533" s="2">
        <f t="shared" si="209"/>
        <v>557.61271539055542</v>
      </c>
      <c r="Z533" s="21">
        <f t="shared" si="210"/>
        <v>5.1521583716817405</v>
      </c>
      <c r="AA533" s="2">
        <f t="shared" si="211"/>
        <v>441.40782208071187</v>
      </c>
      <c r="AB533" s="19">
        <f t="shared" si="214"/>
        <v>88.580951630418909</v>
      </c>
      <c r="AC533" s="2"/>
      <c r="AD533" s="18"/>
      <c r="AE533" s="118"/>
      <c r="AG533" s="2"/>
      <c r="AH533" s="19"/>
      <c r="AI533" s="20"/>
      <c r="AJ533" s="21"/>
      <c r="AK533" s="21"/>
      <c r="AM533" s="19"/>
      <c r="AN533" s="18"/>
      <c r="AO533" s="2"/>
      <c r="AP533" s="18"/>
      <c r="AQ533" s="118"/>
      <c r="AS533" s="2"/>
      <c r="AT533" s="19"/>
      <c r="AU533" s="20"/>
      <c r="AV533" s="21"/>
      <c r="AW533" s="21"/>
    </row>
    <row r="534" spans="1:49" x14ac:dyDescent="0.25">
      <c r="A534" s="1">
        <f t="shared" si="197"/>
        <v>508</v>
      </c>
      <c r="B534" s="19">
        <f t="shared" si="198"/>
        <v>348.06232617748617</v>
      </c>
      <c r="C534" s="18">
        <f t="shared" si="212"/>
        <v>7.8054838697681701</v>
      </c>
      <c r="D534" s="2">
        <f t="shared" si="191"/>
        <v>0.95291694532178106</v>
      </c>
      <c r="E534" s="18">
        <f t="shared" si="199"/>
        <v>7.8213658188568669</v>
      </c>
      <c r="F534" s="21">
        <f t="shared" si="192"/>
        <v>4.5071856843652451</v>
      </c>
      <c r="G534" s="1">
        <f t="shared" si="193"/>
        <v>0</v>
      </c>
      <c r="H534" s="2">
        <f t="shared" si="189"/>
        <v>808.53115915435831</v>
      </c>
      <c r="I534" s="19">
        <f t="shared" si="215"/>
        <v>350.01348881141053</v>
      </c>
      <c r="J534" s="20">
        <f t="shared" si="194"/>
        <v>0.91418527986011477</v>
      </c>
      <c r="K534" s="21">
        <f t="shared" si="195"/>
        <v>330.08939191383689</v>
      </c>
      <c r="L534" s="21">
        <f t="shared" si="190"/>
        <v>3.5857750412859577</v>
      </c>
      <c r="M534" s="2">
        <f t="shared" si="200"/>
        <v>259.76299565220103</v>
      </c>
      <c r="N534" s="19">
        <f t="shared" si="213"/>
        <v>335.49705111176092</v>
      </c>
      <c r="O534" s="1">
        <f t="shared" si="201"/>
        <v>508</v>
      </c>
      <c r="P534" s="19">
        <f t="shared" si="202"/>
        <v>577.48449395694558</v>
      </c>
      <c r="Q534" s="18">
        <f t="shared" si="203"/>
        <v>9.3753109581401244</v>
      </c>
      <c r="R534" s="2">
        <f t="shared" si="204"/>
        <v>0.96261520228771991</v>
      </c>
      <c r="S534" s="18">
        <f t="shared" si="205"/>
        <v>9.3913545448449192</v>
      </c>
      <c r="T534" s="18">
        <f t="shared" si="206"/>
        <v>6.4627711487079482</v>
      </c>
      <c r="U534" s="1">
        <f t="shared" si="196"/>
        <v>0</v>
      </c>
      <c r="V534" s="2">
        <f t="shared" si="207"/>
        <v>1340.4519521892523</v>
      </c>
      <c r="W534" s="19">
        <f t="shared" si="208"/>
        <v>580.28223038495776</v>
      </c>
      <c r="X534" s="20"/>
      <c r="Y534" s="2">
        <f t="shared" si="209"/>
        <v>560.41109529794596</v>
      </c>
      <c r="Z534" s="21">
        <f t="shared" si="210"/>
        <v>5.1698068156624677</v>
      </c>
      <c r="AA534" s="2">
        <f t="shared" si="211"/>
        <v>443.64583368922376</v>
      </c>
      <c r="AB534" s="19">
        <f t="shared" si="214"/>
        <v>88.659937178652314</v>
      </c>
      <c r="AC534" s="2"/>
      <c r="AD534" s="18"/>
      <c r="AE534" s="118"/>
      <c r="AG534" s="2"/>
      <c r="AH534" s="19"/>
      <c r="AI534" s="20"/>
      <c r="AJ534" s="21"/>
      <c r="AK534" s="21"/>
      <c r="AM534" s="19"/>
      <c r="AN534" s="18"/>
      <c r="AO534" s="2"/>
      <c r="AP534" s="18"/>
      <c r="AQ534" s="118"/>
      <c r="AS534" s="2"/>
      <c r="AT534" s="19"/>
      <c r="AU534" s="20"/>
      <c r="AV534" s="21"/>
      <c r="AW534" s="21"/>
    </row>
    <row r="535" spans="1:49" x14ac:dyDescent="0.25">
      <c r="A535" s="1">
        <f t="shared" si="197"/>
        <v>509</v>
      </c>
      <c r="B535" s="19">
        <f t="shared" si="198"/>
        <v>350.01348881141053</v>
      </c>
      <c r="C535" s="18">
        <f t="shared" si="212"/>
        <v>7.8213658188568669</v>
      </c>
      <c r="D535" s="2">
        <f t="shared" si="191"/>
        <v>0.95302348989359376</v>
      </c>
      <c r="E535" s="18">
        <f t="shared" si="199"/>
        <v>7.8372495436884266</v>
      </c>
      <c r="F535" s="21">
        <f t="shared" si="192"/>
        <v>4.5252330262369966</v>
      </c>
      <c r="G535" s="1">
        <f t="shared" si="193"/>
        <v>0</v>
      </c>
      <c r="H535" s="2">
        <f t="shared" si="189"/>
        <v>813.05639218059525</v>
      </c>
      <c r="I535" s="19">
        <f t="shared" si="215"/>
        <v>351.97246414744382</v>
      </c>
      <c r="J535" s="20">
        <f t="shared" si="194"/>
        <v>0.91412490569087057</v>
      </c>
      <c r="K535" s="21">
        <f t="shared" si="195"/>
        <v>332.04881781419749</v>
      </c>
      <c r="L535" s="21">
        <f t="shared" si="190"/>
        <v>3.6003539008633405</v>
      </c>
      <c r="M535" s="2">
        <f t="shared" si="200"/>
        <v>261.32159041447954</v>
      </c>
      <c r="N535" s="19">
        <f t="shared" si="213"/>
        <v>335.59172947012411</v>
      </c>
      <c r="O535" s="1">
        <f t="shared" si="201"/>
        <v>509</v>
      </c>
      <c r="P535" s="19">
        <f t="shared" si="202"/>
        <v>580.28223038495776</v>
      </c>
      <c r="Q535" s="18">
        <f t="shared" si="203"/>
        <v>9.3913545448449192</v>
      </c>
      <c r="R535" s="2">
        <f t="shared" si="204"/>
        <v>0.96270825312316555</v>
      </c>
      <c r="S535" s="18">
        <f t="shared" si="205"/>
        <v>9.4073996823969726</v>
      </c>
      <c r="T535" s="18">
        <f t="shared" si="206"/>
        <v>6.4845455805142027</v>
      </c>
      <c r="U535" s="1">
        <f t="shared" si="196"/>
        <v>0</v>
      </c>
      <c r="V535" s="2">
        <f t="shared" si="207"/>
        <v>1346.9364977697667</v>
      </c>
      <c r="W535" s="19">
        <f t="shared" si="208"/>
        <v>583.08939297392499</v>
      </c>
      <c r="X535" s="20"/>
      <c r="Y535" s="2">
        <f t="shared" si="209"/>
        <v>563.21890353430865</v>
      </c>
      <c r="Z535" s="21">
        <f t="shared" si="210"/>
        <v>5.1874871452413345</v>
      </c>
      <c r="AA535" s="2">
        <f t="shared" si="211"/>
        <v>445.89149912006417</v>
      </c>
      <c r="AB535" s="19">
        <f t="shared" si="214"/>
        <v>88.73878779304998</v>
      </c>
      <c r="AC535" s="2"/>
      <c r="AD535" s="18"/>
      <c r="AE535" s="118"/>
      <c r="AG535" s="2"/>
      <c r="AH535" s="19"/>
      <c r="AI535" s="20"/>
      <c r="AJ535" s="21"/>
      <c r="AK535" s="21"/>
      <c r="AM535" s="19"/>
      <c r="AN535" s="18"/>
      <c r="AO535" s="2"/>
      <c r="AP535" s="18"/>
      <c r="AQ535" s="118"/>
      <c r="AS535" s="2"/>
      <c r="AT535" s="19"/>
      <c r="AU535" s="20"/>
      <c r="AV535" s="21"/>
      <c r="AW535" s="21"/>
    </row>
    <row r="536" spans="1:49" x14ac:dyDescent="0.25">
      <c r="A536" s="1">
        <f t="shared" si="197"/>
        <v>510</v>
      </c>
      <c r="B536" s="19">
        <f t="shared" si="198"/>
        <v>351.97246414744382</v>
      </c>
      <c r="C536" s="18">
        <f t="shared" si="212"/>
        <v>7.8372495436884266</v>
      </c>
      <c r="D536" s="2">
        <f t="shared" si="191"/>
        <v>0.95312987712559771</v>
      </c>
      <c r="E536" s="18">
        <f t="shared" si="199"/>
        <v>7.8531350416405203</v>
      </c>
      <c r="F536" s="21">
        <f t="shared" si="192"/>
        <v>4.5433179599674807</v>
      </c>
      <c r="G536" s="1">
        <f t="shared" si="193"/>
        <v>0</v>
      </c>
      <c r="H536" s="2">
        <f t="shared" si="189"/>
        <v>817.59971014056271</v>
      </c>
      <c r="I536" s="19">
        <f t="shared" si="215"/>
        <v>353.93926845911807</v>
      </c>
      <c r="J536" s="20">
        <f t="shared" si="194"/>
        <v>0.91406456936470293</v>
      </c>
      <c r="K536" s="21">
        <f t="shared" si="195"/>
        <v>334.01607449086339</v>
      </c>
      <c r="L536" s="21">
        <f t="shared" si="190"/>
        <v>3.6149639697430094</v>
      </c>
      <c r="M536" s="2">
        <f t="shared" si="200"/>
        <v>262.88650988190074</v>
      </c>
      <c r="N536" s="19">
        <f t="shared" si="213"/>
        <v>335.68621594420654</v>
      </c>
      <c r="O536" s="1">
        <f t="shared" si="201"/>
        <v>510</v>
      </c>
      <c r="P536" s="19">
        <f t="shared" si="202"/>
        <v>583.08939297392499</v>
      </c>
      <c r="Q536" s="18">
        <f t="shared" si="203"/>
        <v>9.4073996823969726</v>
      </c>
      <c r="R536" s="2">
        <f t="shared" si="204"/>
        <v>0.96280117662952536</v>
      </c>
      <c r="S536" s="18">
        <f t="shared" si="205"/>
        <v>9.4234463686741314</v>
      </c>
      <c r="T536" s="18">
        <f t="shared" si="206"/>
        <v>6.5063582540749199</v>
      </c>
      <c r="U536" s="1">
        <f t="shared" si="196"/>
        <v>0</v>
      </c>
      <c r="V536" s="2">
        <f t="shared" si="207"/>
        <v>1353.4428560238416</v>
      </c>
      <c r="W536" s="19">
        <f t="shared" si="208"/>
        <v>585.90599827871927</v>
      </c>
      <c r="X536" s="20"/>
      <c r="Y536" s="2">
        <f t="shared" si="209"/>
        <v>566.03615665832308</v>
      </c>
      <c r="Z536" s="21">
        <f t="shared" si="210"/>
        <v>5.2051993668254068</v>
      </c>
      <c r="AA536" s="2">
        <f t="shared" si="211"/>
        <v>448.14483217929592</v>
      </c>
      <c r="AB536" s="19">
        <f t="shared" si="214"/>
        <v>88.817503920873591</v>
      </c>
      <c r="AC536" s="2"/>
      <c r="AD536" s="18"/>
      <c r="AE536" s="118"/>
      <c r="AG536" s="2"/>
      <c r="AH536" s="19"/>
      <c r="AI536" s="20"/>
      <c r="AJ536" s="21"/>
      <c r="AK536" s="21"/>
      <c r="AM536" s="19"/>
      <c r="AN536" s="18"/>
      <c r="AO536" s="2"/>
      <c r="AP536" s="18"/>
      <c r="AQ536" s="118"/>
      <c r="AS536" s="2"/>
      <c r="AT536" s="19"/>
      <c r="AU536" s="20"/>
      <c r="AV536" s="21"/>
      <c r="AW536" s="21"/>
    </row>
    <row r="537" spans="1:49" x14ac:dyDescent="0.25">
      <c r="A537" s="1">
        <f t="shared" si="197"/>
        <v>511</v>
      </c>
      <c r="B537" s="19">
        <f t="shared" si="198"/>
        <v>353.93926845911807</v>
      </c>
      <c r="C537" s="18">
        <f t="shared" si="212"/>
        <v>7.8531350416405203</v>
      </c>
      <c r="D537" s="2">
        <f t="shared" si="191"/>
        <v>0.95323610736269504</v>
      </c>
      <c r="E537" s="18">
        <f t="shared" si="199"/>
        <v>7.8690223100965655</v>
      </c>
      <c r="F537" s="21">
        <f t="shared" si="192"/>
        <v>4.5614404926861374</v>
      </c>
      <c r="G537" s="1">
        <f t="shared" si="193"/>
        <v>0</v>
      </c>
      <c r="H537" s="2">
        <f t="shared" si="189"/>
        <v>822.16115063324889</v>
      </c>
      <c r="I537" s="19">
        <f t="shared" si="215"/>
        <v>355.91391802305145</v>
      </c>
      <c r="J537" s="20">
        <f t="shared" si="194"/>
        <v>0.91400427099713477</v>
      </c>
      <c r="K537" s="21">
        <f t="shared" si="195"/>
        <v>335.99117822419646</v>
      </c>
      <c r="L537" s="21">
        <f t="shared" si="190"/>
        <v>3.6296052554173803</v>
      </c>
      <c r="M537" s="2">
        <f t="shared" si="200"/>
        <v>264.45776756822863</v>
      </c>
      <c r="N537" s="19">
        <f t="shared" si="213"/>
        <v>335.78051128892696</v>
      </c>
      <c r="O537" s="1">
        <f t="shared" si="201"/>
        <v>511</v>
      </c>
      <c r="P537" s="19">
        <f t="shared" si="202"/>
        <v>585.90599827871927</v>
      </c>
      <c r="Q537" s="18">
        <f t="shared" si="203"/>
        <v>9.4234463686741314</v>
      </c>
      <c r="R537" s="2">
        <f t="shared" si="204"/>
        <v>0.96289397312310465</v>
      </c>
      <c r="S537" s="18">
        <f t="shared" si="205"/>
        <v>9.4394946015595167</v>
      </c>
      <c r="T537" s="18">
        <f t="shared" si="206"/>
        <v>6.528209175467885</v>
      </c>
      <c r="U537" s="1">
        <f t="shared" si="196"/>
        <v>0</v>
      </c>
      <c r="V537" s="2">
        <f t="shared" si="207"/>
        <v>1359.9710651993096</v>
      </c>
      <c r="W537" s="19">
        <f t="shared" si="208"/>
        <v>588.73206285684398</v>
      </c>
      <c r="X537" s="20"/>
      <c r="Y537" s="2">
        <f t="shared" si="209"/>
        <v>568.86287123130069</v>
      </c>
      <c r="Z537" s="21">
        <f t="shared" si="210"/>
        <v>5.2229434868124613</v>
      </c>
      <c r="AA537" s="2">
        <f t="shared" si="211"/>
        <v>450.40584667575155</v>
      </c>
      <c r="AB537" s="19">
        <f t="shared" si="214"/>
        <v>88.896086007184294</v>
      </c>
      <c r="AC537" s="2"/>
      <c r="AD537" s="18"/>
      <c r="AE537" s="118"/>
      <c r="AG537" s="2"/>
      <c r="AH537" s="19"/>
      <c r="AI537" s="20"/>
      <c r="AJ537" s="21"/>
      <c r="AK537" s="21"/>
      <c r="AM537" s="19"/>
      <c r="AN537" s="18"/>
      <c r="AO537" s="2"/>
      <c r="AP537" s="18"/>
      <c r="AQ537" s="118"/>
      <c r="AS537" s="2"/>
      <c r="AT537" s="19"/>
      <c r="AU537" s="20"/>
      <c r="AV537" s="21"/>
      <c r="AW537" s="21"/>
    </row>
    <row r="538" spans="1:49" x14ac:dyDescent="0.25">
      <c r="A538" s="1">
        <f t="shared" si="197"/>
        <v>512</v>
      </c>
      <c r="B538" s="19">
        <f t="shared" si="198"/>
        <v>355.91391802305145</v>
      </c>
      <c r="C538" s="18">
        <f t="shared" si="212"/>
        <v>7.8690223100965655</v>
      </c>
      <c r="D538" s="2">
        <f t="shared" si="191"/>
        <v>0.95334218094986845</v>
      </c>
      <c r="E538" s="18">
        <f t="shared" si="199"/>
        <v>7.8849113464457297</v>
      </c>
      <c r="F538" s="21">
        <f t="shared" si="192"/>
        <v>4.5796006315098365</v>
      </c>
      <c r="G538" s="1">
        <f t="shared" si="193"/>
        <v>0</v>
      </c>
      <c r="H538" s="2">
        <f t="shared" ref="H538:H601" si="216">(B538*2.31)+F538-G538</f>
        <v>826.74075126475873</v>
      </c>
      <c r="I538" s="19">
        <f t="shared" si="215"/>
        <v>357.89642911894316</v>
      </c>
      <c r="J538" s="20">
        <f t="shared" si="194"/>
        <v>0.91394401070195996</v>
      </c>
      <c r="K538" s="21">
        <f t="shared" si="195"/>
        <v>337.97414529764023</v>
      </c>
      <c r="L538" s="21">
        <f t="shared" ref="L538:L601" si="217">($C$11*((0.4085*E538/$C$5^2))^2)/64.4</f>
        <v>3.6442777653657927</v>
      </c>
      <c r="M538" s="2">
        <f t="shared" si="200"/>
        <v>266.0353769904649</v>
      </c>
      <c r="N538" s="19">
        <f t="shared" si="213"/>
        <v>335.87461625479256</v>
      </c>
      <c r="O538" s="1">
        <f t="shared" si="201"/>
        <v>512</v>
      </c>
      <c r="P538" s="19">
        <f t="shared" si="202"/>
        <v>588.73206285684398</v>
      </c>
      <c r="Q538" s="18">
        <f t="shared" si="203"/>
        <v>9.4394946015595167</v>
      </c>
      <c r="R538" s="2">
        <f t="shared" si="204"/>
        <v>0.96298664291932501</v>
      </c>
      <c r="S538" s="18">
        <f t="shared" si="205"/>
        <v>9.4555443789415055</v>
      </c>
      <c r="T538" s="18">
        <f t="shared" si="206"/>
        <v>6.550098350762064</v>
      </c>
      <c r="U538" s="1">
        <f t="shared" si="196"/>
        <v>0</v>
      </c>
      <c r="V538" s="2">
        <f t="shared" si="207"/>
        <v>1366.5211635500716</v>
      </c>
      <c r="W538" s="19">
        <f t="shared" si="208"/>
        <v>591.56760326842925</v>
      </c>
      <c r="X538" s="20"/>
      <c r="Y538" s="2">
        <f t="shared" si="209"/>
        <v>571.69906381718067</v>
      </c>
      <c r="Z538" s="21">
        <f t="shared" si="210"/>
        <v>5.2407195115910188</v>
      </c>
      <c r="AA538" s="2">
        <f t="shared" si="211"/>
        <v>452.67455642102902</v>
      </c>
      <c r="AB538" s="19">
        <f t="shared" si="214"/>
        <v>88.974534494857039</v>
      </c>
      <c r="AC538" s="2"/>
      <c r="AD538" s="18"/>
      <c r="AE538" s="118"/>
      <c r="AG538" s="2"/>
      <c r="AH538" s="19"/>
      <c r="AI538" s="20"/>
      <c r="AJ538" s="21"/>
      <c r="AK538" s="21"/>
      <c r="AM538" s="19"/>
      <c r="AN538" s="18"/>
      <c r="AO538" s="2"/>
      <c r="AP538" s="18"/>
      <c r="AQ538" s="118"/>
      <c r="AS538" s="2"/>
      <c r="AT538" s="19"/>
      <c r="AU538" s="20"/>
      <c r="AV538" s="21"/>
      <c r="AW538" s="21"/>
    </row>
    <row r="539" spans="1:49" x14ac:dyDescent="0.25">
      <c r="A539" s="1">
        <f t="shared" si="197"/>
        <v>513</v>
      </c>
      <c r="B539" s="19">
        <f t="shared" si="198"/>
        <v>357.89642911894316</v>
      </c>
      <c r="C539" s="18">
        <f t="shared" si="212"/>
        <v>7.8849113464457297</v>
      </c>
      <c r="D539" s="2">
        <f t="shared" ref="D539:D602" si="218">$C$17*I538^$C$18</f>
        <v>0.95344809823216159</v>
      </c>
      <c r="E539" s="18">
        <f t="shared" si="199"/>
        <v>7.9008021480829322</v>
      </c>
      <c r="F539" s="21">
        <f t="shared" ref="F539:F602" si="219">(($C$7*($C$16/12)*(E539)^1.852)/($C$5^4.871)+L539)-G539</f>
        <v>4.597798383542929</v>
      </c>
      <c r="G539" s="1">
        <f t="shared" ref="G539:G602" si="220">$C$9*($C$16/12)/100</f>
        <v>0</v>
      </c>
      <c r="H539" s="2">
        <f t="shared" si="216"/>
        <v>831.33854964830164</v>
      </c>
      <c r="I539" s="19">
        <f t="shared" si="215"/>
        <v>359.88681802956779</v>
      </c>
      <c r="J539" s="20">
        <f t="shared" ref="J539:J602" si="221">(1-1.27*0.05)*($D$26/((E539*60)/((A539/($C$16/12)+1))))</f>
        <v>0.91388378859126063</v>
      </c>
      <c r="K539" s="21">
        <f t="shared" ref="K539:K602" si="222">K538+(F539*0.433)</f>
        <v>339.96499199771432</v>
      </c>
      <c r="L539" s="21">
        <f t="shared" si="217"/>
        <v>3.6589815070545622</v>
      </c>
      <c r="M539" s="2">
        <f t="shared" si="200"/>
        <v>267.61935166884348</v>
      </c>
      <c r="N539" s="19">
        <f t="shared" si="213"/>
        <v>335.9685315879334</v>
      </c>
      <c r="O539" s="1">
        <f t="shared" si="201"/>
        <v>513</v>
      </c>
      <c r="P539" s="19">
        <f t="shared" si="202"/>
        <v>591.56760326842925</v>
      </c>
      <c r="Q539" s="18">
        <f t="shared" si="203"/>
        <v>9.4555443789415055</v>
      </c>
      <c r="R539" s="2">
        <f t="shared" si="204"/>
        <v>0.96307918633272505</v>
      </c>
      <c r="S539" s="18">
        <f t="shared" si="205"/>
        <v>9.4715956987137169</v>
      </c>
      <c r="T539" s="18">
        <f t="shared" si="206"/>
        <v>6.572025786017619</v>
      </c>
      <c r="U539" s="1">
        <f t="shared" ref="U539:U602" si="223">$C$9*($C$16/12)/100</f>
        <v>0</v>
      </c>
      <c r="V539" s="2">
        <f t="shared" si="207"/>
        <v>1373.0931893360892</v>
      </c>
      <c r="W539" s="19">
        <f t="shared" si="208"/>
        <v>594.41263607622909</v>
      </c>
      <c r="X539" s="20"/>
      <c r="Y539" s="2">
        <f t="shared" si="209"/>
        <v>574.54475098252635</v>
      </c>
      <c r="Z539" s="21">
        <f t="shared" si="210"/>
        <v>5.2585274475403612</v>
      </c>
      <c r="AA539" s="2">
        <f t="shared" si="211"/>
        <v>454.95097522948805</v>
      </c>
      <c r="AB539" s="19">
        <f t="shared" si="214"/>
        <v>89.052849824594858</v>
      </c>
      <c r="AC539" s="2"/>
      <c r="AD539" s="18"/>
      <c r="AE539" s="118"/>
      <c r="AG539" s="2"/>
      <c r="AH539" s="19"/>
      <c r="AI539" s="20"/>
      <c r="AJ539" s="21"/>
      <c r="AK539" s="21"/>
      <c r="AM539" s="19"/>
      <c r="AN539" s="18"/>
      <c r="AO539" s="2"/>
      <c r="AP539" s="18"/>
      <c r="AQ539" s="118"/>
      <c r="AS539" s="2"/>
      <c r="AT539" s="19"/>
      <c r="AU539" s="20"/>
      <c r="AV539" s="21"/>
      <c r="AW539" s="21"/>
    </row>
    <row r="540" spans="1:49" x14ac:dyDescent="0.25">
      <c r="A540" s="1">
        <f t="shared" ref="A540:A603" si="224">A539+$C$16/12</f>
        <v>514</v>
      </c>
      <c r="B540" s="19">
        <f t="shared" ref="B540:B603" si="225">I539</f>
        <v>359.88681802956779</v>
      </c>
      <c r="C540" s="18">
        <f t="shared" si="212"/>
        <v>7.9008021480829322</v>
      </c>
      <c r="D540" s="2">
        <f t="shared" si="218"/>
        <v>0.95355385955465832</v>
      </c>
      <c r="E540" s="18">
        <f t="shared" ref="E540:E603" si="226">C540+D540/60</f>
        <v>7.9166947124088436</v>
      </c>
      <c r="F540" s="21">
        <f t="shared" si="219"/>
        <v>4.6160337558772895</v>
      </c>
      <c r="G540" s="1">
        <f t="shared" si="220"/>
        <v>0</v>
      </c>
      <c r="H540" s="2">
        <f t="shared" si="216"/>
        <v>835.95458340417895</v>
      </c>
      <c r="I540" s="19">
        <f t="shared" si="215"/>
        <v>361.88510104077011</v>
      </c>
      <c r="J540" s="20">
        <f t="shared" si="221"/>
        <v>0.91382360477542568</v>
      </c>
      <c r="K540" s="21">
        <f t="shared" si="222"/>
        <v>341.96373461400918</v>
      </c>
      <c r="L540" s="21">
        <f t="shared" si="217"/>
        <v>3.6737164879370261</v>
      </c>
      <c r="M540" s="2">
        <f t="shared" ref="M540:M603" si="227">(L540/2.31)+M539</f>
        <v>269.20970512682487</v>
      </c>
      <c r="N540" s="19">
        <f t="shared" si="213"/>
        <v>336.06225803013609</v>
      </c>
      <c r="O540" s="1">
        <f t="shared" ref="O540:O603" si="228">O539+$C$16/12</f>
        <v>514</v>
      </c>
      <c r="P540" s="19">
        <f t="shared" ref="P540:P603" si="229">W539</f>
        <v>594.41263607622909</v>
      </c>
      <c r="Q540" s="18">
        <f t="shared" ref="Q540:Q603" si="230">S539</f>
        <v>9.4715956987137169</v>
      </c>
      <c r="R540" s="2">
        <f t="shared" ref="R540:R603" si="231">$C$17*W539^$C$18</f>
        <v>0.96317160367696009</v>
      </c>
      <c r="S540" s="18">
        <f t="shared" ref="S540:S603" si="232">Q540+R540/60</f>
        <v>9.4876485587749997</v>
      </c>
      <c r="T540" s="18">
        <f t="shared" ref="T540:T603" si="233">(($C$7*($C$16/12)*(S540)^1.852)/($C$5^4.871)+Z540)-U540</f>
        <v>6.59399148728596</v>
      </c>
      <c r="U540" s="1">
        <f t="shared" si="223"/>
        <v>0</v>
      </c>
      <c r="V540" s="2">
        <f t="shared" ref="V540:V603" si="234">(P540*2.31)+T540-U540</f>
        <v>1379.687180823375</v>
      </c>
      <c r="W540" s="19">
        <f t="shared" ref="W540:W603" si="235">V540/2.31</f>
        <v>597.26717784561686</v>
      </c>
      <c r="X540" s="20"/>
      <c r="Y540" s="2">
        <f t="shared" ref="Y540:Y603" si="236">Y539+(T540*0.433)</f>
        <v>577.39994929652119</v>
      </c>
      <c r="Z540" s="21">
        <f t="shared" ref="Z540:Z603" si="237">($C$11*((0.4085*S540/$C$5^2))^2)/64.4</f>
        <v>5.2763673010305743</v>
      </c>
      <c r="AA540" s="2">
        <f t="shared" ref="AA540:AA603" si="238">(Z540/2.31)+AA539</f>
        <v>457.23511691824586</v>
      </c>
      <c r="AB540" s="19">
        <f t="shared" si="214"/>
        <v>89.131032434942966</v>
      </c>
      <c r="AC540" s="2"/>
      <c r="AD540" s="18"/>
      <c r="AE540" s="118"/>
      <c r="AG540" s="2"/>
      <c r="AH540" s="19"/>
      <c r="AI540" s="20"/>
      <c r="AJ540" s="21"/>
      <c r="AK540" s="21"/>
      <c r="AM540" s="19"/>
      <c r="AN540" s="18"/>
      <c r="AO540" s="2"/>
      <c r="AP540" s="18"/>
      <c r="AQ540" s="118"/>
      <c r="AS540" s="2"/>
      <c r="AT540" s="19"/>
      <c r="AU540" s="20"/>
      <c r="AV540" s="21"/>
      <c r="AW540" s="21"/>
    </row>
    <row r="541" spans="1:49" x14ac:dyDescent="0.25">
      <c r="A541" s="1">
        <f t="shared" si="224"/>
        <v>515</v>
      </c>
      <c r="B541" s="19">
        <f t="shared" si="225"/>
        <v>361.88510104077011</v>
      </c>
      <c r="C541" s="18">
        <f t="shared" ref="C541:C604" si="239">E540</f>
        <v>7.9166947124088436</v>
      </c>
      <c r="D541" s="2">
        <f t="shared" si="218"/>
        <v>0.95365946526246448</v>
      </c>
      <c r="E541" s="18">
        <f t="shared" si="226"/>
        <v>7.932589036829885</v>
      </c>
      <c r="F541" s="21">
        <f t="shared" si="219"/>
        <v>4.6343067555923652</v>
      </c>
      <c r="G541" s="1">
        <f t="shared" si="220"/>
        <v>0</v>
      </c>
      <c r="H541" s="2">
        <f t="shared" si="216"/>
        <v>840.58889015977127</v>
      </c>
      <c r="I541" s="19">
        <f t="shared" si="215"/>
        <v>363.89129444145942</v>
      </c>
      <c r="J541" s="20">
        <f t="shared" si="221"/>
        <v>0.91376345936316605</v>
      </c>
      <c r="K541" s="21">
        <f t="shared" si="222"/>
        <v>343.97038943918068</v>
      </c>
      <c r="L541" s="21">
        <f t="shared" si="217"/>
        <v>3.6884827154535911</v>
      </c>
      <c r="M541" s="2">
        <f t="shared" si="227"/>
        <v>270.80645089109049</v>
      </c>
      <c r="N541" s="19">
        <f t="shared" ref="N541:N604" si="240">($C$16/12)/(0.4085*E540/$C$5^2)+N540</f>
        <v>336.15579631887755</v>
      </c>
      <c r="O541" s="1">
        <f t="shared" si="228"/>
        <v>515</v>
      </c>
      <c r="P541" s="19">
        <f t="shared" si="229"/>
        <v>597.26717784561686</v>
      </c>
      <c r="Q541" s="18">
        <f t="shared" si="230"/>
        <v>9.4876485587749997</v>
      </c>
      <c r="R541" s="2">
        <f t="shared" si="231"/>
        <v>0.96326389526480294</v>
      </c>
      <c r="S541" s="18">
        <f t="shared" si="232"/>
        <v>9.5037029570294127</v>
      </c>
      <c r="T541" s="18">
        <f t="shared" si="233"/>
        <v>6.6159954606097475</v>
      </c>
      <c r="U541" s="1">
        <f t="shared" si="223"/>
        <v>0</v>
      </c>
      <c r="V541" s="2">
        <f t="shared" si="234"/>
        <v>1386.3031762839848</v>
      </c>
      <c r="W541" s="19">
        <f t="shared" si="235"/>
        <v>600.13124514458218</v>
      </c>
      <c r="X541" s="20"/>
      <c r="Y541" s="2">
        <f t="shared" si="236"/>
        <v>580.26467533096525</v>
      </c>
      <c r="Z541" s="21">
        <f t="shared" si="237"/>
        <v>5.2942390784225672</v>
      </c>
      <c r="AA541" s="2">
        <f t="shared" si="238"/>
        <v>459.52699530717337</v>
      </c>
      <c r="AB541" s="19">
        <f t="shared" ref="AB541:AB604" si="241">($C$16/12)/(0.4085*S540/$C$5^2)+AB540</f>
        <v>89.209082762302799</v>
      </c>
      <c r="AC541" s="2"/>
      <c r="AD541" s="18"/>
      <c r="AE541" s="118"/>
      <c r="AG541" s="2"/>
      <c r="AH541" s="19"/>
      <c r="AI541" s="20"/>
      <c r="AJ541" s="21"/>
      <c r="AK541" s="21"/>
      <c r="AM541" s="19"/>
      <c r="AN541" s="18"/>
      <c r="AO541" s="2"/>
      <c r="AP541" s="18"/>
      <c r="AQ541" s="118"/>
      <c r="AS541" s="2"/>
      <c r="AT541" s="19"/>
      <c r="AU541" s="20"/>
      <c r="AV541" s="21"/>
      <c r="AW541" s="21"/>
    </row>
    <row r="542" spans="1:49" x14ac:dyDescent="0.25">
      <c r="A542" s="1">
        <f t="shared" si="224"/>
        <v>516</v>
      </c>
      <c r="B542" s="19">
        <f t="shared" si="225"/>
        <v>363.89129444145942</v>
      </c>
      <c r="C542" s="18">
        <f t="shared" si="239"/>
        <v>7.932589036829885</v>
      </c>
      <c r="D542" s="2">
        <f t="shared" si="218"/>
        <v>0.953764915700689</v>
      </c>
      <c r="E542" s="18">
        <f t="shared" si="226"/>
        <v>7.9484851187582297</v>
      </c>
      <c r="F542" s="21">
        <f t="shared" si="219"/>
        <v>4.6526173897552301</v>
      </c>
      <c r="G542" s="1">
        <f t="shared" si="220"/>
        <v>0</v>
      </c>
      <c r="H542" s="2">
        <f t="shared" si="216"/>
        <v>845.24150754952655</v>
      </c>
      <c r="I542" s="19">
        <f t="shared" si="215"/>
        <v>365.90541452360458</v>
      </c>
      <c r="J542" s="20">
        <f t="shared" si="221"/>
        <v>0.913703352461533</v>
      </c>
      <c r="K542" s="21">
        <f t="shared" si="222"/>
        <v>345.98497276894471</v>
      </c>
      <c r="L542" s="21">
        <f t="shared" si="217"/>
        <v>3.7032801970317877</v>
      </c>
      <c r="M542" s="2">
        <f t="shared" si="227"/>
        <v>272.40960249153716</v>
      </c>
      <c r="N542" s="19">
        <f t="shared" si="240"/>
        <v>336.24914718735812</v>
      </c>
      <c r="O542" s="1">
        <f t="shared" si="228"/>
        <v>516</v>
      </c>
      <c r="P542" s="19">
        <f t="shared" si="229"/>
        <v>600.13124514458218</v>
      </c>
      <c r="Q542" s="18">
        <f t="shared" si="230"/>
        <v>9.5037029570294127</v>
      </c>
      <c r="R542" s="2">
        <f t="shared" si="231"/>
        <v>0.96335606140814345</v>
      </c>
      <c r="S542" s="18">
        <f t="shared" si="232"/>
        <v>9.5197588913862159</v>
      </c>
      <c r="T542" s="18">
        <f t="shared" si="233"/>
        <v>6.6380377120229355</v>
      </c>
      <c r="U542" s="1">
        <f t="shared" si="223"/>
        <v>0</v>
      </c>
      <c r="V542" s="2">
        <f t="shared" si="234"/>
        <v>1392.9412139960077</v>
      </c>
      <c r="W542" s="19">
        <f t="shared" si="235"/>
        <v>603.00485454372631</v>
      </c>
      <c r="X542" s="20"/>
      <c r="Y542" s="2">
        <f t="shared" si="236"/>
        <v>583.13894566027113</v>
      </c>
      <c r="Z542" s="21">
        <f t="shared" si="237"/>
        <v>5.3121427860681019</v>
      </c>
      <c r="AA542" s="2">
        <f t="shared" si="238"/>
        <v>461.82662421889114</v>
      </c>
      <c r="AB542" s="19">
        <f t="shared" si="241"/>
        <v>89.28700124094587</v>
      </c>
      <c r="AC542" s="2"/>
      <c r="AD542" s="18"/>
      <c r="AE542" s="118"/>
      <c r="AG542" s="2"/>
      <c r="AH542" s="19"/>
      <c r="AI542" s="20"/>
      <c r="AJ542" s="21"/>
      <c r="AK542" s="21"/>
      <c r="AM542" s="19"/>
      <c r="AN542" s="18"/>
      <c r="AO542" s="2"/>
      <c r="AP542" s="18"/>
      <c r="AQ542" s="118"/>
      <c r="AS542" s="2"/>
      <c r="AT542" s="19"/>
      <c r="AU542" s="20"/>
      <c r="AV542" s="21"/>
      <c r="AW542" s="21"/>
    </row>
    <row r="543" spans="1:49" x14ac:dyDescent="0.25">
      <c r="A543" s="1">
        <f t="shared" si="224"/>
        <v>517</v>
      </c>
      <c r="B543" s="19">
        <f t="shared" si="225"/>
        <v>365.90541452360458</v>
      </c>
      <c r="C543" s="18">
        <f t="shared" si="239"/>
        <v>7.9484851187582297</v>
      </c>
      <c r="D543" s="2">
        <f t="shared" si="218"/>
        <v>0.9538702112144245</v>
      </c>
      <c r="E543" s="18">
        <f t="shared" si="226"/>
        <v>7.9643829556118035</v>
      </c>
      <c r="F543" s="21">
        <f t="shared" si="219"/>
        <v>4.6709656654206162</v>
      </c>
      <c r="G543" s="1">
        <f t="shared" si="220"/>
        <v>0</v>
      </c>
      <c r="H543" s="2">
        <f t="shared" si="216"/>
        <v>849.91247321494711</v>
      </c>
      <c r="I543" s="19">
        <f t="shared" si="215"/>
        <v>367.92747758222816</v>
      </c>
      <c r="J543" s="20">
        <f t="shared" si="221"/>
        <v>0.91364328417593399</v>
      </c>
      <c r="K543" s="21">
        <f t="shared" si="222"/>
        <v>348.00750090207185</v>
      </c>
      <c r="L543" s="21">
        <f t="shared" si="217"/>
        <v>3.718108940086307</v>
      </c>
      <c r="M543" s="2">
        <f t="shared" si="227"/>
        <v>274.01917346127146</v>
      </c>
      <c r="N543" s="19">
        <f t="shared" si="240"/>
        <v>336.34231136453445</v>
      </c>
      <c r="O543" s="1">
        <f t="shared" si="228"/>
        <v>517</v>
      </c>
      <c r="P543" s="19">
        <f t="shared" si="229"/>
        <v>603.00485454372631</v>
      </c>
      <c r="Q543" s="18">
        <f t="shared" si="230"/>
        <v>9.5197588913862159</v>
      </c>
      <c r="R543" s="2">
        <f t="shared" si="231"/>
        <v>0.96344810241798962</v>
      </c>
      <c r="S543" s="18">
        <f t="shared" si="232"/>
        <v>9.5358163597598491</v>
      </c>
      <c r="T543" s="18">
        <f t="shared" si="233"/>
        <v>6.6601182475507965</v>
      </c>
      <c r="U543" s="1">
        <f t="shared" si="223"/>
        <v>0</v>
      </c>
      <c r="V543" s="2">
        <f t="shared" si="234"/>
        <v>1399.6013322435585</v>
      </c>
      <c r="W543" s="19">
        <f t="shared" si="235"/>
        <v>605.88802261625915</v>
      </c>
      <c r="X543" s="20"/>
      <c r="Y543" s="2">
        <f t="shared" si="236"/>
        <v>586.02277686146067</v>
      </c>
      <c r="Z543" s="21">
        <f t="shared" si="237"/>
        <v>5.3300784303098254</v>
      </c>
      <c r="AA543" s="2">
        <f t="shared" si="238"/>
        <v>464.13401747876554</v>
      </c>
      <c r="AB543" s="19">
        <f t="shared" si="241"/>
        <v>89.364788303027609</v>
      </c>
      <c r="AC543" s="2"/>
      <c r="AD543" s="18"/>
      <c r="AE543" s="118"/>
      <c r="AG543" s="2"/>
      <c r="AH543" s="19"/>
      <c r="AI543" s="20"/>
      <c r="AJ543" s="21"/>
      <c r="AK543" s="21"/>
      <c r="AM543" s="19"/>
      <c r="AN543" s="18"/>
      <c r="AO543" s="2"/>
      <c r="AP543" s="18"/>
      <c r="AQ543" s="118"/>
      <c r="AS543" s="2"/>
      <c r="AT543" s="19"/>
      <c r="AU543" s="20"/>
      <c r="AV543" s="21"/>
      <c r="AW543" s="21"/>
    </row>
    <row r="544" spans="1:49" x14ac:dyDescent="0.25">
      <c r="A544" s="1">
        <f t="shared" si="224"/>
        <v>518</v>
      </c>
      <c r="B544" s="19">
        <f t="shared" si="225"/>
        <v>367.92747758222816</v>
      </c>
      <c r="C544" s="18">
        <f t="shared" si="239"/>
        <v>7.9643829556118035</v>
      </c>
      <c r="D544" s="2">
        <f t="shared" si="218"/>
        <v>0.95397535214873008</v>
      </c>
      <c r="E544" s="18">
        <f t="shared" si="226"/>
        <v>7.9802825448142825</v>
      </c>
      <c r="F544" s="21">
        <f t="shared" si="219"/>
        <v>4.6893515896309808</v>
      </c>
      <c r="G544" s="1">
        <f t="shared" si="220"/>
        <v>0</v>
      </c>
      <c r="H544" s="2">
        <f t="shared" si="216"/>
        <v>854.60182480457809</v>
      </c>
      <c r="I544" s="19">
        <f t="shared" si="215"/>
        <v>369.95749991540174</v>
      </c>
      <c r="J544" s="20">
        <f t="shared" si="221"/>
        <v>0.91358325461014989</v>
      </c>
      <c r="K544" s="21">
        <f t="shared" si="222"/>
        <v>350.03799014038208</v>
      </c>
      <c r="L544" s="21">
        <f t="shared" si="217"/>
        <v>3.7329689520190636</v>
      </c>
      <c r="M544" s="2">
        <f t="shared" si="227"/>
        <v>275.63517733660439</v>
      </c>
      <c r="N544" s="19">
        <f t="shared" si="240"/>
        <v>336.43528957515224</v>
      </c>
      <c r="O544" s="1">
        <f t="shared" si="228"/>
        <v>518</v>
      </c>
      <c r="P544" s="19">
        <f t="shared" si="229"/>
        <v>605.88802261625915</v>
      </c>
      <c r="Q544" s="18">
        <f t="shared" si="230"/>
        <v>9.5358163597598491</v>
      </c>
      <c r="R544" s="2">
        <f t="shared" si="231"/>
        <v>0.96354001860446792</v>
      </c>
      <c r="S544" s="18">
        <f t="shared" si="232"/>
        <v>9.5518753600699231</v>
      </c>
      <c r="T544" s="18">
        <f t="shared" si="233"/>
        <v>6.6822370732099454</v>
      </c>
      <c r="U544" s="1">
        <f t="shared" si="223"/>
        <v>0</v>
      </c>
      <c r="V544" s="2">
        <f t="shared" si="234"/>
        <v>1406.2835693167688</v>
      </c>
      <c r="W544" s="19">
        <f t="shared" si="235"/>
        <v>608.78076593799517</v>
      </c>
      <c r="X544" s="20"/>
      <c r="Y544" s="2">
        <f t="shared" si="236"/>
        <v>588.91618551416059</v>
      </c>
      <c r="Z544" s="21">
        <f t="shared" si="237"/>
        <v>5.3480460174812992</v>
      </c>
      <c r="AA544" s="2">
        <f t="shared" si="238"/>
        <v>466.44918891490465</v>
      </c>
      <c r="AB544" s="19">
        <f t="shared" si="241"/>
        <v>89.442444378600996</v>
      </c>
      <c r="AC544" s="2"/>
      <c r="AD544" s="18"/>
      <c r="AE544" s="118"/>
      <c r="AG544" s="2"/>
      <c r="AH544" s="19"/>
      <c r="AI544" s="20"/>
      <c r="AJ544" s="21"/>
      <c r="AK544" s="21"/>
      <c r="AM544" s="19"/>
      <c r="AN544" s="18"/>
      <c r="AO544" s="2"/>
      <c r="AP544" s="18"/>
      <c r="AQ544" s="118"/>
      <c r="AS544" s="2"/>
      <c r="AT544" s="19"/>
      <c r="AU544" s="20"/>
      <c r="AV544" s="21"/>
      <c r="AW544" s="21"/>
    </row>
    <row r="545" spans="1:49" x14ac:dyDescent="0.25">
      <c r="A545" s="1">
        <f t="shared" si="224"/>
        <v>519</v>
      </c>
      <c r="B545" s="19">
        <f t="shared" si="225"/>
        <v>369.95749991540174</v>
      </c>
      <c r="C545" s="18">
        <f t="shared" si="239"/>
        <v>7.9802825448142825</v>
      </c>
      <c r="D545" s="2">
        <f t="shared" si="218"/>
        <v>0.95408033884861376</v>
      </c>
      <c r="E545" s="18">
        <f t="shared" si="226"/>
        <v>7.9961838837950925</v>
      </c>
      <c r="F545" s="21">
        <f t="shared" si="219"/>
        <v>4.7077751694165411</v>
      </c>
      <c r="G545" s="1">
        <f t="shared" si="220"/>
        <v>0</v>
      </c>
      <c r="H545" s="2">
        <f t="shared" si="216"/>
        <v>859.30959997399464</v>
      </c>
      <c r="I545" s="19">
        <f t="shared" ref="I545:I608" si="242">H545/2.31</f>
        <v>371.99549782424009</v>
      </c>
      <c r="J545" s="20">
        <f t="shared" si="221"/>
        <v>0.91352326386635019</v>
      </c>
      <c r="K545" s="21">
        <f t="shared" si="222"/>
        <v>352.07645678873945</v>
      </c>
      <c r="L545" s="21">
        <f t="shared" si="217"/>
        <v>3.7478602402192314</v>
      </c>
      <c r="M545" s="2">
        <f t="shared" si="227"/>
        <v>277.25762765704559</v>
      </c>
      <c r="N545" s="19">
        <f t="shared" si="240"/>
        <v>336.52808253977838</v>
      </c>
      <c r="O545" s="1">
        <f t="shared" si="228"/>
        <v>519</v>
      </c>
      <c r="P545" s="19">
        <f t="shared" si="229"/>
        <v>608.78076593799517</v>
      </c>
      <c r="Q545" s="18">
        <f t="shared" si="230"/>
        <v>9.5518753600699231</v>
      </c>
      <c r="R545" s="2">
        <f t="shared" si="231"/>
        <v>0.96363181027682387</v>
      </c>
      <c r="S545" s="18">
        <f t="shared" si="232"/>
        <v>9.5679358902412037</v>
      </c>
      <c r="T545" s="18">
        <f t="shared" si="233"/>
        <v>6.7043941950083781</v>
      </c>
      <c r="U545" s="1">
        <f t="shared" si="223"/>
        <v>0</v>
      </c>
      <c r="V545" s="2">
        <f t="shared" si="234"/>
        <v>1412.9879635117773</v>
      </c>
      <c r="W545" s="19">
        <f t="shared" si="235"/>
        <v>611.68310108734943</v>
      </c>
      <c r="X545" s="20"/>
      <c r="Y545" s="2">
        <f t="shared" si="236"/>
        <v>591.81918820059923</v>
      </c>
      <c r="Z545" s="21">
        <f t="shared" si="237"/>
        <v>5.3660455539070284</v>
      </c>
      <c r="AA545" s="2">
        <f t="shared" si="238"/>
        <v>468.77215235815447</v>
      </c>
      <c r="AB545" s="19">
        <f t="shared" si="241"/>
        <v>89.51996989563014</v>
      </c>
      <c r="AC545" s="2"/>
      <c r="AD545" s="18"/>
      <c r="AE545" s="118"/>
      <c r="AG545" s="2"/>
      <c r="AH545" s="19"/>
      <c r="AI545" s="20"/>
      <c r="AJ545" s="21"/>
      <c r="AK545" s="21"/>
      <c r="AM545" s="19"/>
      <c r="AN545" s="18"/>
      <c r="AO545" s="2"/>
      <c r="AP545" s="18"/>
      <c r="AQ545" s="118"/>
      <c r="AS545" s="2"/>
      <c r="AT545" s="19"/>
      <c r="AU545" s="20"/>
      <c r="AV545" s="21"/>
      <c r="AW545" s="21"/>
    </row>
    <row r="546" spans="1:49" x14ac:dyDescent="0.25">
      <c r="A546" s="1">
        <f t="shared" si="224"/>
        <v>520</v>
      </c>
      <c r="B546" s="19">
        <f t="shared" si="225"/>
        <v>371.99549782424009</v>
      </c>
      <c r="C546" s="18">
        <f t="shared" si="239"/>
        <v>7.9961838837950925</v>
      </c>
      <c r="D546" s="2">
        <f t="shared" si="218"/>
        <v>0.95418517165901384</v>
      </c>
      <c r="E546" s="18">
        <f t="shared" si="226"/>
        <v>8.0120869699894097</v>
      </c>
      <c r="F546" s="21">
        <f t="shared" si="219"/>
        <v>4.7262364117953188</v>
      </c>
      <c r="G546" s="1">
        <f t="shared" si="220"/>
        <v>0</v>
      </c>
      <c r="H546" s="2">
        <f t="shared" si="216"/>
        <v>864.03583638578993</v>
      </c>
      <c r="I546" s="19">
        <f t="shared" si="242"/>
        <v>374.04148761289605</v>
      </c>
      <c r="J546" s="20">
        <f t="shared" si="221"/>
        <v>0.91346331204511078</v>
      </c>
      <c r="K546" s="21">
        <f t="shared" si="222"/>
        <v>354.12291715504682</v>
      </c>
      <c r="L546" s="21">
        <f t="shared" si="217"/>
        <v>3.7627828120632909</v>
      </c>
      <c r="M546" s="2">
        <f t="shared" si="227"/>
        <v>278.88653796529809</v>
      </c>
      <c r="N546" s="19">
        <f t="shared" si="240"/>
        <v>336.620690974833</v>
      </c>
      <c r="O546" s="1">
        <f t="shared" si="228"/>
        <v>520</v>
      </c>
      <c r="P546" s="19">
        <f t="shared" si="229"/>
        <v>611.68310108734943</v>
      </c>
      <c r="Q546" s="18">
        <f t="shared" si="230"/>
        <v>9.5679358902412037</v>
      </c>
      <c r="R546" s="2">
        <f t="shared" si="231"/>
        <v>0.96372347774342149</v>
      </c>
      <c r="S546" s="18">
        <f t="shared" si="232"/>
        <v>9.583997948203594</v>
      </c>
      <c r="T546" s="18">
        <f t="shared" si="233"/>
        <v>6.7265896189454786</v>
      </c>
      <c r="U546" s="1">
        <f t="shared" si="223"/>
        <v>0</v>
      </c>
      <c r="V546" s="2">
        <f t="shared" si="234"/>
        <v>1419.7145531307228</v>
      </c>
      <c r="W546" s="19">
        <f t="shared" si="235"/>
        <v>614.5950446453345</v>
      </c>
      <c r="X546" s="20"/>
      <c r="Y546" s="2">
        <f t="shared" si="236"/>
        <v>594.73180150560268</v>
      </c>
      <c r="Z546" s="21">
        <f t="shared" si="237"/>
        <v>5.3840770459024769</v>
      </c>
      <c r="AA546" s="2">
        <f t="shared" si="238"/>
        <v>471.10292164209494</v>
      </c>
      <c r="AB546" s="19">
        <f t="shared" si="241"/>
        <v>89.597365280003757</v>
      </c>
      <c r="AC546" s="2"/>
      <c r="AD546" s="18"/>
      <c r="AE546" s="118"/>
      <c r="AG546" s="2"/>
      <c r="AH546" s="19"/>
      <c r="AI546" s="20"/>
      <c r="AJ546" s="21"/>
      <c r="AK546" s="21"/>
      <c r="AM546" s="19"/>
      <c r="AN546" s="18"/>
      <c r="AO546" s="2"/>
      <c r="AP546" s="18"/>
      <c r="AQ546" s="118"/>
      <c r="AS546" s="2"/>
      <c r="AT546" s="19"/>
      <c r="AU546" s="20"/>
      <c r="AV546" s="21"/>
      <c r="AW546" s="21"/>
    </row>
    <row r="547" spans="1:49" x14ac:dyDescent="0.25">
      <c r="A547" s="1">
        <f t="shared" si="224"/>
        <v>521</v>
      </c>
      <c r="B547" s="19">
        <f t="shared" si="225"/>
        <v>374.04148761289605</v>
      </c>
      <c r="C547" s="18">
        <f t="shared" si="239"/>
        <v>8.0120869699894097</v>
      </c>
      <c r="D547" s="2">
        <f t="shared" si="218"/>
        <v>0.95428985092478313</v>
      </c>
      <c r="E547" s="18">
        <f t="shared" si="226"/>
        <v>8.0279918008381568</v>
      </c>
      <c r="F547" s="21">
        <f t="shared" si="219"/>
        <v>4.7447353237731917</v>
      </c>
      <c r="G547" s="1">
        <f t="shared" si="220"/>
        <v>0</v>
      </c>
      <c r="H547" s="2">
        <f t="shared" si="216"/>
        <v>868.78057170956311</v>
      </c>
      <c r="I547" s="19">
        <f t="shared" si="242"/>
        <v>376.09548558855545</v>
      </c>
      <c r="J547" s="20">
        <f t="shared" si="221"/>
        <v>0.91340339924542846</v>
      </c>
      <c r="K547" s="21">
        <f t="shared" si="222"/>
        <v>356.17738755024061</v>
      </c>
      <c r="L547" s="21">
        <f t="shared" si="217"/>
        <v>3.7777366749150834</v>
      </c>
      <c r="M547" s="2">
        <f t="shared" si="227"/>
        <v>280.52192180725268</v>
      </c>
      <c r="N547" s="19">
        <f t="shared" si="240"/>
        <v>336.71311559262125</v>
      </c>
      <c r="O547" s="1">
        <f t="shared" si="228"/>
        <v>521</v>
      </c>
      <c r="P547" s="19">
        <f t="shared" si="229"/>
        <v>614.5950446453345</v>
      </c>
      <c r="Q547" s="18">
        <f t="shared" si="230"/>
        <v>9.583997948203594</v>
      </c>
      <c r="R547" s="2">
        <f t="shared" si="231"/>
        <v>0.96381502131174557</v>
      </c>
      <c r="S547" s="18">
        <f t="shared" si="232"/>
        <v>9.6000615318921234</v>
      </c>
      <c r="T547" s="18">
        <f t="shared" si="233"/>
        <v>6.7488233510120699</v>
      </c>
      <c r="U547" s="1">
        <f t="shared" si="223"/>
        <v>0</v>
      </c>
      <c r="V547" s="2">
        <f t="shared" si="234"/>
        <v>1426.4633764817347</v>
      </c>
      <c r="W547" s="19">
        <f t="shared" si="235"/>
        <v>617.51661319555615</v>
      </c>
      <c r="X547" s="20"/>
      <c r="Y547" s="2">
        <f t="shared" si="236"/>
        <v>597.65404201659089</v>
      </c>
      <c r="Z547" s="21">
        <f t="shared" si="237"/>
        <v>5.4021404997741183</v>
      </c>
      <c r="AA547" s="2">
        <f t="shared" si="238"/>
        <v>473.44151060303614</v>
      </c>
      <c r="AB547" s="19">
        <f t="shared" si="241"/>
        <v>89.674630955548494</v>
      </c>
      <c r="AC547" s="2"/>
      <c r="AD547" s="18"/>
      <c r="AE547" s="118"/>
      <c r="AG547" s="2"/>
      <c r="AH547" s="19"/>
      <c r="AI547" s="20"/>
      <c r="AJ547" s="21"/>
      <c r="AK547" s="21"/>
      <c r="AM547" s="19"/>
      <c r="AN547" s="18"/>
      <c r="AO547" s="2"/>
      <c r="AP547" s="18"/>
      <c r="AQ547" s="118"/>
      <c r="AS547" s="2"/>
      <c r="AT547" s="19"/>
      <c r="AU547" s="20"/>
      <c r="AV547" s="21"/>
      <c r="AW547" s="21"/>
    </row>
    <row r="548" spans="1:49" x14ac:dyDescent="0.25">
      <c r="A548" s="1">
        <f t="shared" si="224"/>
        <v>522</v>
      </c>
      <c r="B548" s="19">
        <f t="shared" si="225"/>
        <v>376.09548558855545</v>
      </c>
      <c r="C548" s="18">
        <f t="shared" si="239"/>
        <v>8.0279918008381568</v>
      </c>
      <c r="D548" s="2">
        <f t="shared" si="218"/>
        <v>0.95439437699067131</v>
      </c>
      <c r="E548" s="18">
        <f t="shared" si="226"/>
        <v>8.0438983737880019</v>
      </c>
      <c r="F548" s="21">
        <f t="shared" si="219"/>
        <v>4.7632719123439378</v>
      </c>
      <c r="G548" s="1">
        <f t="shared" si="220"/>
        <v>0</v>
      </c>
      <c r="H548" s="2">
        <f t="shared" si="216"/>
        <v>873.54384362190706</v>
      </c>
      <c r="I548" s="19">
        <f t="shared" si="242"/>
        <v>378.1575080614316</v>
      </c>
      <c r="J548" s="20">
        <f t="shared" si="221"/>
        <v>0.91334352556473863</v>
      </c>
      <c r="K548" s="21">
        <f t="shared" si="222"/>
        <v>358.23988428828551</v>
      </c>
      <c r="L548" s="21">
        <f t="shared" si="217"/>
        <v>3.7927218361258537</v>
      </c>
      <c r="M548" s="2">
        <f t="shared" si="227"/>
        <v>282.16379273198248</v>
      </c>
      <c r="N548" s="19">
        <f t="shared" si="240"/>
        <v>336.80535710136445</v>
      </c>
      <c r="O548" s="1">
        <f t="shared" si="228"/>
        <v>522</v>
      </c>
      <c r="P548" s="19">
        <f t="shared" si="229"/>
        <v>617.51661319555615</v>
      </c>
      <c r="Q548" s="18">
        <f t="shared" si="230"/>
        <v>9.6000615318921234</v>
      </c>
      <c r="R548" s="2">
        <f t="shared" si="231"/>
        <v>0.96390644128840119</v>
      </c>
      <c r="S548" s="18">
        <f t="shared" si="232"/>
        <v>9.6161266392469305</v>
      </c>
      <c r="T548" s="18">
        <f t="shared" si="233"/>
        <v>6.7710953971904217</v>
      </c>
      <c r="U548" s="1">
        <f t="shared" si="223"/>
        <v>0</v>
      </c>
      <c r="V548" s="2">
        <f t="shared" si="234"/>
        <v>1433.2344718789252</v>
      </c>
      <c r="W548" s="19">
        <f t="shared" si="235"/>
        <v>620.44782332421005</v>
      </c>
      <c r="X548" s="20"/>
      <c r="Y548" s="2">
        <f t="shared" si="236"/>
        <v>600.58592632357431</v>
      </c>
      <c r="Z548" s="21">
        <f t="shared" si="237"/>
        <v>5.4202359218194411</v>
      </c>
      <c r="AA548" s="2">
        <f t="shared" si="238"/>
        <v>475.78793308001423</v>
      </c>
      <c r="AB548" s="19">
        <f t="shared" si="241"/>
        <v>89.751767344042193</v>
      </c>
      <c r="AC548" s="2"/>
      <c r="AD548" s="18"/>
      <c r="AE548" s="118"/>
      <c r="AG548" s="2"/>
      <c r="AH548" s="19"/>
      <c r="AI548" s="20"/>
      <c r="AJ548" s="21"/>
      <c r="AK548" s="21"/>
      <c r="AM548" s="19"/>
      <c r="AN548" s="18"/>
      <c r="AO548" s="2"/>
      <c r="AP548" s="18"/>
      <c r="AQ548" s="118"/>
      <c r="AS548" s="2"/>
      <c r="AT548" s="19"/>
      <c r="AU548" s="20"/>
      <c r="AV548" s="21"/>
      <c r="AW548" s="21"/>
    </row>
    <row r="549" spans="1:49" x14ac:dyDescent="0.25">
      <c r="A549" s="1">
        <f t="shared" si="224"/>
        <v>523</v>
      </c>
      <c r="B549" s="19">
        <f t="shared" si="225"/>
        <v>378.1575080614316</v>
      </c>
      <c r="C549" s="18">
        <f t="shared" si="239"/>
        <v>8.0438983737880019</v>
      </c>
      <c r="D549" s="2">
        <f t="shared" si="218"/>
        <v>0.95449875020130959</v>
      </c>
      <c r="E549" s="18">
        <f t="shared" si="226"/>
        <v>8.0598066862913562</v>
      </c>
      <c r="F549" s="21">
        <f t="shared" si="219"/>
        <v>4.7818461844892797</v>
      </c>
      <c r="G549" s="1">
        <f t="shared" si="220"/>
        <v>0</v>
      </c>
      <c r="H549" s="2">
        <f t="shared" si="216"/>
        <v>878.32568980639633</v>
      </c>
      <c r="I549" s="19">
        <f t="shared" si="242"/>
        <v>380.22757134476029</v>
      </c>
      <c r="J549" s="20">
        <f t="shared" si="221"/>
        <v>0.91328369109892937</v>
      </c>
      <c r="K549" s="21">
        <f t="shared" si="222"/>
        <v>360.31042368616937</v>
      </c>
      <c r="L549" s="21">
        <f t="shared" si="217"/>
        <v>3.8077383030342919</v>
      </c>
      <c r="M549" s="2">
        <f t="shared" si="227"/>
        <v>283.81216429173759</v>
      </c>
      <c r="N549" s="19">
        <f t="shared" si="240"/>
        <v>336.89741620523137</v>
      </c>
      <c r="O549" s="1">
        <f t="shared" si="228"/>
        <v>523</v>
      </c>
      <c r="P549" s="19">
        <f t="shared" si="229"/>
        <v>620.44782332421005</v>
      </c>
      <c r="Q549" s="18">
        <f t="shared" si="230"/>
        <v>9.6161266392469305</v>
      </c>
      <c r="R549" s="2">
        <f t="shared" si="231"/>
        <v>0.96399773797911459</v>
      </c>
      <c r="S549" s="18">
        <f t="shared" si="232"/>
        <v>9.6321932682132498</v>
      </c>
      <c r="T549" s="18">
        <f t="shared" si="233"/>
        <v>6.7934057634542899</v>
      </c>
      <c r="U549" s="1">
        <f t="shared" si="223"/>
        <v>0</v>
      </c>
      <c r="V549" s="2">
        <f t="shared" si="234"/>
        <v>1440.0278776423795</v>
      </c>
      <c r="W549" s="19">
        <f t="shared" si="235"/>
        <v>623.38869162007768</v>
      </c>
      <c r="X549" s="20"/>
      <c r="Y549" s="2">
        <f t="shared" si="236"/>
        <v>603.52747101914997</v>
      </c>
      <c r="Z549" s="21">
        <f t="shared" si="237"/>
        <v>5.438363318326993</v>
      </c>
      <c r="AA549" s="2">
        <f t="shared" si="238"/>
        <v>478.14220291478784</v>
      </c>
      <c r="AB549" s="19">
        <f t="shared" si="241"/>
        <v>89.828774865226976</v>
      </c>
      <c r="AC549" s="2"/>
      <c r="AD549" s="18"/>
      <c r="AE549" s="118"/>
      <c r="AG549" s="2"/>
      <c r="AH549" s="19"/>
      <c r="AI549" s="20"/>
      <c r="AJ549" s="21"/>
      <c r="AK549" s="21"/>
      <c r="AM549" s="19"/>
      <c r="AN549" s="18"/>
      <c r="AO549" s="2"/>
      <c r="AP549" s="18"/>
      <c r="AQ549" s="118"/>
      <c r="AS549" s="2"/>
      <c r="AT549" s="19"/>
      <c r="AU549" s="20"/>
      <c r="AV549" s="21"/>
      <c r="AW549" s="21"/>
    </row>
    <row r="550" spans="1:49" x14ac:dyDescent="0.25">
      <c r="A550" s="1">
        <f t="shared" si="224"/>
        <v>524</v>
      </c>
      <c r="B550" s="19">
        <f t="shared" si="225"/>
        <v>380.22757134476029</v>
      </c>
      <c r="C550" s="18">
        <f t="shared" si="239"/>
        <v>8.0598066862913562</v>
      </c>
      <c r="D550" s="2">
        <f t="shared" si="218"/>
        <v>0.9546029709011935</v>
      </c>
      <c r="E550" s="18">
        <f t="shared" si="226"/>
        <v>8.0757167358063757</v>
      </c>
      <c r="F550" s="21">
        <f t="shared" si="219"/>
        <v>4.8004581471789383</v>
      </c>
      <c r="G550" s="1">
        <f t="shared" si="220"/>
        <v>0</v>
      </c>
      <c r="H550" s="2">
        <f t="shared" si="216"/>
        <v>883.12614795357524</v>
      </c>
      <c r="I550" s="19">
        <f t="shared" si="242"/>
        <v>382.30569175479445</v>
      </c>
      <c r="J550" s="20">
        <f t="shared" si="221"/>
        <v>0.91322389594235809</v>
      </c>
      <c r="K550" s="21">
        <f t="shared" si="222"/>
        <v>362.38902206389787</v>
      </c>
      <c r="L550" s="21">
        <f t="shared" si="217"/>
        <v>3.8227860829665947</v>
      </c>
      <c r="M550" s="2">
        <f t="shared" si="227"/>
        <v>285.46705004193956</v>
      </c>
      <c r="N550" s="19">
        <f t="shared" si="240"/>
        <v>336.98929360436887</v>
      </c>
      <c r="O550" s="1">
        <f t="shared" si="228"/>
        <v>524</v>
      </c>
      <c r="P550" s="19">
        <f t="shared" si="229"/>
        <v>623.38869162007768</v>
      </c>
      <c r="Q550" s="18">
        <f t="shared" si="230"/>
        <v>9.6321932682132498</v>
      </c>
      <c r="R550" s="2">
        <f t="shared" si="231"/>
        <v>0.96408891168873412</v>
      </c>
      <c r="S550" s="18">
        <f t="shared" si="232"/>
        <v>9.6482614167413949</v>
      </c>
      <c r="T550" s="18">
        <f t="shared" si="233"/>
        <v>6.8157544557689391</v>
      </c>
      <c r="U550" s="1">
        <f t="shared" si="223"/>
        <v>0</v>
      </c>
      <c r="V550" s="2">
        <f t="shared" si="234"/>
        <v>1446.8436320981484</v>
      </c>
      <c r="W550" s="19">
        <f t="shared" si="235"/>
        <v>626.33923467452314</v>
      </c>
      <c r="X550" s="20"/>
      <c r="Y550" s="2">
        <f t="shared" si="236"/>
        <v>606.47869269849787</v>
      </c>
      <c r="Z550" s="21">
        <f t="shared" si="237"/>
        <v>5.4565226955764032</v>
      </c>
      <c r="AA550" s="2">
        <f t="shared" si="238"/>
        <v>480.50433395183393</v>
      </c>
      <c r="AB550" s="19">
        <f t="shared" si="241"/>
        <v>89.905653936822347</v>
      </c>
      <c r="AC550" s="2"/>
      <c r="AD550" s="18"/>
      <c r="AE550" s="118"/>
      <c r="AG550" s="2"/>
      <c r="AH550" s="19"/>
      <c r="AI550" s="20"/>
      <c r="AJ550" s="21"/>
      <c r="AK550" s="21"/>
      <c r="AM550" s="19"/>
      <c r="AN550" s="18"/>
      <c r="AO550" s="2"/>
      <c r="AP550" s="18"/>
      <c r="AQ550" s="118"/>
      <c r="AS550" s="2"/>
      <c r="AT550" s="19"/>
      <c r="AU550" s="20"/>
      <c r="AV550" s="21"/>
      <c r="AW550" s="21"/>
    </row>
    <row r="551" spans="1:49" x14ac:dyDescent="0.25">
      <c r="A551" s="1">
        <f t="shared" si="224"/>
        <v>525</v>
      </c>
      <c r="B551" s="19">
        <f t="shared" si="225"/>
        <v>382.30569175479445</v>
      </c>
      <c r="C551" s="18">
        <f t="shared" si="239"/>
        <v>8.0757167358063757</v>
      </c>
      <c r="D551" s="2">
        <f t="shared" si="218"/>
        <v>0.95470703943466773</v>
      </c>
      <c r="E551" s="18">
        <f t="shared" si="226"/>
        <v>8.091628519796954</v>
      </c>
      <c r="F551" s="21">
        <f t="shared" si="219"/>
        <v>4.8191078073706599</v>
      </c>
      <c r="G551" s="1">
        <f t="shared" si="220"/>
        <v>0</v>
      </c>
      <c r="H551" s="2">
        <f t="shared" si="216"/>
        <v>887.94525576094588</v>
      </c>
      <c r="I551" s="19">
        <f t="shared" si="242"/>
        <v>384.39188561079908</v>
      </c>
      <c r="J551" s="20">
        <f t="shared" si="221"/>
        <v>0.91316414018786618</v>
      </c>
      <c r="K551" s="21">
        <f t="shared" si="222"/>
        <v>364.47569574448937</v>
      </c>
      <c r="L551" s="21">
        <f t="shared" si="217"/>
        <v>3.8378651832364898</v>
      </c>
      <c r="M551" s="2">
        <f t="shared" si="227"/>
        <v>287.12846354117613</v>
      </c>
      <c r="N551" s="19">
        <f t="shared" si="240"/>
        <v>337.08098999493245</v>
      </c>
      <c r="O551" s="1">
        <f t="shared" si="228"/>
        <v>525</v>
      </c>
      <c r="P551" s="19">
        <f t="shared" si="229"/>
        <v>626.33923467452314</v>
      </c>
      <c r="Q551" s="18">
        <f t="shared" si="230"/>
        <v>9.6482614167413949</v>
      </c>
      <c r="R551" s="2">
        <f t="shared" si="231"/>
        <v>0.9641799627212303</v>
      </c>
      <c r="S551" s="18">
        <f t="shared" si="232"/>
        <v>9.6643310827867488</v>
      </c>
      <c r="T551" s="18">
        <f t="shared" si="233"/>
        <v>6.8381414800911644</v>
      </c>
      <c r="U551" s="1">
        <f t="shared" si="223"/>
        <v>0</v>
      </c>
      <c r="V551" s="2">
        <f t="shared" si="234"/>
        <v>1453.6817735782395</v>
      </c>
      <c r="W551" s="19">
        <f t="shared" si="235"/>
        <v>629.29946908148895</v>
      </c>
      <c r="X551" s="20"/>
      <c r="Y551" s="2">
        <f t="shared" si="236"/>
        <v>609.43960795937733</v>
      </c>
      <c r="Z551" s="21">
        <f t="shared" si="237"/>
        <v>5.4747140598384059</v>
      </c>
      <c r="AA551" s="2">
        <f t="shared" si="238"/>
        <v>482.87434003834409</v>
      </c>
      <c r="AB551" s="19">
        <f t="shared" si="241"/>
        <v>89.982404974538056</v>
      </c>
      <c r="AC551" s="2"/>
      <c r="AD551" s="18"/>
      <c r="AE551" s="118"/>
      <c r="AG551" s="2"/>
      <c r="AH551" s="19"/>
      <c r="AI551" s="20"/>
      <c r="AJ551" s="21"/>
      <c r="AK551" s="21"/>
      <c r="AM551" s="19"/>
      <c r="AN551" s="18"/>
      <c r="AO551" s="2"/>
      <c r="AP551" s="18"/>
      <c r="AQ551" s="118"/>
      <c r="AS551" s="2"/>
      <c r="AT551" s="19"/>
      <c r="AU551" s="20"/>
      <c r="AV551" s="21"/>
      <c r="AW551" s="21"/>
    </row>
    <row r="552" spans="1:49" x14ac:dyDescent="0.25">
      <c r="A552" s="1">
        <f t="shared" si="224"/>
        <v>526</v>
      </c>
      <c r="B552" s="19">
        <f t="shared" si="225"/>
        <v>384.39188561079908</v>
      </c>
      <c r="C552" s="18">
        <f t="shared" si="239"/>
        <v>8.091628519796954</v>
      </c>
      <c r="D552" s="2">
        <f t="shared" si="218"/>
        <v>0.95481095614591072</v>
      </c>
      <c r="E552" s="18">
        <f t="shared" si="226"/>
        <v>8.1075420357327186</v>
      </c>
      <c r="F552" s="21">
        <f t="shared" si="219"/>
        <v>4.8377951720102832</v>
      </c>
      <c r="G552" s="1">
        <f t="shared" si="220"/>
        <v>0</v>
      </c>
      <c r="H552" s="2">
        <f t="shared" si="216"/>
        <v>892.78305093295614</v>
      </c>
      <c r="I552" s="19">
        <f t="shared" si="242"/>
        <v>386.48616923504596</v>
      </c>
      <c r="J552" s="20">
        <f t="shared" si="221"/>
        <v>0.91310442392679525</v>
      </c>
      <c r="K552" s="21">
        <f t="shared" si="222"/>
        <v>366.57046105396984</v>
      </c>
      <c r="L552" s="21">
        <f t="shared" si="217"/>
        <v>3.8529756111453017</v>
      </c>
      <c r="M552" s="2">
        <f t="shared" si="227"/>
        <v>288.79641835119577</v>
      </c>
      <c r="N552" s="19">
        <f t="shared" si="240"/>
        <v>337.17250606911648</v>
      </c>
      <c r="O552" s="1">
        <f t="shared" si="228"/>
        <v>526</v>
      </c>
      <c r="P552" s="19">
        <f t="shared" si="229"/>
        <v>629.29946908148895</v>
      </c>
      <c r="Q552" s="18">
        <f t="shared" si="230"/>
        <v>9.6643310827867488</v>
      </c>
      <c r="R552" s="2">
        <f t="shared" si="231"/>
        <v>0.96427089137969768</v>
      </c>
      <c r="S552" s="18">
        <f t="shared" si="232"/>
        <v>9.6804022643097429</v>
      </c>
      <c r="T552" s="18">
        <f t="shared" si="233"/>
        <v>6.8605668423693249</v>
      </c>
      <c r="U552" s="1">
        <f t="shared" si="223"/>
        <v>0</v>
      </c>
      <c r="V552" s="2">
        <f t="shared" si="234"/>
        <v>1460.5423404206088</v>
      </c>
      <c r="W552" s="19">
        <f t="shared" si="235"/>
        <v>632.26941143749298</v>
      </c>
      <c r="X552" s="20"/>
      <c r="Y552" s="2">
        <f t="shared" si="236"/>
        <v>612.41023340212325</v>
      </c>
      <c r="Z552" s="21">
        <f t="shared" si="237"/>
        <v>5.4929374173748702</v>
      </c>
      <c r="AA552" s="2">
        <f t="shared" si="238"/>
        <v>485.25223502422068</v>
      </c>
      <c r="AB552" s="19">
        <f t="shared" si="241"/>
        <v>90.059028392086972</v>
      </c>
      <c r="AC552" s="2"/>
      <c r="AD552" s="18"/>
      <c r="AE552" s="118"/>
      <c r="AG552" s="2"/>
      <c r="AH552" s="19"/>
      <c r="AI552" s="20"/>
      <c r="AJ552" s="21"/>
      <c r="AK552" s="21"/>
      <c r="AM552" s="19"/>
      <c r="AN552" s="18"/>
      <c r="AO552" s="2"/>
      <c r="AP552" s="18"/>
      <c r="AQ552" s="118"/>
      <c r="AS552" s="2"/>
      <c r="AT552" s="19"/>
      <c r="AU552" s="20"/>
      <c r="AV552" s="21"/>
      <c r="AW552" s="21"/>
    </row>
    <row r="553" spans="1:49" x14ac:dyDescent="0.25">
      <c r="A553" s="1">
        <f t="shared" si="224"/>
        <v>527</v>
      </c>
      <c r="B553" s="19">
        <f t="shared" si="225"/>
        <v>386.48616923504596</v>
      </c>
      <c r="C553" s="18">
        <f t="shared" si="239"/>
        <v>8.1075420357327186</v>
      </c>
      <c r="D553" s="2">
        <f t="shared" si="218"/>
        <v>0.95491472137891942</v>
      </c>
      <c r="E553" s="18">
        <f t="shared" si="226"/>
        <v>8.1234572810890331</v>
      </c>
      <c r="F553" s="21">
        <f t="shared" si="219"/>
        <v>4.856520248031762</v>
      </c>
      <c r="G553" s="1">
        <f t="shared" si="220"/>
        <v>0</v>
      </c>
      <c r="H553" s="2">
        <f t="shared" si="216"/>
        <v>897.6395711809879</v>
      </c>
      <c r="I553" s="19">
        <f t="shared" si="242"/>
        <v>388.58855895280863</v>
      </c>
      <c r="J553" s="20">
        <f t="shared" si="221"/>
        <v>0.91304474724900198</v>
      </c>
      <c r="K553" s="21">
        <f t="shared" si="222"/>
        <v>368.67333432136758</v>
      </c>
      <c r="L553" s="21">
        <f t="shared" si="217"/>
        <v>3.8681173739819807</v>
      </c>
      <c r="M553" s="2">
        <f t="shared" si="227"/>
        <v>290.47092803690225</v>
      </c>
      <c r="N553" s="19">
        <f t="shared" si="240"/>
        <v>337.26384251518408</v>
      </c>
      <c r="O553" s="1">
        <f t="shared" si="228"/>
        <v>527</v>
      </c>
      <c r="P553" s="19">
        <f t="shared" si="229"/>
        <v>632.26941143749298</v>
      </c>
      <c r="Q553" s="18">
        <f t="shared" si="230"/>
        <v>9.6804022643097429</v>
      </c>
      <c r="R553" s="2">
        <f t="shared" si="231"/>
        <v>0.96436169796635496</v>
      </c>
      <c r="S553" s="18">
        <f t="shared" si="232"/>
        <v>9.6964749592758483</v>
      </c>
      <c r="T553" s="18">
        <f t="shared" si="233"/>
        <v>6.8830305485433767</v>
      </c>
      <c r="U553" s="1">
        <f t="shared" si="223"/>
        <v>0</v>
      </c>
      <c r="V553" s="2">
        <f t="shared" si="234"/>
        <v>1467.425370969152</v>
      </c>
      <c r="W553" s="19">
        <f t="shared" si="235"/>
        <v>635.24907834162423</v>
      </c>
      <c r="X553" s="20"/>
      <c r="Y553" s="2">
        <f t="shared" si="236"/>
        <v>615.39058562964249</v>
      </c>
      <c r="Z553" s="21">
        <f t="shared" si="237"/>
        <v>5.511192774438836</v>
      </c>
      <c r="AA553" s="2">
        <f t="shared" si="238"/>
        <v>487.63803276207301</v>
      </c>
      <c r="AB553" s="19">
        <f t="shared" si="241"/>
        <v>90.135524601197787</v>
      </c>
      <c r="AC553" s="2"/>
      <c r="AD553" s="18"/>
      <c r="AE553" s="118"/>
      <c r="AG553" s="2"/>
      <c r="AH553" s="19"/>
      <c r="AI553" s="20"/>
      <c r="AJ553" s="21"/>
      <c r="AK553" s="21"/>
      <c r="AM553" s="19"/>
      <c r="AN553" s="18"/>
      <c r="AO553" s="2"/>
      <c r="AP553" s="18"/>
      <c r="AQ553" s="118"/>
      <c r="AS553" s="2"/>
      <c r="AT553" s="19"/>
      <c r="AU553" s="20"/>
      <c r="AV553" s="21"/>
      <c r="AW553" s="21"/>
    </row>
    <row r="554" spans="1:49" x14ac:dyDescent="0.25">
      <c r="A554" s="1">
        <f t="shared" si="224"/>
        <v>528</v>
      </c>
      <c r="B554" s="19">
        <f t="shared" si="225"/>
        <v>388.58855895280863</v>
      </c>
      <c r="C554" s="18">
        <f t="shared" si="239"/>
        <v>8.1234572810890331</v>
      </c>
      <c r="D554" s="2">
        <f t="shared" si="218"/>
        <v>0.95501833547749471</v>
      </c>
      <c r="E554" s="18">
        <f t="shared" si="226"/>
        <v>8.1393742533469915</v>
      </c>
      <c r="F554" s="21">
        <f t="shared" si="219"/>
        <v>4.8752830423572311</v>
      </c>
      <c r="G554" s="1">
        <f t="shared" si="220"/>
        <v>0</v>
      </c>
      <c r="H554" s="2">
        <f t="shared" si="216"/>
        <v>902.51485422334508</v>
      </c>
      <c r="I554" s="19">
        <f t="shared" si="242"/>
        <v>390.69907109235714</v>
      </c>
      <c r="J554" s="20">
        <f t="shared" si="221"/>
        <v>0.91298511024287254</v>
      </c>
      <c r="K554" s="21">
        <f t="shared" si="222"/>
        <v>370.78433187870826</v>
      </c>
      <c r="L554" s="21">
        <f t="shared" si="217"/>
        <v>3.8832904790231644</v>
      </c>
      <c r="M554" s="2">
        <f t="shared" si="227"/>
        <v>292.15200616634951</v>
      </c>
      <c r="N554" s="19">
        <f t="shared" si="240"/>
        <v>337.35500001749671</v>
      </c>
      <c r="O554" s="1">
        <f t="shared" si="228"/>
        <v>528</v>
      </c>
      <c r="P554" s="19">
        <f t="shared" si="229"/>
        <v>635.24907834162423</v>
      </c>
      <c r="Q554" s="18">
        <f t="shared" si="230"/>
        <v>9.6964749592758483</v>
      </c>
      <c r="R554" s="2">
        <f t="shared" si="231"/>
        <v>0.96445238278254586</v>
      </c>
      <c r="S554" s="18">
        <f t="shared" si="232"/>
        <v>9.7125491656555578</v>
      </c>
      <c r="T554" s="18">
        <f t="shared" si="233"/>
        <v>6.905532604544879</v>
      </c>
      <c r="U554" s="1">
        <f t="shared" si="223"/>
        <v>0</v>
      </c>
      <c r="V554" s="2">
        <f t="shared" si="234"/>
        <v>1474.330903573697</v>
      </c>
      <c r="W554" s="19">
        <f t="shared" si="235"/>
        <v>638.23848639553978</v>
      </c>
      <c r="X554" s="20"/>
      <c r="Y554" s="2">
        <f t="shared" si="236"/>
        <v>618.38068124741039</v>
      </c>
      <c r="Z554" s="21">
        <f t="shared" si="237"/>
        <v>5.5294801372745299</v>
      </c>
      <c r="AA554" s="2">
        <f t="shared" si="238"/>
        <v>490.0317471072135</v>
      </c>
      <c r="AB554" s="19">
        <f t="shared" si="241"/>
        <v>90.211894011627606</v>
      </c>
      <c r="AC554" s="2"/>
      <c r="AD554" s="18"/>
      <c r="AE554" s="118"/>
      <c r="AG554" s="2"/>
      <c r="AH554" s="19"/>
      <c r="AI554" s="20"/>
      <c r="AJ554" s="21"/>
      <c r="AK554" s="21"/>
      <c r="AM554" s="19"/>
      <c r="AN554" s="18"/>
      <c r="AO554" s="2"/>
      <c r="AP554" s="18"/>
      <c r="AQ554" s="118"/>
      <c r="AS554" s="2"/>
      <c r="AT554" s="19"/>
      <c r="AU554" s="20"/>
      <c r="AV554" s="21"/>
      <c r="AW554" s="21"/>
    </row>
    <row r="555" spans="1:49" x14ac:dyDescent="0.25">
      <c r="A555" s="1">
        <f t="shared" si="224"/>
        <v>529</v>
      </c>
      <c r="B555" s="19">
        <f t="shared" si="225"/>
        <v>390.69907109235714</v>
      </c>
      <c r="C555" s="18">
        <f t="shared" si="239"/>
        <v>8.1393742533469915</v>
      </c>
      <c r="D555" s="2">
        <f t="shared" si="218"/>
        <v>0.95512179878522685</v>
      </c>
      <c r="E555" s="18">
        <f t="shared" si="226"/>
        <v>8.1552929499934113</v>
      </c>
      <c r="F555" s="21">
        <f t="shared" si="219"/>
        <v>4.8940835618970331</v>
      </c>
      <c r="G555" s="1">
        <f t="shared" si="220"/>
        <v>0</v>
      </c>
      <c r="H555" s="2">
        <f t="shared" si="216"/>
        <v>907.40893778524196</v>
      </c>
      <c r="I555" s="19">
        <f t="shared" si="242"/>
        <v>392.81772198495321</v>
      </c>
      <c r="J555" s="20">
        <f t="shared" si="221"/>
        <v>0.91292551299533842</v>
      </c>
      <c r="K555" s="21">
        <f t="shared" si="222"/>
        <v>372.90347006100967</v>
      </c>
      <c r="L555" s="21">
        <f t="shared" si="217"/>
        <v>3.8984949335332075</v>
      </c>
      <c r="M555" s="2">
        <f t="shared" si="227"/>
        <v>293.83966631073616</v>
      </c>
      <c r="N555" s="19">
        <f t="shared" si="240"/>
        <v>337.44597925654358</v>
      </c>
      <c r="O555" s="1">
        <f t="shared" si="228"/>
        <v>529</v>
      </c>
      <c r="P555" s="19">
        <f t="shared" si="229"/>
        <v>638.23848639553978</v>
      </c>
      <c r="Q555" s="18">
        <f t="shared" si="230"/>
        <v>9.7125491656555578</v>
      </c>
      <c r="R555" s="2">
        <f t="shared" si="231"/>
        <v>0.96454294612874003</v>
      </c>
      <c r="S555" s="18">
        <f t="shared" si="232"/>
        <v>9.7286248814243699</v>
      </c>
      <c r="T555" s="18">
        <f t="shared" si="233"/>
        <v>6.9280730162970388</v>
      </c>
      <c r="U555" s="1">
        <f t="shared" si="223"/>
        <v>0</v>
      </c>
      <c r="V555" s="2">
        <f t="shared" si="234"/>
        <v>1481.2589765899941</v>
      </c>
      <c r="W555" s="19">
        <f t="shared" si="235"/>
        <v>641.23765220346058</v>
      </c>
      <c r="X555" s="20"/>
      <c r="Y555" s="2">
        <f t="shared" si="236"/>
        <v>621.380536863467</v>
      </c>
      <c r="Z555" s="21">
        <f t="shared" si="237"/>
        <v>5.5477995121173951</v>
      </c>
      <c r="AA555" s="2">
        <f t="shared" si="238"/>
        <v>492.43339191765392</v>
      </c>
      <c r="AB555" s="19">
        <f t="shared" si="241"/>
        <v>90.288137031174514</v>
      </c>
      <c r="AC555" s="2"/>
      <c r="AD555" s="18"/>
      <c r="AE555" s="118"/>
      <c r="AG555" s="2"/>
      <c r="AH555" s="19"/>
      <c r="AI555" s="20"/>
      <c r="AJ555" s="21"/>
      <c r="AK555" s="21"/>
      <c r="AM555" s="19"/>
      <c r="AN555" s="18"/>
      <c r="AO555" s="2"/>
      <c r="AP555" s="18"/>
      <c r="AQ555" s="118"/>
      <c r="AS555" s="2"/>
      <c r="AT555" s="19"/>
      <c r="AU555" s="20"/>
      <c r="AV555" s="21"/>
      <c r="AW555" s="21"/>
    </row>
    <row r="556" spans="1:49" x14ac:dyDescent="0.25">
      <c r="A556" s="1">
        <f t="shared" si="224"/>
        <v>530</v>
      </c>
      <c r="B556" s="19">
        <f t="shared" si="225"/>
        <v>392.81772198495321</v>
      </c>
      <c r="C556" s="18">
        <f t="shared" si="239"/>
        <v>8.1552929499934113</v>
      </c>
      <c r="D556" s="2">
        <f t="shared" si="218"/>
        <v>0.95522511164548074</v>
      </c>
      <c r="E556" s="18">
        <f t="shared" si="226"/>
        <v>8.1712133685208368</v>
      </c>
      <c r="F556" s="21">
        <f t="shared" si="219"/>
        <v>4.9129218135497741</v>
      </c>
      <c r="G556" s="1">
        <f t="shared" si="220"/>
        <v>0</v>
      </c>
      <c r="H556" s="2">
        <f t="shared" si="216"/>
        <v>912.32185959879178</v>
      </c>
      <c r="I556" s="19">
        <f t="shared" si="242"/>
        <v>394.94452796484489</v>
      </c>
      <c r="J556" s="20">
        <f t="shared" si="221"/>
        <v>0.9128659555918901</v>
      </c>
      <c r="K556" s="21">
        <f t="shared" si="222"/>
        <v>375.03076520627673</v>
      </c>
      <c r="L556" s="21">
        <f t="shared" si="217"/>
        <v>3.9137307447642375</v>
      </c>
      <c r="M556" s="2">
        <f t="shared" si="227"/>
        <v>295.53392204440036</v>
      </c>
      <c r="N556" s="19">
        <f t="shared" si="240"/>
        <v>337.5367809089708</v>
      </c>
      <c r="O556" s="1">
        <f t="shared" si="228"/>
        <v>530</v>
      </c>
      <c r="P556" s="19">
        <f t="shared" si="229"/>
        <v>641.23765220346058</v>
      </c>
      <c r="Q556" s="18">
        <f t="shared" si="230"/>
        <v>9.7286248814243699</v>
      </c>
      <c r="R556" s="2">
        <f t="shared" si="231"/>
        <v>0.96463338830453449</v>
      </c>
      <c r="S556" s="18">
        <f t="shared" si="232"/>
        <v>9.7447021045627782</v>
      </c>
      <c r="T556" s="18">
        <f t="shared" si="233"/>
        <v>6.9506517897147226</v>
      </c>
      <c r="U556" s="1">
        <f t="shared" si="223"/>
        <v>0</v>
      </c>
      <c r="V556" s="2">
        <f t="shared" si="234"/>
        <v>1488.2096283797089</v>
      </c>
      <c r="W556" s="19">
        <f t="shared" si="235"/>
        <v>644.24659237216838</v>
      </c>
      <c r="X556" s="20"/>
      <c r="Y556" s="2">
        <f t="shared" si="236"/>
        <v>624.39016908841347</v>
      </c>
      <c r="Z556" s="21">
        <f t="shared" si="237"/>
        <v>5.5661509051941174</v>
      </c>
      <c r="AA556" s="2">
        <f t="shared" si="238"/>
        <v>494.84298105410159</v>
      </c>
      <c r="AB556" s="19">
        <f t="shared" si="241"/>
        <v>90.364254065689977</v>
      </c>
      <c r="AC556" s="2"/>
      <c r="AD556" s="18"/>
      <c r="AE556" s="118"/>
      <c r="AG556" s="2"/>
      <c r="AH556" s="19"/>
      <c r="AI556" s="20"/>
      <c r="AJ556" s="21"/>
      <c r="AK556" s="21"/>
      <c r="AM556" s="19"/>
      <c r="AN556" s="18"/>
      <c r="AO556" s="2"/>
      <c r="AP556" s="18"/>
      <c r="AQ556" s="118"/>
      <c r="AS556" s="2"/>
      <c r="AT556" s="19"/>
      <c r="AU556" s="20"/>
      <c r="AV556" s="21"/>
      <c r="AW556" s="21"/>
    </row>
    <row r="557" spans="1:49" x14ac:dyDescent="0.25">
      <c r="A557" s="1">
        <f t="shared" si="224"/>
        <v>531</v>
      </c>
      <c r="B557" s="19">
        <f t="shared" si="225"/>
        <v>394.94452796484489</v>
      </c>
      <c r="C557" s="18">
        <f t="shared" si="239"/>
        <v>8.1712133685208368</v>
      </c>
      <c r="D557" s="2">
        <f t="shared" si="218"/>
        <v>0.95532827440138313</v>
      </c>
      <c r="E557" s="18">
        <f t="shared" si="226"/>
        <v>8.1871355064275271</v>
      </c>
      <c r="F557" s="21">
        <f t="shared" si="219"/>
        <v>4.9317978042023523</v>
      </c>
      <c r="G557" s="1">
        <f t="shared" si="220"/>
        <v>0</v>
      </c>
      <c r="H557" s="2">
        <f t="shared" si="216"/>
        <v>917.25365740299412</v>
      </c>
      <c r="I557" s="19">
        <f t="shared" si="242"/>
        <v>397.07950536926154</v>
      </c>
      <c r="J557" s="20">
        <f t="shared" si="221"/>
        <v>0.91280643811659312</v>
      </c>
      <c r="K557" s="21">
        <f t="shared" si="222"/>
        <v>377.16623365549634</v>
      </c>
      <c r="L557" s="21">
        <f t="shared" si="217"/>
        <v>3.9289979199561893</v>
      </c>
      <c r="M557" s="2">
        <f t="shared" si="227"/>
        <v>297.23478694481429</v>
      </c>
      <c r="N557" s="19">
        <f t="shared" si="240"/>
        <v>337.62740564761003</v>
      </c>
      <c r="O557" s="1">
        <f t="shared" si="228"/>
        <v>531</v>
      </c>
      <c r="P557" s="19">
        <f t="shared" si="229"/>
        <v>644.24659237216838</v>
      </c>
      <c r="Q557" s="18">
        <f t="shared" si="230"/>
        <v>9.7447021045627782</v>
      </c>
      <c r="R557" s="2">
        <f t="shared" si="231"/>
        <v>0.96472370960865383</v>
      </c>
      <c r="S557" s="18">
        <f t="shared" si="232"/>
        <v>9.7607808330562555</v>
      </c>
      <c r="T557" s="18">
        <f t="shared" si="233"/>
        <v>6.9732689307045028</v>
      </c>
      <c r="U557" s="1">
        <f t="shared" si="223"/>
        <v>0</v>
      </c>
      <c r="V557" s="2">
        <f t="shared" si="234"/>
        <v>1495.1828973104136</v>
      </c>
      <c r="W557" s="19">
        <f t="shared" si="235"/>
        <v>647.26532351100161</v>
      </c>
      <c r="X557" s="20"/>
      <c r="Y557" s="2">
        <f t="shared" si="236"/>
        <v>627.40959453540847</v>
      </c>
      <c r="Z557" s="21">
        <f t="shared" si="237"/>
        <v>5.5845343227226625</v>
      </c>
      <c r="AA557" s="2">
        <f t="shared" si="238"/>
        <v>497.26052837995553</v>
      </c>
      <c r="AB557" s="19">
        <f t="shared" si="241"/>
        <v>90.440245519091164</v>
      </c>
      <c r="AC557" s="2"/>
      <c r="AD557" s="18"/>
      <c r="AE557" s="118"/>
      <c r="AG557" s="2"/>
      <c r="AH557" s="19"/>
      <c r="AI557" s="20"/>
      <c r="AJ557" s="21"/>
      <c r="AK557" s="21"/>
      <c r="AM557" s="19"/>
      <c r="AN557" s="18"/>
      <c r="AO557" s="2"/>
      <c r="AP557" s="18"/>
      <c r="AQ557" s="118"/>
      <c r="AS557" s="2"/>
      <c r="AT557" s="19"/>
      <c r="AU557" s="20"/>
      <c r="AV557" s="21"/>
      <c r="AW557" s="21"/>
    </row>
    <row r="558" spans="1:49" x14ac:dyDescent="0.25">
      <c r="A558" s="1">
        <f t="shared" si="224"/>
        <v>532</v>
      </c>
      <c r="B558" s="19">
        <f t="shared" si="225"/>
        <v>397.07950536926154</v>
      </c>
      <c r="C558" s="18">
        <f t="shared" si="239"/>
        <v>8.1871355064275271</v>
      </c>
      <c r="D558" s="2">
        <f t="shared" si="218"/>
        <v>0.95543128739580785</v>
      </c>
      <c r="E558" s="18">
        <f t="shared" si="226"/>
        <v>8.2030593612174574</v>
      </c>
      <c r="F558" s="21">
        <f t="shared" si="219"/>
        <v>4.9507115407300226</v>
      </c>
      <c r="G558" s="1">
        <f t="shared" si="220"/>
        <v>0</v>
      </c>
      <c r="H558" s="2">
        <f t="shared" si="216"/>
        <v>922.20436894372415</v>
      </c>
      <c r="I558" s="19">
        <f t="shared" si="242"/>
        <v>399.22267053840869</v>
      </c>
      <c r="J558" s="20">
        <f t="shared" si="221"/>
        <v>0.91274696065210115</v>
      </c>
      <c r="K558" s="21">
        <f t="shared" si="222"/>
        <v>379.30989175263244</v>
      </c>
      <c r="L558" s="21">
        <f t="shared" si="217"/>
        <v>3.9442964663368607</v>
      </c>
      <c r="M558" s="2">
        <f t="shared" si="227"/>
        <v>298.94227459257917</v>
      </c>
      <c r="N558" s="19">
        <f t="shared" si="240"/>
        <v>337.71785414150708</v>
      </c>
      <c r="O558" s="1">
        <f t="shared" si="228"/>
        <v>532</v>
      </c>
      <c r="P558" s="19">
        <f t="shared" si="229"/>
        <v>647.26532351100161</v>
      </c>
      <c r="Q558" s="18">
        <f t="shared" si="230"/>
        <v>9.7607808330562555</v>
      </c>
      <c r="R558" s="2">
        <f t="shared" si="231"/>
        <v>0.96481391033895181</v>
      </c>
      <c r="S558" s="18">
        <f t="shared" si="232"/>
        <v>9.7768610648952379</v>
      </c>
      <c r="T558" s="18">
        <f t="shared" si="233"/>
        <v>6.9959244451646594</v>
      </c>
      <c r="U558" s="1">
        <f t="shared" si="223"/>
        <v>0</v>
      </c>
      <c r="V558" s="2">
        <f t="shared" si="234"/>
        <v>1502.1788217555786</v>
      </c>
      <c r="W558" s="19">
        <f t="shared" si="235"/>
        <v>650.29386223185224</v>
      </c>
      <c r="X558" s="20"/>
      <c r="Y558" s="2">
        <f t="shared" si="236"/>
        <v>630.43882982016476</v>
      </c>
      <c r="Z558" s="21">
        <f t="shared" si="237"/>
        <v>5.6029497709122857</v>
      </c>
      <c r="AA558" s="2">
        <f t="shared" si="238"/>
        <v>499.68604776130286</v>
      </c>
      <c r="AB558" s="19">
        <f t="shared" si="241"/>
        <v>90.516111793373184</v>
      </c>
      <c r="AC558" s="2"/>
      <c r="AD558" s="18"/>
      <c r="AE558" s="118"/>
      <c r="AG558" s="2"/>
      <c r="AH558" s="19"/>
      <c r="AI558" s="20"/>
      <c r="AJ558" s="21"/>
      <c r="AK558" s="21"/>
      <c r="AM558" s="19"/>
      <c r="AN558" s="18"/>
      <c r="AO558" s="2"/>
      <c r="AP558" s="18"/>
      <c r="AQ558" s="118"/>
      <c r="AS558" s="2"/>
      <c r="AT558" s="19"/>
      <c r="AU558" s="20"/>
      <c r="AV558" s="21"/>
      <c r="AW558" s="21"/>
    </row>
    <row r="559" spans="1:49" x14ac:dyDescent="0.25">
      <c r="A559" s="1">
        <f t="shared" si="224"/>
        <v>533</v>
      </c>
      <c r="B559" s="19">
        <f t="shared" si="225"/>
        <v>399.22267053840869</v>
      </c>
      <c r="C559" s="18">
        <f t="shared" si="239"/>
        <v>8.2030593612174574</v>
      </c>
      <c r="D559" s="2">
        <f t="shared" si="218"/>
        <v>0.95553415097136329</v>
      </c>
      <c r="E559" s="18">
        <f t="shared" si="226"/>
        <v>8.218984930400314</v>
      </c>
      <c r="F559" s="21">
        <f t="shared" si="219"/>
        <v>4.9696630299964255</v>
      </c>
      <c r="G559" s="1">
        <f t="shared" si="220"/>
        <v>0</v>
      </c>
      <c r="H559" s="2">
        <f t="shared" si="216"/>
        <v>927.17403197372062</v>
      </c>
      <c r="I559" s="19">
        <f t="shared" si="242"/>
        <v>401.37403981546345</v>
      </c>
      <c r="J559" s="20">
        <f t="shared" si="221"/>
        <v>0.91268752327967084</v>
      </c>
      <c r="K559" s="21">
        <f t="shared" si="222"/>
        <v>381.46175584462088</v>
      </c>
      <c r="L559" s="21">
        <f t="shared" si="217"/>
        <v>3.95962639112195</v>
      </c>
      <c r="M559" s="2">
        <f t="shared" si="227"/>
        <v>300.65639857141986</v>
      </c>
      <c r="N559" s="19">
        <f t="shared" si="240"/>
        <v>337.80812705595025</v>
      </c>
      <c r="O559" s="1">
        <f t="shared" si="228"/>
        <v>533</v>
      </c>
      <c r="P559" s="19">
        <f t="shared" si="229"/>
        <v>650.29386223185224</v>
      </c>
      <c r="Q559" s="18">
        <f t="shared" si="230"/>
        <v>9.7768610648952379</v>
      </c>
      <c r="R559" s="2">
        <f t="shared" si="231"/>
        <v>0.9649039907924124</v>
      </c>
      <c r="S559" s="18">
        <f t="shared" si="232"/>
        <v>9.7929427980751118</v>
      </c>
      <c r="T559" s="18">
        <f t="shared" si="233"/>
        <v>7.0186183389852204</v>
      </c>
      <c r="U559" s="1">
        <f t="shared" si="223"/>
        <v>0</v>
      </c>
      <c r="V559" s="2">
        <f t="shared" si="234"/>
        <v>1509.1974400945637</v>
      </c>
      <c r="W559" s="19">
        <f t="shared" si="235"/>
        <v>653.33222514916179</v>
      </c>
      <c r="X559" s="20"/>
      <c r="Y559" s="2">
        <f t="shared" si="236"/>
        <v>633.47789156094541</v>
      </c>
      <c r="Z559" s="21">
        <f t="shared" si="237"/>
        <v>5.621397255963573</v>
      </c>
      <c r="AA559" s="2">
        <f t="shared" si="238"/>
        <v>502.11955306691482</v>
      </c>
      <c r="AB559" s="19">
        <f t="shared" si="241"/>
        <v>90.591853288621209</v>
      </c>
      <c r="AC559" s="2"/>
      <c r="AD559" s="18"/>
      <c r="AE559" s="118"/>
      <c r="AG559" s="2"/>
      <c r="AH559" s="19"/>
      <c r="AI559" s="20"/>
      <c r="AJ559" s="21"/>
      <c r="AK559" s="21"/>
      <c r="AM559" s="19"/>
      <c r="AN559" s="18"/>
      <c r="AO559" s="2"/>
      <c r="AP559" s="18"/>
      <c r="AQ559" s="118"/>
      <c r="AS559" s="2"/>
      <c r="AT559" s="19"/>
      <c r="AU559" s="20"/>
      <c r="AV559" s="21"/>
      <c r="AW559" s="21"/>
    </row>
    <row r="560" spans="1:49" x14ac:dyDescent="0.25">
      <c r="A560" s="1">
        <f t="shared" si="224"/>
        <v>534</v>
      </c>
      <c r="B560" s="19">
        <f t="shared" si="225"/>
        <v>401.37403981546345</v>
      </c>
      <c r="C560" s="18">
        <f t="shared" si="239"/>
        <v>8.218984930400314</v>
      </c>
      <c r="D560" s="2">
        <f t="shared" si="218"/>
        <v>0.95563686547037874</v>
      </c>
      <c r="E560" s="18">
        <f t="shared" si="226"/>
        <v>8.234912211491487</v>
      </c>
      <c r="F560" s="21">
        <f t="shared" si="219"/>
        <v>4.9886522788536301</v>
      </c>
      <c r="G560" s="1">
        <f t="shared" si="220"/>
        <v>0</v>
      </c>
      <c r="H560" s="2">
        <f t="shared" si="216"/>
        <v>932.16268425257419</v>
      </c>
      <c r="I560" s="19">
        <f t="shared" si="242"/>
        <v>403.53362954656893</v>
      </c>
      <c r="J560" s="20">
        <f t="shared" si="221"/>
        <v>0.91262812607917632</v>
      </c>
      <c r="K560" s="21">
        <f t="shared" si="222"/>
        <v>383.62184228136448</v>
      </c>
      <c r="L560" s="21">
        <f t="shared" si="217"/>
        <v>3.9749877015150976</v>
      </c>
      <c r="M560" s="2">
        <f t="shared" si="227"/>
        <v>302.37717246817965</v>
      </c>
      <c r="N560" s="19">
        <f t="shared" si="240"/>
        <v>337.89822505249828</v>
      </c>
      <c r="O560" s="1">
        <f t="shared" si="228"/>
        <v>534</v>
      </c>
      <c r="P560" s="19">
        <f t="shared" si="229"/>
        <v>653.33222514916179</v>
      </c>
      <c r="Q560" s="18">
        <f t="shared" si="230"/>
        <v>9.7929427980751118</v>
      </c>
      <c r="R560" s="2">
        <f t="shared" si="231"/>
        <v>0.96499395126515042</v>
      </c>
      <c r="S560" s="18">
        <f t="shared" si="232"/>
        <v>9.8090260305961969</v>
      </c>
      <c r="T560" s="18">
        <f t="shared" si="233"/>
        <v>7.0413506180479812</v>
      </c>
      <c r="U560" s="1">
        <f t="shared" si="223"/>
        <v>0</v>
      </c>
      <c r="V560" s="2">
        <f t="shared" si="234"/>
        <v>1516.2387907126117</v>
      </c>
      <c r="W560" s="19">
        <f t="shared" si="235"/>
        <v>656.38042887991844</v>
      </c>
      <c r="X560" s="20"/>
      <c r="Y560" s="2">
        <f t="shared" si="236"/>
        <v>636.52679637856022</v>
      </c>
      <c r="Z560" s="21">
        <f t="shared" si="237"/>
        <v>5.6398767840684565</v>
      </c>
      <c r="AA560" s="2">
        <f t="shared" si="238"/>
        <v>504.56105816824316</v>
      </c>
      <c r="AB560" s="19">
        <f t="shared" si="241"/>
        <v>90.667470403022506</v>
      </c>
      <c r="AC560" s="2"/>
      <c r="AD560" s="18"/>
      <c r="AE560" s="118"/>
      <c r="AG560" s="2"/>
      <c r="AH560" s="19"/>
      <c r="AI560" s="20"/>
      <c r="AJ560" s="21"/>
      <c r="AK560" s="21"/>
      <c r="AM560" s="19"/>
      <c r="AN560" s="18"/>
      <c r="AO560" s="2"/>
      <c r="AP560" s="18"/>
      <c r="AQ560" s="118"/>
      <c r="AS560" s="2"/>
      <c r="AT560" s="19"/>
      <c r="AU560" s="20"/>
      <c r="AV560" s="21"/>
      <c r="AW560" s="21"/>
    </row>
    <row r="561" spans="1:49" x14ac:dyDescent="0.25">
      <c r="A561" s="1">
        <f t="shared" si="224"/>
        <v>535</v>
      </c>
      <c r="B561" s="19">
        <f t="shared" si="225"/>
        <v>403.53362954656893</v>
      </c>
      <c r="C561" s="18">
        <f t="shared" si="239"/>
        <v>8.234912211491487</v>
      </c>
      <c r="D561" s="2">
        <f t="shared" si="218"/>
        <v>0.95573943123489224</v>
      </c>
      <c r="E561" s="18">
        <f t="shared" si="226"/>
        <v>8.2508412020120687</v>
      </c>
      <c r="F561" s="21">
        <f t="shared" si="219"/>
        <v>5.0076792941421813</v>
      </c>
      <c r="G561" s="1">
        <f t="shared" si="220"/>
        <v>0</v>
      </c>
      <c r="H561" s="2">
        <f t="shared" si="216"/>
        <v>937.17036354671654</v>
      </c>
      <c r="I561" s="19">
        <f t="shared" si="242"/>
        <v>405.70145608082964</v>
      </c>
      <c r="J561" s="20">
        <f t="shared" si="221"/>
        <v>0.91256876912912221</v>
      </c>
      <c r="K561" s="21">
        <f t="shared" si="222"/>
        <v>385.79016741572804</v>
      </c>
      <c r="L561" s="21">
        <f t="shared" si="217"/>
        <v>3.9903804047079348</v>
      </c>
      <c r="M561" s="2">
        <f t="shared" si="227"/>
        <v>304.1046098728151</v>
      </c>
      <c r="N561" s="19">
        <f t="shared" si="240"/>
        <v>337.98814878900805</v>
      </c>
      <c r="O561" s="1">
        <f t="shared" si="228"/>
        <v>535</v>
      </c>
      <c r="P561" s="19">
        <f t="shared" si="229"/>
        <v>656.38042887991844</v>
      </c>
      <c r="Q561" s="18">
        <f t="shared" si="230"/>
        <v>9.8090260305961969</v>
      </c>
      <c r="R561" s="2">
        <f t="shared" si="231"/>
        <v>0.9650837920524129</v>
      </c>
      <c r="S561" s="18">
        <f t="shared" si="232"/>
        <v>9.8251107604637369</v>
      </c>
      <c r="T561" s="18">
        <f t="shared" si="233"/>
        <v>7.0641212882265441</v>
      </c>
      <c r="U561" s="1">
        <f t="shared" si="223"/>
        <v>0</v>
      </c>
      <c r="V561" s="2">
        <f t="shared" si="234"/>
        <v>1523.3029120008382</v>
      </c>
      <c r="W561" s="19">
        <f t="shared" si="235"/>
        <v>659.43849004365291</v>
      </c>
      <c r="X561" s="20"/>
      <c r="Y561" s="2">
        <f t="shared" si="236"/>
        <v>639.58556089636227</v>
      </c>
      <c r="Z561" s="21">
        <f t="shared" si="237"/>
        <v>5.6583883614102533</v>
      </c>
      <c r="AA561" s="2">
        <f t="shared" si="238"/>
        <v>507.01057693941641</v>
      </c>
      <c r="AB561" s="19">
        <f t="shared" si="241"/>
        <v>90.742963532878377</v>
      </c>
      <c r="AC561" s="2"/>
      <c r="AD561" s="18"/>
      <c r="AE561" s="118"/>
      <c r="AG561" s="2"/>
      <c r="AH561" s="19"/>
      <c r="AI561" s="20"/>
      <c r="AJ561" s="21"/>
      <c r="AK561" s="21"/>
      <c r="AM561" s="19"/>
      <c r="AN561" s="18"/>
      <c r="AO561" s="2"/>
      <c r="AP561" s="18"/>
      <c r="AQ561" s="118"/>
      <c r="AS561" s="2"/>
      <c r="AT561" s="19"/>
      <c r="AU561" s="20"/>
      <c r="AV561" s="21"/>
      <c r="AW561" s="21"/>
    </row>
    <row r="562" spans="1:49" x14ac:dyDescent="0.25">
      <c r="A562" s="1">
        <f t="shared" si="224"/>
        <v>536</v>
      </c>
      <c r="B562" s="19">
        <f t="shared" si="225"/>
        <v>405.70145608082964</v>
      </c>
      <c r="C562" s="18">
        <f t="shared" si="239"/>
        <v>8.2508412020120687</v>
      </c>
      <c r="D562" s="2">
        <f t="shared" si="218"/>
        <v>0.95584184860663735</v>
      </c>
      <c r="E562" s="18">
        <f t="shared" si="226"/>
        <v>8.2667718994888464</v>
      </c>
      <c r="F562" s="21">
        <f t="shared" si="219"/>
        <v>5.0267440826911454</v>
      </c>
      <c r="G562" s="1">
        <f t="shared" si="220"/>
        <v>0</v>
      </c>
      <c r="H562" s="2">
        <f t="shared" si="216"/>
        <v>942.1971076294077</v>
      </c>
      <c r="I562" s="19">
        <f t="shared" si="242"/>
        <v>407.87753577030634</v>
      </c>
      <c r="J562" s="20">
        <f t="shared" si="221"/>
        <v>0.91250945250665916</v>
      </c>
      <c r="K562" s="21">
        <f t="shared" si="222"/>
        <v>387.96674760353329</v>
      </c>
      <c r="L562" s="21">
        <f t="shared" si="217"/>
        <v>4.0058045078801268</v>
      </c>
      <c r="M562" s="2">
        <f t="shared" si="227"/>
        <v>305.83872437839091</v>
      </c>
      <c r="N562" s="19">
        <f t="shared" si="240"/>
        <v>338.07789891966223</v>
      </c>
      <c r="O562" s="1">
        <f t="shared" si="228"/>
        <v>536</v>
      </c>
      <c r="P562" s="19">
        <f t="shared" si="229"/>
        <v>659.43849004365291</v>
      </c>
      <c r="Q562" s="18">
        <f t="shared" si="230"/>
        <v>9.8251107604637369</v>
      </c>
      <c r="R562" s="2">
        <f t="shared" si="231"/>
        <v>0.96517351344858049</v>
      </c>
      <c r="S562" s="18">
        <f t="shared" si="232"/>
        <v>9.8411969856878798</v>
      </c>
      <c r="T562" s="18">
        <f t="shared" si="233"/>
        <v>7.086930355386321</v>
      </c>
      <c r="U562" s="1">
        <f t="shared" si="223"/>
        <v>0</v>
      </c>
      <c r="V562" s="2">
        <f t="shared" si="234"/>
        <v>1530.3898423562246</v>
      </c>
      <c r="W562" s="19">
        <f t="shared" si="235"/>
        <v>662.50642526243485</v>
      </c>
      <c r="X562" s="20"/>
      <c r="Y562" s="2">
        <f t="shared" si="236"/>
        <v>642.6542017402445</v>
      </c>
      <c r="Z562" s="21">
        <f t="shared" si="237"/>
        <v>5.6769319941636809</v>
      </c>
      <c r="AA562" s="2">
        <f t="shared" si="238"/>
        <v>509.46812325723619</v>
      </c>
      <c r="AB562" s="19">
        <f t="shared" si="241"/>
        <v>90.818333072616014</v>
      </c>
      <c r="AC562" s="2"/>
      <c r="AD562" s="18"/>
      <c r="AE562" s="118"/>
      <c r="AG562" s="2"/>
      <c r="AH562" s="19"/>
      <c r="AI562" s="20"/>
      <c r="AJ562" s="21"/>
      <c r="AK562" s="21"/>
      <c r="AM562" s="19"/>
      <c r="AN562" s="18"/>
      <c r="AO562" s="2"/>
      <c r="AP562" s="18"/>
      <c r="AQ562" s="118"/>
      <c r="AS562" s="2"/>
      <c r="AT562" s="19"/>
      <c r="AU562" s="20"/>
      <c r="AV562" s="21"/>
      <c r="AW562" s="21"/>
    </row>
    <row r="563" spans="1:49" x14ac:dyDescent="0.25">
      <c r="A563" s="1">
        <f t="shared" si="224"/>
        <v>537</v>
      </c>
      <c r="B563" s="19">
        <f t="shared" si="225"/>
        <v>407.87753577030634</v>
      </c>
      <c r="C563" s="18">
        <f t="shared" si="239"/>
        <v>8.2667718994888464</v>
      </c>
      <c r="D563" s="2">
        <f t="shared" si="218"/>
        <v>0.95594411792703193</v>
      </c>
      <c r="E563" s="18">
        <f t="shared" si="226"/>
        <v>8.2827043014542969</v>
      </c>
      <c r="F563" s="21">
        <f t="shared" si="219"/>
        <v>5.0458466513181408</v>
      </c>
      <c r="G563" s="1">
        <f t="shared" si="220"/>
        <v>0</v>
      </c>
      <c r="H563" s="2">
        <f t="shared" si="216"/>
        <v>947.24295428072583</v>
      </c>
      <c r="I563" s="19">
        <f t="shared" si="242"/>
        <v>410.06188497001119</v>
      </c>
      <c r="J563" s="20">
        <f t="shared" si="221"/>
        <v>0.91245017628759595</v>
      </c>
      <c r="K563" s="21">
        <f t="shared" si="222"/>
        <v>390.15159920355404</v>
      </c>
      <c r="L563" s="21">
        <f t="shared" si="217"/>
        <v>4.021260018199408</v>
      </c>
      <c r="M563" s="2">
        <f t="shared" si="227"/>
        <v>307.57952958107461</v>
      </c>
      <c r="N563" s="19">
        <f t="shared" si="240"/>
        <v>338.16747609499629</v>
      </c>
      <c r="O563" s="1">
        <f t="shared" si="228"/>
        <v>537</v>
      </c>
      <c r="P563" s="19">
        <f t="shared" si="229"/>
        <v>662.50642526243485</v>
      </c>
      <c r="Q563" s="18">
        <f t="shared" si="230"/>
        <v>9.8411969856878798</v>
      </c>
      <c r="R563" s="2">
        <f t="shared" si="231"/>
        <v>0.96526311574716805</v>
      </c>
      <c r="S563" s="18">
        <f t="shared" si="232"/>
        <v>9.857284704283666</v>
      </c>
      <c r="T563" s="18">
        <f t="shared" si="233"/>
        <v>7.1097778253845743</v>
      </c>
      <c r="U563" s="1">
        <f t="shared" si="223"/>
        <v>0</v>
      </c>
      <c r="V563" s="2">
        <f t="shared" si="234"/>
        <v>1537.4996201816091</v>
      </c>
      <c r="W563" s="19">
        <f t="shared" si="235"/>
        <v>665.58425116086971</v>
      </c>
      <c r="X563" s="20"/>
      <c r="Y563" s="2">
        <f t="shared" si="236"/>
        <v>645.73273553863601</v>
      </c>
      <c r="Z563" s="21">
        <f t="shared" si="237"/>
        <v>5.6955076884948852</v>
      </c>
      <c r="AA563" s="2">
        <f t="shared" si="238"/>
        <v>511.93371100117338</v>
      </c>
      <c r="AB563" s="19">
        <f t="shared" si="241"/>
        <v>90.893579414800229</v>
      </c>
      <c r="AC563" s="2"/>
      <c r="AD563" s="18"/>
      <c r="AE563" s="118"/>
      <c r="AG563" s="2"/>
      <c r="AH563" s="19"/>
      <c r="AI563" s="20"/>
      <c r="AJ563" s="21"/>
      <c r="AK563" s="21"/>
      <c r="AM563" s="19"/>
      <c r="AN563" s="18"/>
      <c r="AO563" s="2"/>
      <c r="AP563" s="18"/>
      <c r="AQ563" s="118"/>
      <c r="AS563" s="2"/>
      <c r="AT563" s="19"/>
      <c r="AU563" s="20"/>
      <c r="AV563" s="21"/>
      <c r="AW563" s="21"/>
    </row>
    <row r="564" spans="1:49" x14ac:dyDescent="0.25">
      <c r="A564" s="1">
        <f t="shared" si="224"/>
        <v>538</v>
      </c>
      <c r="B564" s="19">
        <f t="shared" si="225"/>
        <v>410.06188497001119</v>
      </c>
      <c r="C564" s="18">
        <f t="shared" si="239"/>
        <v>8.2827043014542969</v>
      </c>
      <c r="D564" s="2">
        <f t="shared" si="218"/>
        <v>0.95604623953716461</v>
      </c>
      <c r="E564" s="18">
        <f t="shared" si="226"/>
        <v>8.2986384054465834</v>
      </c>
      <c r="F564" s="21">
        <f t="shared" si="219"/>
        <v>5.0649870068293925</v>
      </c>
      <c r="G564" s="1">
        <f t="shared" si="220"/>
        <v>0</v>
      </c>
      <c r="H564" s="2">
        <f t="shared" si="216"/>
        <v>952.3079412875552</v>
      </c>
      <c r="I564" s="19">
        <f t="shared" si="242"/>
        <v>412.25452003790269</v>
      </c>
      <c r="J564" s="20">
        <f t="shared" si="221"/>
        <v>0.91239094054641379</v>
      </c>
      <c r="K564" s="21">
        <f t="shared" si="222"/>
        <v>392.34473857751118</v>
      </c>
      <c r="L564" s="21">
        <f t="shared" si="217"/>
        <v>4.0367469428216385</v>
      </c>
      <c r="M564" s="2">
        <f t="shared" si="227"/>
        <v>309.32703908013161</v>
      </c>
      <c r="N564" s="19">
        <f t="shared" si="240"/>
        <v>338.25688096192573</v>
      </c>
      <c r="O564" s="1">
        <f t="shared" si="228"/>
        <v>538</v>
      </c>
      <c r="P564" s="19">
        <f t="shared" si="229"/>
        <v>665.58425116086971</v>
      </c>
      <c r="Q564" s="18">
        <f t="shared" si="230"/>
        <v>9.857284704283666</v>
      </c>
      <c r="R564" s="2">
        <f t="shared" si="231"/>
        <v>0.9653525992408265</v>
      </c>
      <c r="S564" s="18">
        <f t="shared" si="232"/>
        <v>9.8733739142710135</v>
      </c>
      <c r="T564" s="18">
        <f t="shared" si="233"/>
        <v>7.1326637040704366</v>
      </c>
      <c r="U564" s="1">
        <f t="shared" si="223"/>
        <v>0</v>
      </c>
      <c r="V564" s="2">
        <f t="shared" si="234"/>
        <v>1544.6322838856795</v>
      </c>
      <c r="W564" s="19">
        <f t="shared" si="235"/>
        <v>668.67198436609499</v>
      </c>
      <c r="X564" s="20"/>
      <c r="Y564" s="2">
        <f t="shared" si="236"/>
        <v>648.82117892249846</v>
      </c>
      <c r="Z564" s="21">
        <f t="shared" si="237"/>
        <v>5.7141154505614713</v>
      </c>
      <c r="AA564" s="2">
        <f t="shared" si="238"/>
        <v>514.40735405336454</v>
      </c>
      <c r="AB564" s="19">
        <f t="shared" si="241"/>
        <v>90.968702950145172</v>
      </c>
      <c r="AC564" s="2"/>
      <c r="AD564" s="18"/>
      <c r="AE564" s="118"/>
      <c r="AG564" s="2"/>
      <c r="AH564" s="19"/>
      <c r="AI564" s="20"/>
      <c r="AJ564" s="21"/>
      <c r="AK564" s="21"/>
      <c r="AM564" s="19"/>
      <c r="AN564" s="18"/>
      <c r="AO564" s="2"/>
      <c r="AP564" s="18"/>
      <c r="AQ564" s="118"/>
      <c r="AS564" s="2"/>
      <c r="AT564" s="19"/>
      <c r="AU564" s="20"/>
      <c r="AV564" s="21"/>
      <c r="AW564" s="21"/>
    </row>
    <row r="565" spans="1:49" x14ac:dyDescent="0.25">
      <c r="A565" s="1">
        <f t="shared" si="224"/>
        <v>539</v>
      </c>
      <c r="B565" s="19">
        <f t="shared" si="225"/>
        <v>412.25452003790269</v>
      </c>
      <c r="C565" s="18">
        <f t="shared" si="239"/>
        <v>8.2986384054465834</v>
      </c>
      <c r="D565" s="2">
        <f t="shared" si="218"/>
        <v>0.95614821377778447</v>
      </c>
      <c r="E565" s="18">
        <f t="shared" si="226"/>
        <v>8.314574209009546</v>
      </c>
      <c r="F565" s="21">
        <f t="shared" si="219"/>
        <v>5.0841651560197718</v>
      </c>
      <c r="G565" s="1">
        <f t="shared" si="220"/>
        <v>0</v>
      </c>
      <c r="H565" s="2">
        <f t="shared" si="216"/>
        <v>957.39210644357502</v>
      </c>
      <c r="I565" s="19">
        <f t="shared" si="242"/>
        <v>414.45545733488098</v>
      </c>
      <c r="J565" s="20">
        <f t="shared" si="221"/>
        <v>0.91233174535628125</v>
      </c>
      <c r="K565" s="21">
        <f t="shared" si="222"/>
        <v>394.54618209006776</v>
      </c>
      <c r="L565" s="21">
        <f t="shared" si="217"/>
        <v>4.0522652888908368</v>
      </c>
      <c r="M565" s="2">
        <f t="shared" si="227"/>
        <v>311.08126647791983</v>
      </c>
      <c r="N565" s="19">
        <f t="shared" si="240"/>
        <v>338.3461141637726</v>
      </c>
      <c r="O565" s="1">
        <f t="shared" si="228"/>
        <v>539</v>
      </c>
      <c r="P565" s="19">
        <f t="shared" si="229"/>
        <v>668.67198436609499</v>
      </c>
      <c r="Q565" s="18">
        <f t="shared" si="230"/>
        <v>9.8733739142710135</v>
      </c>
      <c r="R565" s="2">
        <f t="shared" si="231"/>
        <v>0.96544196422134376</v>
      </c>
      <c r="S565" s="18">
        <f t="shared" si="232"/>
        <v>9.8894646136747024</v>
      </c>
      <c r="T565" s="18">
        <f t="shared" si="233"/>
        <v>7.1555879972849343</v>
      </c>
      <c r="U565" s="1">
        <f t="shared" si="223"/>
        <v>0</v>
      </c>
      <c r="V565" s="2">
        <f t="shared" si="234"/>
        <v>1551.7878718829645</v>
      </c>
      <c r="W565" s="19">
        <f t="shared" si="235"/>
        <v>671.76964150777678</v>
      </c>
      <c r="X565" s="20"/>
      <c r="Y565" s="2">
        <f t="shared" si="236"/>
        <v>651.91954852532285</v>
      </c>
      <c r="Z565" s="21">
        <f t="shared" si="237"/>
        <v>5.7327552865125195</v>
      </c>
      <c r="AA565" s="2">
        <f t="shared" si="238"/>
        <v>516.8890662986081</v>
      </c>
      <c r="AB565" s="19">
        <f t="shared" si="241"/>
        <v>91.043704067525837</v>
      </c>
      <c r="AC565" s="2"/>
      <c r="AD565" s="18"/>
      <c r="AE565" s="118"/>
      <c r="AG565" s="2"/>
      <c r="AH565" s="19"/>
      <c r="AI565" s="20"/>
      <c r="AJ565" s="21"/>
      <c r="AK565" s="21"/>
      <c r="AM565" s="19"/>
      <c r="AN565" s="18"/>
      <c r="AO565" s="2"/>
      <c r="AP565" s="18"/>
      <c r="AQ565" s="118"/>
      <c r="AS565" s="2"/>
      <c r="AT565" s="19"/>
      <c r="AU565" s="20"/>
      <c r="AV565" s="21"/>
      <c r="AW565" s="21"/>
    </row>
    <row r="566" spans="1:49" x14ac:dyDescent="0.25">
      <c r="A566" s="1">
        <f t="shared" si="224"/>
        <v>540</v>
      </c>
      <c r="B566" s="19">
        <f t="shared" si="225"/>
        <v>414.45545733488098</v>
      </c>
      <c r="C566" s="18">
        <f t="shared" si="239"/>
        <v>8.314574209009546</v>
      </c>
      <c r="D566" s="2">
        <f t="shared" si="218"/>
        <v>0.95625004098928901</v>
      </c>
      <c r="E566" s="18">
        <f t="shared" si="226"/>
        <v>8.3305117096927006</v>
      </c>
      <c r="F566" s="21">
        <f t="shared" si="219"/>
        <v>5.1033811056728196</v>
      </c>
      <c r="G566" s="1">
        <f t="shared" si="220"/>
        <v>0</v>
      </c>
      <c r="H566" s="2">
        <f t="shared" si="216"/>
        <v>962.49548754924797</v>
      </c>
      <c r="I566" s="19">
        <f t="shared" si="242"/>
        <v>416.66471322478264</v>
      </c>
      <c r="J566" s="20">
        <f t="shared" si="221"/>
        <v>0.91227259078906475</v>
      </c>
      <c r="K566" s="21">
        <f t="shared" si="222"/>
        <v>396.75594610882411</v>
      </c>
      <c r="L566" s="21">
        <f t="shared" si="217"/>
        <v>4.0678150635392161</v>
      </c>
      <c r="M566" s="2">
        <f t="shared" si="227"/>
        <v>312.84222537988484</v>
      </c>
      <c r="N566" s="19">
        <f t="shared" si="240"/>
        <v>338.43517634029212</v>
      </c>
      <c r="O566" s="1">
        <f t="shared" si="228"/>
        <v>540</v>
      </c>
      <c r="P566" s="19">
        <f t="shared" si="229"/>
        <v>671.76964150777678</v>
      </c>
      <c r="Q566" s="18">
        <f t="shared" si="230"/>
        <v>9.8894646136747024</v>
      </c>
      <c r="R566" s="2">
        <f t="shared" si="231"/>
        <v>0.96553121097964567</v>
      </c>
      <c r="S566" s="18">
        <f t="shared" si="232"/>
        <v>9.9055568005243639</v>
      </c>
      <c r="T566" s="18">
        <f t="shared" si="233"/>
        <v>7.1785507108610211</v>
      </c>
      <c r="U566" s="1">
        <f t="shared" si="223"/>
        <v>0</v>
      </c>
      <c r="V566" s="2">
        <f t="shared" si="234"/>
        <v>1558.9664225938254</v>
      </c>
      <c r="W566" s="19">
        <f t="shared" si="235"/>
        <v>674.87723921810618</v>
      </c>
      <c r="X566" s="20"/>
      <c r="Y566" s="2">
        <f t="shared" si="236"/>
        <v>655.02786098312572</v>
      </c>
      <c r="Z566" s="21">
        <f t="shared" si="237"/>
        <v>5.751427202488629</v>
      </c>
      <c r="AA566" s="2">
        <f t="shared" si="238"/>
        <v>519.37886162436075</v>
      </c>
      <c r="AB566" s="19">
        <f t="shared" si="241"/>
        <v>91.118583153989576</v>
      </c>
      <c r="AC566" s="2"/>
      <c r="AD566" s="18"/>
      <c r="AE566" s="118"/>
      <c r="AG566" s="2"/>
      <c r="AH566" s="19"/>
      <c r="AI566" s="20"/>
      <c r="AJ566" s="21"/>
      <c r="AK566" s="21"/>
      <c r="AM566" s="19"/>
      <c r="AN566" s="18"/>
      <c r="AO566" s="2"/>
      <c r="AP566" s="18"/>
      <c r="AQ566" s="118"/>
      <c r="AS566" s="2"/>
      <c r="AT566" s="19"/>
      <c r="AU566" s="20"/>
      <c r="AV566" s="21"/>
      <c r="AW566" s="21"/>
    </row>
    <row r="567" spans="1:49" x14ac:dyDescent="0.25">
      <c r="A567" s="1">
        <f t="shared" si="224"/>
        <v>541</v>
      </c>
      <c r="B567" s="19">
        <f t="shared" si="225"/>
        <v>416.66471322478264</v>
      </c>
      <c r="C567" s="18">
        <f t="shared" si="239"/>
        <v>8.3305117096927006</v>
      </c>
      <c r="D567" s="2">
        <f t="shared" si="218"/>
        <v>0.95635172151171299</v>
      </c>
      <c r="E567" s="18">
        <f t="shared" si="226"/>
        <v>8.3464509050512294</v>
      </c>
      <c r="F567" s="21">
        <f t="shared" si="219"/>
        <v>5.1226348625608233</v>
      </c>
      <c r="G567" s="1">
        <f t="shared" si="220"/>
        <v>0</v>
      </c>
      <c r="H567" s="2">
        <f t="shared" si="216"/>
        <v>967.61812241180883</v>
      </c>
      <c r="I567" s="19">
        <f t="shared" si="242"/>
        <v>418.88230407437612</v>
      </c>
      <c r="J567" s="20">
        <f t="shared" si="221"/>
        <v>0.91221347691534393</v>
      </c>
      <c r="K567" s="21">
        <f t="shared" si="222"/>
        <v>398.97404700431292</v>
      </c>
      <c r="L567" s="21">
        <f t="shared" si="217"/>
        <v>4.0833962738872502</v>
      </c>
      <c r="M567" s="2">
        <f t="shared" si="227"/>
        <v>314.60992939455463</v>
      </c>
      <c r="N567" s="19">
        <f t="shared" si="240"/>
        <v>338.52406812769885</v>
      </c>
      <c r="O567" s="1">
        <f t="shared" si="228"/>
        <v>541</v>
      </c>
      <c r="P567" s="19">
        <f t="shared" si="229"/>
        <v>674.87723921810618</v>
      </c>
      <c r="Q567" s="18">
        <f t="shared" si="230"/>
        <v>9.9055568005243639</v>
      </c>
      <c r="R567" s="2">
        <f t="shared" si="231"/>
        <v>0.9656203398057982</v>
      </c>
      <c r="S567" s="18">
        <f t="shared" si="232"/>
        <v>9.921650472854461</v>
      </c>
      <c r="T567" s="18">
        <f t="shared" si="233"/>
        <v>7.2015518506235985</v>
      </c>
      <c r="U567" s="1">
        <f t="shared" si="223"/>
        <v>0</v>
      </c>
      <c r="V567" s="2">
        <f t="shared" si="234"/>
        <v>1566.1679744444491</v>
      </c>
      <c r="W567" s="19">
        <f t="shared" si="235"/>
        <v>677.99479413179608</v>
      </c>
      <c r="X567" s="20"/>
      <c r="Y567" s="2">
        <f t="shared" si="236"/>
        <v>658.14613293444575</v>
      </c>
      <c r="Z567" s="21">
        <f t="shared" si="237"/>
        <v>5.7701312046219266</v>
      </c>
      <c r="AA567" s="2">
        <f t="shared" si="238"/>
        <v>521.8767539207339</v>
      </c>
      <c r="AB567" s="19">
        <f t="shared" si="241"/>
        <v>91.193340594767477</v>
      </c>
      <c r="AC567" s="2"/>
      <c r="AD567" s="18"/>
      <c r="AE567" s="118"/>
      <c r="AG567" s="2"/>
      <c r="AH567" s="19"/>
      <c r="AI567" s="20"/>
      <c r="AJ567" s="21"/>
      <c r="AK567" s="21"/>
      <c r="AM567" s="19"/>
      <c r="AN567" s="18"/>
      <c r="AO567" s="2"/>
      <c r="AP567" s="18"/>
      <c r="AQ567" s="118"/>
      <c r="AS567" s="2"/>
      <c r="AT567" s="19"/>
      <c r="AU567" s="20"/>
      <c r="AV567" s="21"/>
      <c r="AW567" s="21"/>
    </row>
    <row r="568" spans="1:49" x14ac:dyDescent="0.25">
      <c r="A568" s="1">
        <f t="shared" si="224"/>
        <v>542</v>
      </c>
      <c r="B568" s="19">
        <f t="shared" si="225"/>
        <v>418.88230407437612</v>
      </c>
      <c r="C568" s="18">
        <f t="shared" si="239"/>
        <v>8.3464509050512294</v>
      </c>
      <c r="D568" s="2">
        <f t="shared" si="218"/>
        <v>0.95645325568471706</v>
      </c>
      <c r="E568" s="18">
        <f t="shared" si="226"/>
        <v>8.3623917926459743</v>
      </c>
      <c r="F568" s="21">
        <f t="shared" si="219"/>
        <v>5.1419264334448238</v>
      </c>
      <c r="G568" s="1">
        <f t="shared" si="220"/>
        <v>0</v>
      </c>
      <c r="H568" s="2">
        <f t="shared" si="216"/>
        <v>972.76004884525366</v>
      </c>
      <c r="I568" s="19">
        <f t="shared" si="242"/>
        <v>421.10824625335658</v>
      </c>
      <c r="J568" s="20">
        <f t="shared" si="221"/>
        <v>0.91215440380442447</v>
      </c>
      <c r="K568" s="21">
        <f t="shared" si="222"/>
        <v>401.20050114999452</v>
      </c>
      <c r="L568" s="21">
        <f t="shared" si="217"/>
        <v>4.0990089270436867</v>
      </c>
      <c r="M568" s="2">
        <f t="shared" si="227"/>
        <v>316.38439213353456</v>
      </c>
      <c r="N568" s="19">
        <f t="shared" si="240"/>
        <v>338.6127901586928</v>
      </c>
      <c r="O568" s="1">
        <f t="shared" si="228"/>
        <v>542</v>
      </c>
      <c r="P568" s="19">
        <f t="shared" si="229"/>
        <v>677.99479413179608</v>
      </c>
      <c r="Q568" s="18">
        <f t="shared" si="230"/>
        <v>9.921650472854461</v>
      </c>
      <c r="R568" s="2">
        <f t="shared" si="231"/>
        <v>0.96570935098900768</v>
      </c>
      <c r="S568" s="18">
        <f t="shared" si="232"/>
        <v>9.9377456287042776</v>
      </c>
      <c r="T568" s="18">
        <f t="shared" si="233"/>
        <v>7.2245914223895227</v>
      </c>
      <c r="U568" s="1">
        <f t="shared" si="223"/>
        <v>0</v>
      </c>
      <c r="V568" s="2">
        <f t="shared" si="234"/>
        <v>1573.3925658668386</v>
      </c>
      <c r="W568" s="19">
        <f t="shared" si="235"/>
        <v>681.12232288607731</v>
      </c>
      <c r="X568" s="20"/>
      <c r="Y568" s="2">
        <f t="shared" si="236"/>
        <v>661.27438102034046</v>
      </c>
      <c r="Z568" s="21">
        <f t="shared" si="237"/>
        <v>5.7888672990360899</v>
      </c>
      <c r="AA568" s="2">
        <f t="shared" si="238"/>
        <v>524.3827570804898</v>
      </c>
      <c r="AB568" s="19">
        <f t="shared" si="241"/>
        <v>91.267976773285696</v>
      </c>
      <c r="AC568" s="2"/>
      <c r="AD568" s="18"/>
      <c r="AE568" s="118"/>
      <c r="AG568" s="2"/>
      <c r="AH568" s="19"/>
      <c r="AI568" s="20"/>
      <c r="AJ568" s="21"/>
      <c r="AK568" s="21"/>
      <c r="AM568" s="19"/>
      <c r="AN568" s="18"/>
      <c r="AO568" s="2"/>
      <c r="AP568" s="18"/>
      <c r="AQ568" s="118"/>
      <c r="AS568" s="2"/>
      <c r="AT568" s="19"/>
      <c r="AU568" s="20"/>
      <c r="AV568" s="21"/>
      <c r="AW568" s="21"/>
    </row>
    <row r="569" spans="1:49" x14ac:dyDescent="0.25">
      <c r="A569" s="1">
        <f t="shared" si="224"/>
        <v>543</v>
      </c>
      <c r="B569" s="19">
        <f t="shared" si="225"/>
        <v>421.10824625335658</v>
      </c>
      <c r="C569" s="18">
        <f t="shared" si="239"/>
        <v>8.3623917926459743</v>
      </c>
      <c r="D569" s="2">
        <f t="shared" si="218"/>
        <v>0.9565546438475776</v>
      </c>
      <c r="E569" s="18">
        <f t="shared" si="226"/>
        <v>8.3783343700434347</v>
      </c>
      <c r="F569" s="21">
        <f t="shared" si="219"/>
        <v>5.1612558250746714</v>
      </c>
      <c r="G569" s="1">
        <f t="shared" si="220"/>
        <v>0</v>
      </c>
      <c r="H569" s="2">
        <f t="shared" si="216"/>
        <v>977.92130467032848</v>
      </c>
      <c r="I569" s="19">
        <f t="shared" si="242"/>
        <v>423.34255613434135</v>
      </c>
      <c r="J569" s="20">
        <f t="shared" si="221"/>
        <v>0.91209537152435038</v>
      </c>
      <c r="K569" s="21">
        <f t="shared" si="222"/>
        <v>403.43532492225188</v>
      </c>
      <c r="L569" s="21">
        <f t="shared" si="217"/>
        <v>4.1146530301056083</v>
      </c>
      <c r="M569" s="2">
        <f t="shared" si="227"/>
        <v>318.16562721150234</v>
      </c>
      <c r="N569" s="19">
        <f t="shared" si="240"/>
        <v>338.70134306248508</v>
      </c>
      <c r="O569" s="1">
        <f t="shared" si="228"/>
        <v>543</v>
      </c>
      <c r="P569" s="19">
        <f t="shared" si="229"/>
        <v>681.12232288607731</v>
      </c>
      <c r="Q569" s="18">
        <f t="shared" si="230"/>
        <v>9.9377456287042776</v>
      </c>
      <c r="R569" s="2">
        <f t="shared" si="231"/>
        <v>0.96579824481762322</v>
      </c>
      <c r="S569" s="18">
        <f t="shared" si="232"/>
        <v>9.9538422661179045</v>
      </c>
      <c r="T569" s="18">
        <f t="shared" si="233"/>
        <v>7.2476694319676627</v>
      </c>
      <c r="U569" s="1">
        <f t="shared" si="223"/>
        <v>0</v>
      </c>
      <c r="V569" s="2">
        <f t="shared" si="234"/>
        <v>1580.6402352988061</v>
      </c>
      <c r="W569" s="19">
        <f t="shared" si="235"/>
        <v>684.25984212069534</v>
      </c>
      <c r="X569" s="20"/>
      <c r="Y569" s="2">
        <f t="shared" si="236"/>
        <v>664.41262188438247</v>
      </c>
      <c r="Z569" s="21">
        <f t="shared" si="237"/>
        <v>5.8076354918463959</v>
      </c>
      <c r="AA569" s="2">
        <f t="shared" si="238"/>
        <v>526.89688499903798</v>
      </c>
      <c r="AB569" s="19">
        <f t="shared" si="241"/>
        <v>91.34249207117665</v>
      </c>
      <c r="AC569" s="2"/>
      <c r="AD569" s="18"/>
      <c r="AE569" s="118"/>
      <c r="AG569" s="2"/>
      <c r="AH569" s="19"/>
      <c r="AI569" s="20"/>
      <c r="AJ569" s="21"/>
      <c r="AK569" s="21"/>
      <c r="AM569" s="19"/>
      <c r="AN569" s="18"/>
      <c r="AO569" s="2"/>
      <c r="AP569" s="18"/>
      <c r="AQ569" s="118"/>
      <c r="AS569" s="2"/>
      <c r="AT569" s="19"/>
      <c r="AU569" s="20"/>
      <c r="AV569" s="21"/>
      <c r="AW569" s="21"/>
    </row>
    <row r="570" spans="1:49" x14ac:dyDescent="0.25">
      <c r="A570" s="1">
        <f t="shared" si="224"/>
        <v>544</v>
      </c>
      <c r="B570" s="19">
        <f t="shared" si="225"/>
        <v>423.34255613434135</v>
      </c>
      <c r="C570" s="18">
        <f t="shared" si="239"/>
        <v>8.3783343700434347</v>
      </c>
      <c r="D570" s="2">
        <f t="shared" si="218"/>
        <v>0.95665588633917564</v>
      </c>
      <c r="E570" s="18">
        <f t="shared" si="226"/>
        <v>8.3942786348157536</v>
      </c>
      <c r="F570" s="21">
        <f t="shared" si="219"/>
        <v>5.1806230441890726</v>
      </c>
      <c r="G570" s="1">
        <f t="shared" si="220"/>
        <v>0</v>
      </c>
      <c r="H570" s="2">
        <f t="shared" si="216"/>
        <v>983.10192771451761</v>
      </c>
      <c r="I570" s="19">
        <f t="shared" si="242"/>
        <v>425.58525009286478</v>
      </c>
      <c r="J570" s="20">
        <f t="shared" si="221"/>
        <v>0.9120363801419179</v>
      </c>
      <c r="K570" s="21">
        <f t="shared" si="222"/>
        <v>405.67853470038574</v>
      </c>
      <c r="L570" s="21">
        <f t="shared" si="217"/>
        <v>4.1303285901584683</v>
      </c>
      <c r="M570" s="2">
        <f t="shared" si="227"/>
        <v>319.95364824620299</v>
      </c>
      <c r="N570" s="19">
        <f t="shared" si="240"/>
        <v>338.78972746482344</v>
      </c>
      <c r="O570" s="1">
        <f t="shared" si="228"/>
        <v>544</v>
      </c>
      <c r="P570" s="19">
        <f t="shared" si="229"/>
        <v>684.25984212069534</v>
      </c>
      <c r="Q570" s="18">
        <f t="shared" si="230"/>
        <v>9.9538422661179045</v>
      </c>
      <c r="R570" s="2">
        <f t="shared" si="231"/>
        <v>0.96588702157913686</v>
      </c>
      <c r="S570" s="18">
        <f t="shared" si="232"/>
        <v>9.9699403831442233</v>
      </c>
      <c r="T570" s="18">
        <f t="shared" si="233"/>
        <v>7.2707858851589018</v>
      </c>
      <c r="U570" s="1">
        <f t="shared" si="223"/>
        <v>0</v>
      </c>
      <c r="V570" s="2">
        <f t="shared" si="234"/>
        <v>1587.9110211839652</v>
      </c>
      <c r="W570" s="19">
        <f t="shared" si="235"/>
        <v>687.40736847790697</v>
      </c>
      <c r="X570" s="20"/>
      <c r="Y570" s="2">
        <f t="shared" si="236"/>
        <v>667.56087217265633</v>
      </c>
      <c r="Z570" s="21">
        <f t="shared" si="237"/>
        <v>5.8264357891597207</v>
      </c>
      <c r="AA570" s="2">
        <f t="shared" si="238"/>
        <v>529.41915157443179</v>
      </c>
      <c r="AB570" s="19">
        <f t="shared" si="241"/>
        <v>91.416886868290121</v>
      </c>
      <c r="AC570" s="2"/>
      <c r="AD570" s="18"/>
      <c r="AE570" s="118"/>
      <c r="AG570" s="2"/>
      <c r="AH570" s="19"/>
      <c r="AI570" s="20"/>
      <c r="AJ570" s="21"/>
      <c r="AK570" s="21"/>
      <c r="AM570" s="19"/>
      <c r="AN570" s="18"/>
      <c r="AO570" s="2"/>
      <c r="AP570" s="18"/>
      <c r="AQ570" s="118"/>
      <c r="AS570" s="2"/>
      <c r="AT570" s="19"/>
      <c r="AU570" s="20"/>
      <c r="AV570" s="21"/>
      <c r="AW570" s="21"/>
    </row>
    <row r="571" spans="1:49" x14ac:dyDescent="0.25">
      <c r="A571" s="1">
        <f t="shared" si="224"/>
        <v>545</v>
      </c>
      <c r="B571" s="19">
        <f t="shared" si="225"/>
        <v>425.58525009286478</v>
      </c>
      <c r="C571" s="18">
        <f t="shared" si="239"/>
        <v>8.3942786348157536</v>
      </c>
      <c r="D571" s="2">
        <f t="shared" si="218"/>
        <v>0.95675698349798699</v>
      </c>
      <c r="E571" s="18">
        <f t="shared" si="226"/>
        <v>8.4102245845407193</v>
      </c>
      <c r="F571" s="21">
        <f t="shared" si="219"/>
        <v>5.2000280975156148</v>
      </c>
      <c r="G571" s="1">
        <f t="shared" si="220"/>
        <v>0</v>
      </c>
      <c r="H571" s="2">
        <f t="shared" si="216"/>
        <v>988.30195581203327</v>
      </c>
      <c r="I571" s="19">
        <f t="shared" si="242"/>
        <v>427.83634450737372</v>
      </c>
      <c r="J571" s="20">
        <f t="shared" si="221"/>
        <v>0.91197742972268725</v>
      </c>
      <c r="K571" s="21">
        <f t="shared" si="222"/>
        <v>407.93014686661002</v>
      </c>
      <c r="L571" s="21">
        <f t="shared" si="217"/>
        <v>4.1460356142761308</v>
      </c>
      <c r="M571" s="2">
        <f t="shared" si="227"/>
        <v>321.74846885844374</v>
      </c>
      <c r="N571" s="19">
        <f t="shared" si="240"/>
        <v>338.87794398801771</v>
      </c>
      <c r="O571" s="1">
        <f t="shared" si="228"/>
        <v>545</v>
      </c>
      <c r="P571" s="19">
        <f t="shared" si="229"/>
        <v>687.40736847790697</v>
      </c>
      <c r="Q571" s="18">
        <f t="shared" si="230"/>
        <v>9.9699403831442233</v>
      </c>
      <c r="R571" s="2">
        <f t="shared" si="231"/>
        <v>0.96597568156018632</v>
      </c>
      <c r="S571" s="18">
        <f t="shared" si="232"/>
        <v>9.9860399778368922</v>
      </c>
      <c r="T571" s="18">
        <f t="shared" si="233"/>
        <v>7.2939407877561599</v>
      </c>
      <c r="U571" s="1">
        <f t="shared" si="223"/>
        <v>0</v>
      </c>
      <c r="V571" s="2">
        <f t="shared" si="234"/>
        <v>1595.2049619717213</v>
      </c>
      <c r="W571" s="19">
        <f t="shared" si="235"/>
        <v>690.56491860247672</v>
      </c>
      <c r="X571" s="20"/>
      <c r="Y571" s="2">
        <f t="shared" si="236"/>
        <v>670.71914853375472</v>
      </c>
      <c r="Z571" s="21">
        <f t="shared" si="237"/>
        <v>5.845268197074577</v>
      </c>
      <c r="AA571" s="2">
        <f t="shared" si="238"/>
        <v>531.9495707073645</v>
      </c>
      <c r="AB571" s="19">
        <f t="shared" si="241"/>
        <v>91.491161542704361</v>
      </c>
      <c r="AC571" s="2"/>
      <c r="AD571" s="18"/>
      <c r="AE571" s="118"/>
      <c r="AG571" s="2"/>
      <c r="AH571" s="19"/>
      <c r="AI571" s="20"/>
      <c r="AJ571" s="21"/>
      <c r="AK571" s="21"/>
      <c r="AM571" s="19"/>
      <c r="AN571" s="18"/>
      <c r="AO571" s="2"/>
      <c r="AP571" s="18"/>
      <c r="AQ571" s="118"/>
      <c r="AS571" s="2"/>
      <c r="AT571" s="19"/>
      <c r="AU571" s="20"/>
      <c r="AV571" s="21"/>
      <c r="AW571" s="21"/>
    </row>
    <row r="572" spans="1:49" x14ac:dyDescent="0.25">
      <c r="A572" s="1">
        <f t="shared" si="224"/>
        <v>546</v>
      </c>
      <c r="B572" s="19">
        <f t="shared" si="225"/>
        <v>427.83634450737372</v>
      </c>
      <c r="C572" s="18">
        <f t="shared" si="239"/>
        <v>8.4102245845407193</v>
      </c>
      <c r="D572" s="2">
        <f t="shared" si="218"/>
        <v>0.956857935662072</v>
      </c>
      <c r="E572" s="18">
        <f t="shared" si="226"/>
        <v>8.4261722168017545</v>
      </c>
      <c r="F572" s="21">
        <f t="shared" si="219"/>
        <v>5.2194709917708231</v>
      </c>
      <c r="G572" s="1">
        <f t="shared" si="220"/>
        <v>0</v>
      </c>
      <c r="H572" s="2">
        <f t="shared" si="216"/>
        <v>993.52142680380405</v>
      </c>
      <c r="I572" s="19">
        <f t="shared" si="242"/>
        <v>430.0958557592225</v>
      </c>
      <c r="J572" s="20">
        <f t="shared" si="221"/>
        <v>0.91191852033099563</v>
      </c>
      <c r="K572" s="21">
        <f t="shared" si="222"/>
        <v>410.19017780604679</v>
      </c>
      <c r="L572" s="21">
        <f t="shared" si="217"/>
        <v>4.1617741095209144</v>
      </c>
      <c r="M572" s="2">
        <f t="shared" si="227"/>
        <v>323.55010267208917</v>
      </c>
      <c r="N572" s="19">
        <f t="shared" si="240"/>
        <v>338.96599325096469</v>
      </c>
      <c r="O572" s="1">
        <f t="shared" si="228"/>
        <v>546</v>
      </c>
      <c r="P572" s="19">
        <f t="shared" si="229"/>
        <v>690.56491860247672</v>
      </c>
      <c r="Q572" s="18">
        <f t="shared" si="230"/>
        <v>9.9860399778368922</v>
      </c>
      <c r="R572" s="2">
        <f t="shared" si="231"/>
        <v>0.96606422504655565</v>
      </c>
      <c r="S572" s="18">
        <f t="shared" si="232"/>
        <v>10.002141048254336</v>
      </c>
      <c r="T572" s="18">
        <f t="shared" si="233"/>
        <v>7.3171341455444372</v>
      </c>
      <c r="U572" s="1">
        <f t="shared" si="223"/>
        <v>0</v>
      </c>
      <c r="V572" s="2">
        <f t="shared" si="234"/>
        <v>1602.5220961172658</v>
      </c>
      <c r="W572" s="19">
        <f t="shared" si="235"/>
        <v>693.73250914167352</v>
      </c>
      <c r="X572" s="20"/>
      <c r="Y572" s="2">
        <f t="shared" si="236"/>
        <v>673.88746761877542</v>
      </c>
      <c r="Z572" s="21">
        <f t="shared" si="237"/>
        <v>5.8641327216811403</v>
      </c>
      <c r="AA572" s="2">
        <f t="shared" si="238"/>
        <v>534.48815630116587</v>
      </c>
      <c r="AB572" s="19">
        <f t="shared" si="241"/>
        <v>91.565316470736988</v>
      </c>
      <c r="AC572" s="2"/>
      <c r="AD572" s="18"/>
      <c r="AE572" s="118"/>
      <c r="AG572" s="2"/>
      <c r="AH572" s="19"/>
      <c r="AI572" s="20"/>
      <c r="AJ572" s="21"/>
      <c r="AK572" s="21"/>
      <c r="AM572" s="19"/>
      <c r="AN572" s="18"/>
      <c r="AO572" s="2"/>
      <c r="AP572" s="18"/>
      <c r="AQ572" s="118"/>
      <c r="AS572" s="2"/>
      <c r="AT572" s="19"/>
      <c r="AU572" s="20"/>
      <c r="AV572" s="21"/>
      <c r="AW572" s="21"/>
    </row>
    <row r="573" spans="1:49" x14ac:dyDescent="0.25">
      <c r="A573" s="1">
        <f t="shared" si="224"/>
        <v>547</v>
      </c>
      <c r="B573" s="19">
        <f t="shared" si="225"/>
        <v>430.0958557592225</v>
      </c>
      <c r="C573" s="18">
        <f t="shared" si="239"/>
        <v>8.4261722168017545</v>
      </c>
      <c r="D573" s="2">
        <f t="shared" si="218"/>
        <v>0.9569587431690656</v>
      </c>
      <c r="E573" s="18">
        <f t="shared" si="226"/>
        <v>8.4421215291879061</v>
      </c>
      <c r="F573" s="21">
        <f t="shared" si="219"/>
        <v>5.2389517336601861</v>
      </c>
      <c r="G573" s="1">
        <f t="shared" si="220"/>
        <v>0</v>
      </c>
      <c r="H573" s="2">
        <f t="shared" si="216"/>
        <v>998.76037853746425</v>
      </c>
      <c r="I573" s="19">
        <f t="shared" si="242"/>
        <v>432.3638002326685</v>
      </c>
      <c r="J573" s="20">
        <f t="shared" si="221"/>
        <v>0.91185965202996988</v>
      </c>
      <c r="K573" s="21">
        <f t="shared" si="222"/>
        <v>412.45864390672165</v>
      </c>
      <c r="L573" s="21">
        <f t="shared" si="217"/>
        <v>4.1775440829436308</v>
      </c>
      <c r="M573" s="2">
        <f t="shared" si="227"/>
        <v>325.35856331405608</v>
      </c>
      <c r="N573" s="19">
        <f t="shared" si="240"/>
        <v>339.05387586917311</v>
      </c>
      <c r="O573" s="1">
        <f t="shared" si="228"/>
        <v>547</v>
      </c>
      <c r="P573" s="19">
        <f t="shared" si="229"/>
        <v>693.73250914167352</v>
      </c>
      <c r="Q573" s="18">
        <f t="shared" si="230"/>
        <v>10.002141048254336</v>
      </c>
      <c r="R573" s="2">
        <f t="shared" si="231"/>
        <v>0.96615265232317682</v>
      </c>
      <c r="S573" s="18">
        <f t="shared" si="232"/>
        <v>10.018243592459722</v>
      </c>
      <c r="T573" s="18">
        <f t="shared" si="233"/>
        <v>7.3403659643008181</v>
      </c>
      <c r="U573" s="1">
        <f t="shared" si="223"/>
        <v>0</v>
      </c>
      <c r="V573" s="2">
        <f t="shared" si="234"/>
        <v>1609.8624620815667</v>
      </c>
      <c r="W573" s="19">
        <f t="shared" si="235"/>
        <v>696.91015674526693</v>
      </c>
      <c r="X573" s="20"/>
      <c r="Y573" s="2">
        <f t="shared" si="236"/>
        <v>677.06584608131766</v>
      </c>
      <c r="Z573" s="21">
        <f t="shared" si="237"/>
        <v>5.8830293690612683</v>
      </c>
      <c r="AA573" s="2">
        <f t="shared" si="238"/>
        <v>537.03492226179844</v>
      </c>
      <c r="AB573" s="19">
        <f t="shared" si="241"/>
        <v>91.639352026955891</v>
      </c>
      <c r="AC573" s="2"/>
      <c r="AD573" s="18"/>
      <c r="AE573" s="118"/>
      <c r="AG573" s="2"/>
      <c r="AH573" s="19"/>
      <c r="AI573" s="20"/>
      <c r="AJ573" s="21"/>
      <c r="AK573" s="21"/>
      <c r="AM573" s="19"/>
      <c r="AN573" s="18"/>
      <c r="AO573" s="2"/>
      <c r="AP573" s="18"/>
      <c r="AQ573" s="118"/>
      <c r="AS573" s="2"/>
      <c r="AT573" s="19"/>
      <c r="AU573" s="20"/>
      <c r="AV573" s="21"/>
      <c r="AW573" s="21"/>
    </row>
    <row r="574" spans="1:49" x14ac:dyDescent="0.25">
      <c r="A574" s="1">
        <f t="shared" si="224"/>
        <v>548</v>
      </c>
      <c r="B574" s="19">
        <f t="shared" si="225"/>
        <v>432.3638002326685</v>
      </c>
      <c r="C574" s="18">
        <f t="shared" si="239"/>
        <v>8.4421215291879061</v>
      </c>
      <c r="D574" s="2">
        <f t="shared" si="218"/>
        <v>0.95705940635616782</v>
      </c>
      <c r="E574" s="18">
        <f t="shared" si="226"/>
        <v>8.4580725192938431</v>
      </c>
      <c r="F574" s="21">
        <f t="shared" si="219"/>
        <v>5.2584703298782021</v>
      </c>
      <c r="G574" s="1">
        <f t="shared" si="220"/>
        <v>0</v>
      </c>
      <c r="H574" s="2">
        <f t="shared" si="216"/>
        <v>1004.0188488673424</v>
      </c>
      <c r="I574" s="19">
        <f t="shared" si="242"/>
        <v>434.64019431486685</v>
      </c>
      <c r="J574" s="20">
        <f t="shared" si="221"/>
        <v>0.9118008248815388</v>
      </c>
      <c r="K574" s="21">
        <f t="shared" si="222"/>
        <v>414.7355615595589</v>
      </c>
      <c r="L574" s="21">
        <f t="shared" si="217"/>
        <v>4.1933455415836223</v>
      </c>
      <c r="M574" s="2">
        <f t="shared" si="227"/>
        <v>327.17386441430875</v>
      </c>
      <c r="N574" s="19">
        <f t="shared" si="240"/>
        <v>339.14159245478811</v>
      </c>
      <c r="O574" s="1">
        <f t="shared" si="228"/>
        <v>548</v>
      </c>
      <c r="P574" s="19">
        <f t="shared" si="229"/>
        <v>696.91015674526693</v>
      </c>
      <c r="Q574" s="18">
        <f t="shared" si="230"/>
        <v>10.018243592459722</v>
      </c>
      <c r="R574" s="2">
        <f t="shared" si="231"/>
        <v>0.96624096367413093</v>
      </c>
      <c r="S574" s="18">
        <f t="shared" si="232"/>
        <v>10.034347608520958</v>
      </c>
      <c r="T574" s="18">
        <f t="shared" si="233"/>
        <v>7.3636362497944994</v>
      </c>
      <c r="U574" s="1">
        <f t="shared" si="223"/>
        <v>0</v>
      </c>
      <c r="V574" s="2">
        <f t="shared" si="234"/>
        <v>1617.2260983313613</v>
      </c>
      <c r="W574" s="19">
        <f t="shared" si="235"/>
        <v>700.09787806552436</v>
      </c>
      <c r="X574" s="20"/>
      <c r="Y574" s="2">
        <f t="shared" si="236"/>
        <v>680.25430057747872</v>
      </c>
      <c r="Z574" s="21">
        <f t="shared" si="237"/>
        <v>5.9019581452885248</v>
      </c>
      <c r="AA574" s="2">
        <f t="shared" si="238"/>
        <v>539.58988249785409</v>
      </c>
      <c r="AB574" s="19">
        <f t="shared" si="241"/>
        <v>91.713268584190004</v>
      </c>
      <c r="AC574" s="2"/>
      <c r="AD574" s="18"/>
      <c r="AE574" s="118"/>
      <c r="AG574" s="2"/>
      <c r="AH574" s="19"/>
      <c r="AI574" s="20"/>
      <c r="AJ574" s="21"/>
      <c r="AK574" s="21"/>
      <c r="AM574" s="19"/>
      <c r="AN574" s="18"/>
      <c r="AO574" s="2"/>
      <c r="AP574" s="18"/>
      <c r="AQ574" s="118"/>
      <c r="AS574" s="2"/>
      <c r="AT574" s="19"/>
      <c r="AU574" s="20"/>
      <c r="AV574" s="21"/>
      <c r="AW574" s="21"/>
    </row>
    <row r="575" spans="1:49" x14ac:dyDescent="0.25">
      <c r="A575" s="1">
        <f t="shared" si="224"/>
        <v>549</v>
      </c>
      <c r="B575" s="19">
        <f t="shared" si="225"/>
        <v>434.64019431486685</v>
      </c>
      <c r="C575" s="18">
        <f t="shared" si="239"/>
        <v>8.4580725192938431</v>
      </c>
      <c r="D575" s="2">
        <f t="shared" si="218"/>
        <v>0.95715992556013429</v>
      </c>
      <c r="E575" s="18">
        <f t="shared" si="226"/>
        <v>8.4740251847198458</v>
      </c>
      <c r="F575" s="21">
        <f t="shared" si="219"/>
        <v>5.2780267871084217</v>
      </c>
      <c r="G575" s="1">
        <f t="shared" si="220"/>
        <v>0</v>
      </c>
      <c r="H575" s="2">
        <f t="shared" si="216"/>
        <v>1009.2968756544508</v>
      </c>
      <c r="I575" s="19">
        <f t="shared" si="242"/>
        <v>436.92505439586614</v>
      </c>
      <c r="J575" s="20">
        <f t="shared" si="221"/>
        <v>0.91174203894644545</v>
      </c>
      <c r="K575" s="21">
        <f t="shared" si="222"/>
        <v>417.02094715837683</v>
      </c>
      <c r="L575" s="21">
        <f t="shared" si="217"/>
        <v>4.2091784924688129</v>
      </c>
      <c r="M575" s="2">
        <f t="shared" si="227"/>
        <v>328.99601960585369</v>
      </c>
      <c r="N575" s="19">
        <f t="shared" si="240"/>
        <v>339.22914361661583</v>
      </c>
      <c r="O575" s="1">
        <f t="shared" si="228"/>
        <v>549</v>
      </c>
      <c r="P575" s="19">
        <f t="shared" si="229"/>
        <v>700.09787806552436</v>
      </c>
      <c r="Q575" s="18">
        <f t="shared" si="230"/>
        <v>10.034347608520958</v>
      </c>
      <c r="R575" s="2">
        <f t="shared" si="231"/>
        <v>0.96632915938265018</v>
      </c>
      <c r="S575" s="18">
        <f t="shared" si="232"/>
        <v>10.050453094510669</v>
      </c>
      <c r="T575" s="18">
        <f t="shared" si="233"/>
        <v>7.3869450077868253</v>
      </c>
      <c r="U575" s="1">
        <f t="shared" si="223"/>
        <v>0</v>
      </c>
      <c r="V575" s="2">
        <f t="shared" si="234"/>
        <v>1624.6130433391481</v>
      </c>
      <c r="W575" s="19">
        <f t="shared" si="235"/>
        <v>703.29568975720701</v>
      </c>
      <c r="X575" s="20"/>
      <c r="Y575" s="2">
        <f t="shared" si="236"/>
        <v>683.45284776585038</v>
      </c>
      <c r="Z575" s="21">
        <f t="shared" si="237"/>
        <v>5.9209190564282119</v>
      </c>
      <c r="AA575" s="2">
        <f t="shared" si="238"/>
        <v>542.1530509205503</v>
      </c>
      <c r="AB575" s="19">
        <f t="shared" si="241"/>
        <v>91.78706651354004</v>
      </c>
      <c r="AC575" s="2"/>
      <c r="AD575" s="18"/>
      <c r="AE575" s="118"/>
      <c r="AG575" s="2"/>
      <c r="AH575" s="19"/>
      <c r="AI575" s="20"/>
      <c r="AJ575" s="21"/>
      <c r="AK575" s="21"/>
      <c r="AM575" s="19"/>
      <c r="AN575" s="18"/>
      <c r="AO575" s="2"/>
      <c r="AP575" s="18"/>
      <c r="AQ575" s="118"/>
      <c r="AS575" s="2"/>
      <c r="AT575" s="19"/>
      <c r="AU575" s="20"/>
      <c r="AV575" s="21"/>
      <c r="AW575" s="21"/>
    </row>
    <row r="576" spans="1:49" x14ac:dyDescent="0.25">
      <c r="A576" s="1">
        <f t="shared" si="224"/>
        <v>550</v>
      </c>
      <c r="B576" s="19">
        <f t="shared" si="225"/>
        <v>436.92505439586614</v>
      </c>
      <c r="C576" s="18">
        <f t="shared" si="239"/>
        <v>8.4740251847198458</v>
      </c>
      <c r="D576" s="2">
        <f t="shared" si="218"/>
        <v>0.95726030111726723</v>
      </c>
      <c r="E576" s="18">
        <f t="shared" si="226"/>
        <v>8.4899795230718009</v>
      </c>
      <c r="F576" s="21">
        <f t="shared" si="219"/>
        <v>5.2976211120234824</v>
      </c>
      <c r="G576" s="1">
        <f t="shared" si="220"/>
        <v>0</v>
      </c>
      <c r="H576" s="2">
        <f t="shared" si="216"/>
        <v>1014.5944967664743</v>
      </c>
      <c r="I576" s="19">
        <f t="shared" si="242"/>
        <v>439.21839686860358</v>
      </c>
      <c r="J576" s="20">
        <f t="shared" si="221"/>
        <v>0.91168329428425887</v>
      </c>
      <c r="K576" s="21">
        <f t="shared" si="222"/>
        <v>419.31481709988299</v>
      </c>
      <c r="L576" s="21">
        <f t="shared" si="217"/>
        <v>4.2250429426157368</v>
      </c>
      <c r="M576" s="2">
        <f t="shared" si="227"/>
        <v>330.82504252473495</v>
      </c>
      <c r="N576" s="19">
        <f t="shared" si="240"/>
        <v>339.31652996014742</v>
      </c>
      <c r="O576" s="1">
        <f t="shared" si="228"/>
        <v>550</v>
      </c>
      <c r="P576" s="19">
        <f t="shared" si="229"/>
        <v>703.29568975720701</v>
      </c>
      <c r="Q576" s="18">
        <f t="shared" si="230"/>
        <v>10.050453094510669</v>
      </c>
      <c r="R576" s="2">
        <f t="shared" si="231"/>
        <v>0.96641723973111981</v>
      </c>
      <c r="S576" s="18">
        <f t="shared" si="232"/>
        <v>10.066560048506187</v>
      </c>
      <c r="T576" s="18">
        <f t="shared" si="233"/>
        <v>7.4102922440313019</v>
      </c>
      <c r="U576" s="1">
        <f t="shared" si="223"/>
        <v>0</v>
      </c>
      <c r="V576" s="2">
        <f t="shared" si="234"/>
        <v>1632.0233355831795</v>
      </c>
      <c r="W576" s="19">
        <f t="shared" si="235"/>
        <v>706.5036084775669</v>
      </c>
      <c r="X576" s="20"/>
      <c r="Y576" s="2">
        <f t="shared" si="236"/>
        <v>686.66150430751588</v>
      </c>
      <c r="Z576" s="21">
        <f t="shared" si="237"/>
        <v>5.9399121085373903</v>
      </c>
      <c r="AA576" s="2">
        <f t="shared" si="238"/>
        <v>544.72444144372662</v>
      </c>
      <c r="AB576" s="19">
        <f t="shared" si="241"/>
        <v>91.8607461843891</v>
      </c>
      <c r="AC576" s="2"/>
      <c r="AD576" s="18"/>
      <c r="AE576" s="118"/>
      <c r="AG576" s="2"/>
      <c r="AH576" s="19"/>
      <c r="AI576" s="20"/>
      <c r="AJ576" s="21"/>
      <c r="AK576" s="21"/>
      <c r="AM576" s="19"/>
      <c r="AN576" s="18"/>
      <c r="AO576" s="2"/>
      <c r="AP576" s="18"/>
      <c r="AQ576" s="118"/>
      <c r="AS576" s="2"/>
      <c r="AT576" s="19"/>
      <c r="AU576" s="20"/>
      <c r="AV576" s="21"/>
      <c r="AW576" s="21"/>
    </row>
    <row r="577" spans="1:49" x14ac:dyDescent="0.25">
      <c r="A577" s="1">
        <f t="shared" si="224"/>
        <v>551</v>
      </c>
      <c r="B577" s="19">
        <f t="shared" si="225"/>
        <v>439.21839686860358</v>
      </c>
      <c r="C577" s="18">
        <f t="shared" si="239"/>
        <v>8.4899795230718009</v>
      </c>
      <c r="D577" s="2">
        <f t="shared" si="218"/>
        <v>0.95736053336340632</v>
      </c>
      <c r="E577" s="18">
        <f t="shared" si="226"/>
        <v>8.5059355319611907</v>
      </c>
      <c r="F577" s="21">
        <f t="shared" si="219"/>
        <v>5.3172533112851479</v>
      </c>
      <c r="G577" s="1">
        <f t="shared" si="220"/>
        <v>0</v>
      </c>
      <c r="H577" s="2">
        <f t="shared" si="216"/>
        <v>1019.9117500777595</v>
      </c>
      <c r="I577" s="19">
        <f t="shared" si="242"/>
        <v>441.52023812890019</v>
      </c>
      <c r="J577" s="20">
        <f t="shared" si="221"/>
        <v>0.91162459095338699</v>
      </c>
      <c r="K577" s="21">
        <f t="shared" si="222"/>
        <v>421.61718778366946</v>
      </c>
      <c r="L577" s="21">
        <f t="shared" si="217"/>
        <v>4.2409388990295849</v>
      </c>
      <c r="M577" s="2">
        <f t="shared" si="227"/>
        <v>332.66094681002915</v>
      </c>
      <c r="N577" s="19">
        <f t="shared" si="240"/>
        <v>339.40375208758309</v>
      </c>
      <c r="O577" s="1">
        <f t="shared" si="228"/>
        <v>551</v>
      </c>
      <c r="P577" s="19">
        <f t="shared" si="229"/>
        <v>706.5036084775669</v>
      </c>
      <c r="Q577" s="18">
        <f t="shared" si="230"/>
        <v>10.066560048506187</v>
      </c>
      <c r="R577" s="2">
        <f t="shared" si="231"/>
        <v>0.96650520500107817</v>
      </c>
      <c r="S577" s="18">
        <f t="shared" si="232"/>
        <v>10.082668468589539</v>
      </c>
      <c r="T577" s="18">
        <f t="shared" si="233"/>
        <v>7.4336779642736195</v>
      </c>
      <c r="U577" s="1">
        <f t="shared" si="223"/>
        <v>0</v>
      </c>
      <c r="V577" s="2">
        <f t="shared" si="234"/>
        <v>1639.4570135474532</v>
      </c>
      <c r="W577" s="19">
        <f t="shared" si="235"/>
        <v>709.72165088634335</v>
      </c>
      <c r="X577" s="20"/>
      <c r="Y577" s="2">
        <f t="shared" si="236"/>
        <v>689.88028686604639</v>
      </c>
      <c r="Z577" s="21">
        <f t="shared" si="237"/>
        <v>5.9589373076649021</v>
      </c>
      <c r="AA577" s="2">
        <f t="shared" si="238"/>
        <v>547.30406798384126</v>
      </c>
      <c r="AB577" s="19">
        <f t="shared" si="241"/>
        <v>91.934307964413179</v>
      </c>
      <c r="AC577" s="2"/>
      <c r="AD577" s="18"/>
      <c r="AE577" s="118"/>
      <c r="AG577" s="2"/>
      <c r="AH577" s="19"/>
      <c r="AI577" s="20"/>
      <c r="AJ577" s="21"/>
      <c r="AK577" s="21"/>
      <c r="AM577" s="19"/>
      <c r="AN577" s="18"/>
      <c r="AO577" s="2"/>
      <c r="AP577" s="18"/>
      <c r="AQ577" s="118"/>
      <c r="AS577" s="2"/>
      <c r="AT577" s="19"/>
      <c r="AU577" s="20"/>
      <c r="AV577" s="21"/>
      <c r="AW577" s="21"/>
    </row>
    <row r="578" spans="1:49" x14ac:dyDescent="0.25">
      <c r="A578" s="1">
        <f t="shared" si="224"/>
        <v>552</v>
      </c>
      <c r="B578" s="19">
        <f t="shared" si="225"/>
        <v>441.52023812890019</v>
      </c>
      <c r="C578" s="18">
        <f t="shared" si="239"/>
        <v>8.5059355319611907</v>
      </c>
      <c r="D578" s="2">
        <f t="shared" si="218"/>
        <v>0.95746062263391973</v>
      </c>
      <c r="E578" s="18">
        <f t="shared" si="226"/>
        <v>8.5218932090050892</v>
      </c>
      <c r="F578" s="21">
        <f t="shared" si="219"/>
        <v>5.336923391544353</v>
      </c>
      <c r="G578" s="1">
        <f t="shared" si="220"/>
        <v>0</v>
      </c>
      <c r="H578" s="2">
        <f t="shared" si="216"/>
        <v>1025.2486734693039</v>
      </c>
      <c r="I578" s="19">
        <f t="shared" si="242"/>
        <v>443.83059457545619</v>
      </c>
      <c r="J578" s="20">
        <f t="shared" si="221"/>
        <v>0.91156592901108735</v>
      </c>
      <c r="K578" s="21">
        <f t="shared" si="222"/>
        <v>423.92807561220815</v>
      </c>
      <c r="L578" s="21">
        <f t="shared" si="217"/>
        <v>4.2568663687042463</v>
      </c>
      <c r="M578" s="2">
        <f t="shared" si="227"/>
        <v>334.50374610384051</v>
      </c>
      <c r="N578" s="19">
        <f t="shared" si="240"/>
        <v>339.49081059785567</v>
      </c>
      <c r="O578" s="1">
        <f t="shared" si="228"/>
        <v>552</v>
      </c>
      <c r="P578" s="19">
        <f t="shared" si="229"/>
        <v>709.72165088634335</v>
      </c>
      <c r="Q578" s="18">
        <f t="shared" si="230"/>
        <v>10.082668468589539</v>
      </c>
      <c r="R578" s="2">
        <f t="shared" si="231"/>
        <v>0.96659305547321939</v>
      </c>
      <c r="S578" s="18">
        <f t="shared" si="232"/>
        <v>10.098778352847425</v>
      </c>
      <c r="T578" s="18">
        <f t="shared" si="233"/>
        <v>7.4571021742516796</v>
      </c>
      <c r="U578" s="1">
        <f t="shared" si="223"/>
        <v>0</v>
      </c>
      <c r="V578" s="2">
        <f t="shared" si="234"/>
        <v>1646.914115721705</v>
      </c>
      <c r="W578" s="19">
        <f t="shared" si="235"/>
        <v>712.94983364575978</v>
      </c>
      <c r="X578" s="20"/>
      <c r="Y578" s="2">
        <f t="shared" si="236"/>
        <v>693.10921210749734</v>
      </c>
      <c r="Z578" s="21">
        <f t="shared" si="237"/>
        <v>5.9779946598513964</v>
      </c>
      <c r="AA578" s="2">
        <f t="shared" si="238"/>
        <v>549.89194445996736</v>
      </c>
      <c r="AB578" s="19">
        <f t="shared" si="241"/>
        <v>92.007752219591694</v>
      </c>
      <c r="AC578" s="2"/>
      <c r="AD578" s="18"/>
      <c r="AE578" s="118"/>
      <c r="AG578" s="2"/>
      <c r="AH578" s="19"/>
      <c r="AI578" s="20"/>
      <c r="AJ578" s="21"/>
      <c r="AK578" s="21"/>
      <c r="AM578" s="19"/>
      <c r="AN578" s="18"/>
      <c r="AO578" s="2"/>
      <c r="AP578" s="18"/>
      <c r="AQ578" s="118"/>
      <c r="AS578" s="2"/>
      <c r="AT578" s="19"/>
      <c r="AU578" s="20"/>
      <c r="AV578" s="21"/>
      <c r="AW578" s="21"/>
    </row>
    <row r="579" spans="1:49" x14ac:dyDescent="0.25">
      <c r="A579" s="1">
        <f t="shared" si="224"/>
        <v>553</v>
      </c>
      <c r="B579" s="19">
        <f t="shared" si="225"/>
        <v>443.83059457545619</v>
      </c>
      <c r="C579" s="18">
        <f t="shared" si="239"/>
        <v>8.5218932090050892</v>
      </c>
      <c r="D579" s="2">
        <f t="shared" si="218"/>
        <v>0.95756056926369548</v>
      </c>
      <c r="E579" s="18">
        <f t="shared" si="226"/>
        <v>8.5378525518261501</v>
      </c>
      <c r="F579" s="21">
        <f t="shared" si="219"/>
        <v>5.3566313594412316</v>
      </c>
      <c r="G579" s="1">
        <f t="shared" si="220"/>
        <v>0</v>
      </c>
      <c r="H579" s="2">
        <f t="shared" si="216"/>
        <v>1030.6053048287451</v>
      </c>
      <c r="I579" s="19">
        <f t="shared" si="242"/>
        <v>446.14948260984636</v>
      </c>
      <c r="J579" s="20">
        <f t="shared" si="221"/>
        <v>0.91150730851348005</v>
      </c>
      <c r="K579" s="21">
        <f t="shared" si="222"/>
        <v>426.24749699084617</v>
      </c>
      <c r="L579" s="21">
        <f t="shared" si="217"/>
        <v>4.2728253586223373</v>
      </c>
      <c r="M579" s="2">
        <f t="shared" si="227"/>
        <v>336.35345405129607</v>
      </c>
      <c r="N579" s="19">
        <f t="shared" si="240"/>
        <v>339.57770608665442</v>
      </c>
      <c r="O579" s="1">
        <f t="shared" si="228"/>
        <v>553</v>
      </c>
      <c r="P579" s="19">
        <f t="shared" si="229"/>
        <v>712.94983364575978</v>
      </c>
      <c r="Q579" s="18">
        <f t="shared" si="230"/>
        <v>10.098778352847425</v>
      </c>
      <c r="R579" s="2">
        <f t="shared" si="231"/>
        <v>0.96668079142739549</v>
      </c>
      <c r="S579" s="18">
        <f t="shared" si="232"/>
        <v>10.114889699371215</v>
      </c>
      <c r="T579" s="18">
        <f t="shared" si="233"/>
        <v>7.4805648796956152</v>
      </c>
      <c r="U579" s="1">
        <f t="shared" si="223"/>
        <v>0</v>
      </c>
      <c r="V579" s="2">
        <f t="shared" si="234"/>
        <v>1654.3946806014008</v>
      </c>
      <c r="W579" s="19">
        <f t="shared" si="235"/>
        <v>716.18817342051977</v>
      </c>
      <c r="X579" s="20"/>
      <c r="Y579" s="2">
        <f t="shared" si="236"/>
        <v>696.34829670040551</v>
      </c>
      <c r="Z579" s="21">
        <f t="shared" si="237"/>
        <v>5.9970841711293508</v>
      </c>
      <c r="AA579" s="2">
        <f t="shared" si="238"/>
        <v>552.48808479378954</v>
      </c>
      <c r="AB579" s="19">
        <f t="shared" si="241"/>
        <v>92.081079314217803</v>
      </c>
      <c r="AC579" s="2"/>
      <c r="AD579" s="18"/>
      <c r="AE579" s="118"/>
      <c r="AG579" s="2"/>
      <c r="AH579" s="19"/>
      <c r="AI579" s="20"/>
      <c r="AJ579" s="21"/>
      <c r="AK579" s="21"/>
      <c r="AM579" s="19"/>
      <c r="AN579" s="18"/>
      <c r="AO579" s="2"/>
      <c r="AP579" s="18"/>
      <c r="AQ579" s="118"/>
      <c r="AS579" s="2"/>
      <c r="AT579" s="19"/>
      <c r="AU579" s="20"/>
      <c r="AV579" s="21"/>
      <c r="AW579" s="21"/>
    </row>
    <row r="580" spans="1:49" x14ac:dyDescent="0.25">
      <c r="A580" s="1">
        <f t="shared" si="224"/>
        <v>554</v>
      </c>
      <c r="B580" s="19">
        <f t="shared" si="225"/>
        <v>446.14948260984636</v>
      </c>
      <c r="C580" s="18">
        <f t="shared" si="239"/>
        <v>8.5378525518261501</v>
      </c>
      <c r="D580" s="2">
        <f t="shared" si="218"/>
        <v>0.95766037358713385</v>
      </c>
      <c r="E580" s="18">
        <f t="shared" si="226"/>
        <v>8.5538135580526031</v>
      </c>
      <c r="F580" s="21">
        <f t="shared" si="219"/>
        <v>5.3763772216051713</v>
      </c>
      <c r="G580" s="1">
        <f t="shared" si="220"/>
        <v>0</v>
      </c>
      <c r="H580" s="2">
        <f t="shared" si="216"/>
        <v>1035.9816820503504</v>
      </c>
      <c r="I580" s="19">
        <f t="shared" si="242"/>
        <v>448.47691863651534</v>
      </c>
      <c r="J580" s="20">
        <f t="shared" si="221"/>
        <v>0.91144872951555822</v>
      </c>
      <c r="K580" s="21">
        <f t="shared" si="222"/>
        <v>428.57546832780122</v>
      </c>
      <c r="L580" s="21">
        <f t="shared" si="217"/>
        <v>4.288815875755259</v>
      </c>
      <c r="M580" s="2">
        <f t="shared" si="227"/>
        <v>338.21008430054076</v>
      </c>
      <c r="N580" s="19">
        <f t="shared" si="240"/>
        <v>339.6644391464481</v>
      </c>
      <c r="O580" s="1">
        <f t="shared" si="228"/>
        <v>554</v>
      </c>
      <c r="P580" s="19">
        <f t="shared" si="229"/>
        <v>716.18817342051977</v>
      </c>
      <c r="Q580" s="18">
        <f t="shared" si="230"/>
        <v>10.114889699371215</v>
      </c>
      <c r="R580" s="2">
        <f t="shared" si="231"/>
        <v>0.96676841314261641</v>
      </c>
      <c r="S580" s="18">
        <f t="shared" si="232"/>
        <v>10.131002506256925</v>
      </c>
      <c r="T580" s="18">
        <f t="shared" si="233"/>
        <v>7.5040660863278319</v>
      </c>
      <c r="U580" s="1">
        <f t="shared" si="223"/>
        <v>0</v>
      </c>
      <c r="V580" s="2">
        <f t="shared" si="234"/>
        <v>1661.8987466877286</v>
      </c>
      <c r="W580" s="19">
        <f t="shared" si="235"/>
        <v>719.43668687780462</v>
      </c>
      <c r="X580" s="20"/>
      <c r="Y580" s="2">
        <f t="shared" si="236"/>
        <v>699.59755731578548</v>
      </c>
      <c r="Z580" s="21">
        <f t="shared" si="237"/>
        <v>6.0162058475231133</v>
      </c>
      <c r="AA580" s="2">
        <f t="shared" si="238"/>
        <v>555.0925029096004</v>
      </c>
      <c r="AB580" s="19">
        <f t="shared" si="241"/>
        <v>92.154289610908776</v>
      </c>
      <c r="AC580" s="2"/>
      <c r="AD580" s="18"/>
      <c r="AE580" s="118"/>
      <c r="AG580" s="2"/>
      <c r="AH580" s="19"/>
      <c r="AI580" s="20"/>
      <c r="AJ580" s="21"/>
      <c r="AK580" s="21"/>
      <c r="AM580" s="19"/>
      <c r="AN580" s="18"/>
      <c r="AO580" s="2"/>
      <c r="AP580" s="18"/>
      <c r="AQ580" s="118"/>
      <c r="AS580" s="2"/>
      <c r="AT580" s="19"/>
      <c r="AU580" s="20"/>
      <c r="AV580" s="21"/>
      <c r="AW580" s="21"/>
    </row>
    <row r="581" spans="1:49" x14ac:dyDescent="0.25">
      <c r="A581" s="1">
        <f t="shared" si="224"/>
        <v>555</v>
      </c>
      <c r="B581" s="19">
        <f t="shared" si="225"/>
        <v>448.47691863651534</v>
      </c>
      <c r="C581" s="18">
        <f t="shared" si="239"/>
        <v>8.5538135580526031</v>
      </c>
      <c r="D581" s="2">
        <f t="shared" si="218"/>
        <v>0.95776003593813785</v>
      </c>
      <c r="E581" s="18">
        <f t="shared" si="226"/>
        <v>8.5697762253182379</v>
      </c>
      <c r="F581" s="21">
        <f t="shared" si="219"/>
        <v>5.396160984654828</v>
      </c>
      <c r="G581" s="1">
        <f t="shared" si="220"/>
        <v>0</v>
      </c>
      <c r="H581" s="2">
        <f t="shared" si="216"/>
        <v>1041.3778430350053</v>
      </c>
      <c r="I581" s="19">
        <f t="shared" si="242"/>
        <v>450.81291906277283</v>
      </c>
      <c r="J581" s="20">
        <f t="shared" si="221"/>
        <v>0.91139019207120098</v>
      </c>
      <c r="K581" s="21">
        <f t="shared" si="222"/>
        <v>430.91200603415678</v>
      </c>
      <c r="L581" s="21">
        <f t="shared" si="217"/>
        <v>4.3048379270632138</v>
      </c>
      <c r="M581" s="2">
        <f t="shared" si="227"/>
        <v>340.07365050273262</v>
      </c>
      <c r="N581" s="19">
        <f t="shared" si="240"/>
        <v>339.75101036650824</v>
      </c>
      <c r="O581" s="1">
        <f t="shared" si="228"/>
        <v>555</v>
      </c>
      <c r="P581" s="19">
        <f t="shared" si="229"/>
        <v>719.43668687780462</v>
      </c>
      <c r="Q581" s="18">
        <f t="shared" si="230"/>
        <v>10.131002506256925</v>
      </c>
      <c r="R581" s="2">
        <f t="shared" si="231"/>
        <v>0.96685592089705286</v>
      </c>
      <c r="S581" s="18">
        <f t="shared" si="232"/>
        <v>10.147116771605209</v>
      </c>
      <c r="T581" s="18">
        <f t="shared" si="233"/>
        <v>7.5276057998629913</v>
      </c>
      <c r="U581" s="1">
        <f t="shared" si="223"/>
        <v>0</v>
      </c>
      <c r="V581" s="2">
        <f t="shared" si="234"/>
        <v>1669.4263524875919</v>
      </c>
      <c r="W581" s="19">
        <f t="shared" si="235"/>
        <v>722.6953906872692</v>
      </c>
      <c r="X581" s="20"/>
      <c r="Y581" s="2">
        <f t="shared" si="236"/>
        <v>702.8570106271261</v>
      </c>
      <c r="Z581" s="21">
        <f t="shared" si="237"/>
        <v>6.0353596950488901</v>
      </c>
      <c r="AA581" s="2">
        <f t="shared" si="238"/>
        <v>557.70521273429688</v>
      </c>
      <c r="AB581" s="19">
        <f t="shared" si="241"/>
        <v>92.227383470616147</v>
      </c>
      <c r="AC581" s="2"/>
      <c r="AD581" s="18"/>
      <c r="AE581" s="118"/>
      <c r="AG581" s="2"/>
      <c r="AH581" s="19"/>
      <c r="AI581" s="20"/>
      <c r="AJ581" s="21"/>
      <c r="AK581" s="21"/>
      <c r="AM581" s="19"/>
      <c r="AN581" s="18"/>
      <c r="AO581" s="2"/>
      <c r="AP581" s="18"/>
      <c r="AQ581" s="118"/>
      <c r="AS581" s="2"/>
      <c r="AT581" s="19"/>
      <c r="AU581" s="20"/>
      <c r="AV581" s="21"/>
      <c r="AW581" s="21"/>
    </row>
    <row r="582" spans="1:49" x14ac:dyDescent="0.25">
      <c r="A582" s="1">
        <f t="shared" si="224"/>
        <v>556</v>
      </c>
      <c r="B582" s="19">
        <f t="shared" si="225"/>
        <v>450.81291906277283</v>
      </c>
      <c r="C582" s="18">
        <f t="shared" si="239"/>
        <v>8.5697762253182379</v>
      </c>
      <c r="D582" s="2">
        <f t="shared" si="218"/>
        <v>0.95785955665010647</v>
      </c>
      <c r="E582" s="18">
        <f t="shared" si="226"/>
        <v>8.5857405512624059</v>
      </c>
      <c r="F582" s="21">
        <f t="shared" si="219"/>
        <v>5.415982655198194</v>
      </c>
      <c r="G582" s="1">
        <f t="shared" si="220"/>
        <v>0</v>
      </c>
      <c r="H582" s="2">
        <f t="shared" si="216"/>
        <v>1046.7938256902034</v>
      </c>
      <c r="I582" s="19">
        <f t="shared" si="242"/>
        <v>453.15750029878939</v>
      </c>
      <c r="J582" s="20">
        <f t="shared" si="221"/>
        <v>0.91133169623318411</v>
      </c>
      <c r="K582" s="21">
        <f t="shared" si="222"/>
        <v>433.25712652385761</v>
      </c>
      <c r="L582" s="21">
        <f t="shared" si="217"/>
        <v>4.320891519495266</v>
      </c>
      <c r="M582" s="2">
        <f t="shared" si="227"/>
        <v>341.94416631203791</v>
      </c>
      <c r="N582" s="19">
        <f t="shared" si="240"/>
        <v>339.8374203329318</v>
      </c>
      <c r="O582" s="1">
        <f t="shared" si="228"/>
        <v>556</v>
      </c>
      <c r="P582" s="19">
        <f t="shared" si="229"/>
        <v>722.6953906872692</v>
      </c>
      <c r="Q582" s="18">
        <f t="shared" si="230"/>
        <v>10.147116771605209</v>
      </c>
      <c r="R582" s="2">
        <f t="shared" si="231"/>
        <v>0.96694331496803798</v>
      </c>
      <c r="S582" s="18">
        <f t="shared" si="232"/>
        <v>10.163232493521342</v>
      </c>
      <c r="T582" s="18">
        <f t="shared" si="233"/>
        <v>7.5511840260080731</v>
      </c>
      <c r="U582" s="1">
        <f t="shared" si="223"/>
        <v>0</v>
      </c>
      <c r="V582" s="2">
        <f t="shared" si="234"/>
        <v>1676.9775365135999</v>
      </c>
      <c r="W582" s="19">
        <f t="shared" si="235"/>
        <v>725.96430152103892</v>
      </c>
      <c r="X582" s="20"/>
      <c r="Y582" s="2">
        <f t="shared" si="236"/>
        <v>706.12667331038756</v>
      </c>
      <c r="Z582" s="21">
        <f t="shared" si="237"/>
        <v>6.0545457197148043</v>
      </c>
      <c r="AA582" s="2">
        <f t="shared" si="238"/>
        <v>560.32622819737685</v>
      </c>
      <c r="AB582" s="19">
        <f t="shared" si="241"/>
        <v>92.300361252635923</v>
      </c>
      <c r="AC582" s="2"/>
      <c r="AD582" s="18"/>
      <c r="AE582" s="118"/>
      <c r="AG582" s="2"/>
      <c r="AH582" s="19"/>
      <c r="AI582" s="20"/>
      <c r="AJ582" s="21"/>
      <c r="AK582" s="21"/>
      <c r="AM582" s="19"/>
      <c r="AN582" s="18"/>
      <c r="AO582" s="2"/>
      <c r="AP582" s="18"/>
      <c r="AQ582" s="118"/>
      <c r="AS582" s="2"/>
      <c r="AT582" s="19"/>
      <c r="AU582" s="20"/>
      <c r="AV582" s="21"/>
      <c r="AW582" s="21"/>
    </row>
    <row r="583" spans="1:49" x14ac:dyDescent="0.25">
      <c r="A583" s="1">
        <f t="shared" si="224"/>
        <v>557</v>
      </c>
      <c r="B583" s="19">
        <f t="shared" si="225"/>
        <v>453.15750029878939</v>
      </c>
      <c r="C583" s="18">
        <f t="shared" si="239"/>
        <v>8.5857405512624059</v>
      </c>
      <c r="D583" s="2">
        <f t="shared" si="218"/>
        <v>0.95795893605592608</v>
      </c>
      <c r="E583" s="18">
        <f t="shared" si="226"/>
        <v>8.6017065335300043</v>
      </c>
      <c r="F583" s="21">
        <f t="shared" si="219"/>
        <v>5.4358422398326063</v>
      </c>
      <c r="G583" s="1">
        <f t="shared" si="220"/>
        <v>0</v>
      </c>
      <c r="H583" s="2">
        <f t="shared" si="216"/>
        <v>1052.2296679300362</v>
      </c>
      <c r="I583" s="19">
        <f t="shared" si="242"/>
        <v>455.51067875759139</v>
      </c>
      <c r="J583" s="20">
        <f t="shared" si="221"/>
        <v>0.91127324205319082</v>
      </c>
      <c r="K583" s="21">
        <f t="shared" si="222"/>
        <v>435.61084621370514</v>
      </c>
      <c r="L583" s="21">
        <f t="shared" si="217"/>
        <v>4.3369766599893635</v>
      </c>
      <c r="M583" s="2">
        <f t="shared" si="227"/>
        <v>343.82164538562637</v>
      </c>
      <c r="N583" s="19">
        <f t="shared" si="240"/>
        <v>339.92366962866419</v>
      </c>
      <c r="O583" s="1">
        <f t="shared" si="228"/>
        <v>557</v>
      </c>
      <c r="P583" s="19">
        <f t="shared" si="229"/>
        <v>725.96430152103892</v>
      </c>
      <c r="Q583" s="18">
        <f t="shared" si="230"/>
        <v>10.163232493521342</v>
      </c>
      <c r="R583" s="2">
        <f t="shared" si="231"/>
        <v>0.96703059563206817</v>
      </c>
      <c r="S583" s="18">
        <f t="shared" si="232"/>
        <v>10.17934967011521</v>
      </c>
      <c r="T583" s="18">
        <f t="shared" si="233"/>
        <v>7.5748007704623861</v>
      </c>
      <c r="U583" s="1">
        <f t="shared" si="223"/>
        <v>0</v>
      </c>
      <c r="V583" s="2">
        <f t="shared" si="234"/>
        <v>1684.5523372840623</v>
      </c>
      <c r="W583" s="19">
        <f t="shared" si="235"/>
        <v>729.24343605370666</v>
      </c>
      <c r="X583" s="20"/>
      <c r="Y583" s="2">
        <f t="shared" si="236"/>
        <v>709.40656204399772</v>
      </c>
      <c r="Z583" s="21">
        <f t="shared" si="237"/>
        <v>6.073763927520905</v>
      </c>
      <c r="AA583" s="2">
        <f t="shared" si="238"/>
        <v>562.9555632309357</v>
      </c>
      <c r="AB583" s="19">
        <f t="shared" si="241"/>
        <v>92.373223314618613</v>
      </c>
      <c r="AC583" s="2"/>
      <c r="AD583" s="18"/>
      <c r="AE583" s="118"/>
      <c r="AG583" s="2"/>
      <c r="AH583" s="19"/>
      <c r="AI583" s="20"/>
      <c r="AJ583" s="21"/>
      <c r="AK583" s="21"/>
      <c r="AM583" s="19"/>
      <c r="AN583" s="18"/>
      <c r="AO583" s="2"/>
      <c r="AP583" s="18"/>
      <c r="AQ583" s="118"/>
      <c r="AS583" s="2"/>
      <c r="AT583" s="19"/>
      <c r="AU583" s="20"/>
      <c r="AV583" s="21"/>
      <c r="AW583" s="21"/>
    </row>
    <row r="584" spans="1:49" x14ac:dyDescent="0.25">
      <c r="A584" s="1">
        <f t="shared" si="224"/>
        <v>558</v>
      </c>
      <c r="B584" s="19">
        <f t="shared" si="225"/>
        <v>455.51067875759139</v>
      </c>
      <c r="C584" s="18">
        <f t="shared" si="239"/>
        <v>8.6017065335300043</v>
      </c>
      <c r="D584" s="2">
        <f t="shared" si="218"/>
        <v>0.95805817448796315</v>
      </c>
      <c r="E584" s="18">
        <f t="shared" si="226"/>
        <v>8.6176741697714707</v>
      </c>
      <c r="F584" s="21">
        <f t="shared" si="219"/>
        <v>5.4557397451448102</v>
      </c>
      <c r="G584" s="1">
        <f t="shared" si="220"/>
        <v>0</v>
      </c>
      <c r="H584" s="2">
        <f t="shared" si="216"/>
        <v>1057.6854076751811</v>
      </c>
      <c r="I584" s="19">
        <f t="shared" si="242"/>
        <v>457.87247085505675</v>
      </c>
      <c r="J584" s="20">
        <f t="shared" si="221"/>
        <v>0.91121482958182454</v>
      </c>
      <c r="K584" s="21">
        <f t="shared" si="222"/>
        <v>437.97318152335282</v>
      </c>
      <c r="L584" s="21">
        <f t="shared" si="217"/>
        <v>4.3530933554723941</v>
      </c>
      <c r="M584" s="2">
        <f t="shared" si="227"/>
        <v>345.70610138366635</v>
      </c>
      <c r="N584" s="19">
        <f t="shared" si="240"/>
        <v>340.00975883352146</v>
      </c>
      <c r="O584" s="1">
        <f t="shared" si="228"/>
        <v>558</v>
      </c>
      <c r="P584" s="19">
        <f t="shared" si="229"/>
        <v>729.24343605370666</v>
      </c>
      <c r="Q584" s="18">
        <f t="shared" si="230"/>
        <v>10.17934967011521</v>
      </c>
      <c r="R584" s="2">
        <f t="shared" si="231"/>
        <v>0.96711776316480547</v>
      </c>
      <c r="S584" s="18">
        <f t="shared" si="232"/>
        <v>10.19546829950129</v>
      </c>
      <c r="T584" s="18">
        <f t="shared" si="233"/>
        <v>7.5984560389175773</v>
      </c>
      <c r="U584" s="1">
        <f t="shared" si="223"/>
        <v>0</v>
      </c>
      <c r="V584" s="2">
        <f t="shared" si="234"/>
        <v>1692.15079332298</v>
      </c>
      <c r="W584" s="19">
        <f t="shared" si="235"/>
        <v>732.53281096232899</v>
      </c>
      <c r="X584" s="20"/>
      <c r="Y584" s="2">
        <f t="shared" si="236"/>
        <v>712.69669350884908</v>
      </c>
      <c r="Z584" s="21">
        <f t="shared" si="237"/>
        <v>6.0930143244591912</v>
      </c>
      <c r="AA584" s="2">
        <f t="shared" si="238"/>
        <v>565.59323176966257</v>
      </c>
      <c r="AB584" s="19">
        <f t="shared" si="241"/>
        <v>92.445970012579238</v>
      </c>
      <c r="AC584" s="2"/>
      <c r="AD584" s="18"/>
      <c r="AE584" s="118"/>
      <c r="AG584" s="2"/>
      <c r="AH584" s="19"/>
      <c r="AI584" s="20"/>
      <c r="AJ584" s="21"/>
      <c r="AK584" s="21"/>
      <c r="AM584" s="19"/>
      <c r="AN584" s="18"/>
      <c r="AO584" s="2"/>
      <c r="AP584" s="18"/>
      <c r="AQ584" s="118"/>
      <c r="AS584" s="2"/>
      <c r="AT584" s="19"/>
      <c r="AU584" s="20"/>
      <c r="AV584" s="21"/>
      <c r="AW584" s="21"/>
    </row>
    <row r="585" spans="1:49" x14ac:dyDescent="0.25">
      <c r="A585" s="1">
        <f t="shared" si="224"/>
        <v>559</v>
      </c>
      <c r="B585" s="19">
        <f t="shared" si="225"/>
        <v>457.87247085505675</v>
      </c>
      <c r="C585" s="18">
        <f t="shared" si="239"/>
        <v>8.6176741697714707</v>
      </c>
      <c r="D585" s="2">
        <f t="shared" si="218"/>
        <v>0.95815727227805658</v>
      </c>
      <c r="E585" s="18">
        <f t="shared" si="226"/>
        <v>8.633643457642771</v>
      </c>
      <c r="F585" s="21">
        <f t="shared" si="219"/>
        <v>5.4756751777109729</v>
      </c>
      <c r="G585" s="1">
        <f t="shared" si="220"/>
        <v>0</v>
      </c>
      <c r="H585" s="2">
        <f t="shared" si="216"/>
        <v>1063.1610828528922</v>
      </c>
      <c r="I585" s="19">
        <f t="shared" si="242"/>
        <v>460.24289300991001</v>
      </c>
      <c r="J585" s="20">
        <f t="shared" si="221"/>
        <v>0.91115645886861829</v>
      </c>
      <c r="K585" s="21">
        <f t="shared" si="222"/>
        <v>440.3441488753017</v>
      </c>
      <c r="L585" s="21">
        <f t="shared" si="217"/>
        <v>4.3692416128602005</v>
      </c>
      <c r="M585" s="2">
        <f t="shared" si="227"/>
        <v>347.59754796932009</v>
      </c>
      <c r="N585" s="19">
        <f t="shared" si="240"/>
        <v>340.09568852421285</v>
      </c>
      <c r="O585" s="1">
        <f t="shared" si="228"/>
        <v>559</v>
      </c>
      <c r="P585" s="19">
        <f t="shared" si="229"/>
        <v>732.53281096232899</v>
      </c>
      <c r="Q585" s="18">
        <f t="shared" si="230"/>
        <v>10.19546829950129</v>
      </c>
      <c r="R585" s="2">
        <f t="shared" si="231"/>
        <v>0.96720481784107903</v>
      </c>
      <c r="S585" s="18">
        <f t="shared" si="232"/>
        <v>10.211588379798641</v>
      </c>
      <c r="T585" s="18">
        <f t="shared" si="233"/>
        <v>7.6221498370576786</v>
      </c>
      <c r="U585" s="1">
        <f t="shared" si="223"/>
        <v>0</v>
      </c>
      <c r="V585" s="2">
        <f t="shared" si="234"/>
        <v>1699.7729431600376</v>
      </c>
      <c r="W585" s="19">
        <f t="shared" si="235"/>
        <v>735.83244292642314</v>
      </c>
      <c r="X585" s="20"/>
      <c r="Y585" s="2">
        <f t="shared" si="236"/>
        <v>715.99708438829509</v>
      </c>
      <c r="Z585" s="21">
        <f t="shared" si="237"/>
        <v>6.112296916513638</v>
      </c>
      <c r="AA585" s="2">
        <f t="shared" si="238"/>
        <v>568.23924775083731</v>
      </c>
      <c r="AB585" s="19">
        <f t="shared" si="241"/>
        <v>92.51860170090724</v>
      </c>
      <c r="AC585" s="2"/>
      <c r="AD585" s="18"/>
      <c r="AE585" s="118"/>
      <c r="AG585" s="2"/>
      <c r="AH585" s="19"/>
      <c r="AI585" s="20"/>
      <c r="AJ585" s="21"/>
      <c r="AK585" s="21"/>
      <c r="AM585" s="19"/>
      <c r="AN585" s="18"/>
      <c r="AO585" s="2"/>
      <c r="AP585" s="18"/>
      <c r="AQ585" s="118"/>
      <c r="AS585" s="2"/>
      <c r="AT585" s="19"/>
      <c r="AU585" s="20"/>
      <c r="AV585" s="21"/>
      <c r="AW585" s="21"/>
    </row>
    <row r="586" spans="1:49" x14ac:dyDescent="0.25">
      <c r="A586" s="1">
        <f t="shared" si="224"/>
        <v>560</v>
      </c>
      <c r="B586" s="19">
        <f t="shared" si="225"/>
        <v>460.24289300991001</v>
      </c>
      <c r="C586" s="18">
        <f t="shared" si="239"/>
        <v>8.633643457642771</v>
      </c>
      <c r="D586" s="2">
        <f t="shared" si="218"/>
        <v>0.95825622975751035</v>
      </c>
      <c r="E586" s="18">
        <f t="shared" si="226"/>
        <v>8.649614394805397</v>
      </c>
      <c r="F586" s="21">
        <f t="shared" si="219"/>
        <v>5.4956485440967455</v>
      </c>
      <c r="G586" s="1">
        <f t="shared" si="220"/>
        <v>0</v>
      </c>
      <c r="H586" s="2">
        <f t="shared" si="216"/>
        <v>1068.6567313969888</v>
      </c>
      <c r="I586" s="19">
        <f t="shared" si="242"/>
        <v>462.62196164371807</v>
      </c>
      <c r="J586" s="20">
        <f t="shared" si="221"/>
        <v>0.91109812996204698</v>
      </c>
      <c r="K586" s="21">
        <f t="shared" si="222"/>
        <v>442.72376469489558</v>
      </c>
      <c r="L586" s="21">
        <f t="shared" si="217"/>
        <v>4.3854214390576436</v>
      </c>
      <c r="M586" s="2">
        <f t="shared" si="227"/>
        <v>349.49599880873899</v>
      </c>
      <c r="N586" s="19">
        <f t="shared" si="240"/>
        <v>340.18145927436257</v>
      </c>
      <c r="O586" s="1">
        <f t="shared" si="228"/>
        <v>560</v>
      </c>
      <c r="P586" s="19">
        <f t="shared" si="229"/>
        <v>735.83244292642314</v>
      </c>
      <c r="Q586" s="18">
        <f t="shared" si="230"/>
        <v>10.211588379798641</v>
      </c>
      <c r="R586" s="2">
        <f t="shared" si="231"/>
        <v>0.96729175993488736</v>
      </c>
      <c r="S586" s="18">
        <f t="shared" si="232"/>
        <v>10.227709909130889</v>
      </c>
      <c r="T586" s="18">
        <f t="shared" si="233"/>
        <v>7.6458821705590987</v>
      </c>
      <c r="U586" s="1">
        <f t="shared" si="223"/>
        <v>0</v>
      </c>
      <c r="V586" s="2">
        <f t="shared" si="234"/>
        <v>1707.4188253305967</v>
      </c>
      <c r="W586" s="19">
        <f t="shared" si="235"/>
        <v>739.142348627964</v>
      </c>
      <c r="X586" s="20"/>
      <c r="Y586" s="2">
        <f t="shared" si="236"/>
        <v>719.30775136814714</v>
      </c>
      <c r="Z586" s="21">
        <f t="shared" si="237"/>
        <v>6.131611709660211</v>
      </c>
      <c r="AA586" s="2">
        <f t="shared" si="238"/>
        <v>570.8936251143266</v>
      </c>
      <c r="AB586" s="19">
        <f t="shared" si="241"/>
        <v>92.591118732376344</v>
      </c>
      <c r="AC586" s="2"/>
      <c r="AD586" s="18"/>
      <c r="AE586" s="118"/>
      <c r="AG586" s="2"/>
      <c r="AH586" s="19"/>
      <c r="AI586" s="20"/>
      <c r="AJ586" s="21"/>
      <c r="AK586" s="21"/>
      <c r="AM586" s="19"/>
      <c r="AN586" s="18"/>
      <c r="AO586" s="2"/>
      <c r="AP586" s="18"/>
      <c r="AQ586" s="118"/>
      <c r="AS586" s="2"/>
      <c r="AT586" s="19"/>
      <c r="AU586" s="20"/>
      <c r="AV586" s="21"/>
      <c r="AW586" s="21"/>
    </row>
    <row r="587" spans="1:49" x14ac:dyDescent="0.25">
      <c r="A587" s="1">
        <f t="shared" si="224"/>
        <v>561</v>
      </c>
      <c r="B587" s="19">
        <f t="shared" si="225"/>
        <v>462.62196164371807</v>
      </c>
      <c r="C587" s="18">
        <f t="shared" si="239"/>
        <v>8.649614394805397</v>
      </c>
      <c r="D587" s="2">
        <f t="shared" si="218"/>
        <v>0.95835504725708665</v>
      </c>
      <c r="E587" s="18">
        <f t="shared" si="226"/>
        <v>8.6655869789263491</v>
      </c>
      <c r="F587" s="21">
        <f t="shared" si="219"/>
        <v>5.5156598508572747</v>
      </c>
      <c r="G587" s="1">
        <f t="shared" si="220"/>
        <v>0</v>
      </c>
      <c r="H587" s="2">
        <f t="shared" si="216"/>
        <v>1074.172391247846</v>
      </c>
      <c r="I587" s="19">
        <f t="shared" si="242"/>
        <v>465.00969318088573</v>
      </c>
      <c r="J587" s="20">
        <f t="shared" si="221"/>
        <v>0.91103984290953821</v>
      </c>
      <c r="K587" s="21">
        <f t="shared" si="222"/>
        <v>445.1120454103168</v>
      </c>
      <c r="L587" s="21">
        <f t="shared" si="217"/>
        <v>4.4016328409586176</v>
      </c>
      <c r="M587" s="2">
        <f t="shared" si="227"/>
        <v>351.40146757105873</v>
      </c>
      <c r="N587" s="19">
        <f t="shared" si="240"/>
        <v>340.26707165453206</v>
      </c>
      <c r="O587" s="1">
        <f t="shared" si="228"/>
        <v>561</v>
      </c>
      <c r="P587" s="19">
        <f t="shared" si="229"/>
        <v>739.142348627964</v>
      </c>
      <c r="Q587" s="18">
        <f t="shared" si="230"/>
        <v>10.227709909130889</v>
      </c>
      <c r="R587" s="2">
        <f t="shared" si="231"/>
        <v>0.96737858971939894</v>
      </c>
      <c r="S587" s="18">
        <f t="shared" si="232"/>
        <v>10.243832885626212</v>
      </c>
      <c r="T587" s="18">
        <f t="shared" si="233"/>
        <v>7.6696530450906826</v>
      </c>
      <c r="U587" s="1">
        <f t="shared" si="223"/>
        <v>0</v>
      </c>
      <c r="V587" s="2">
        <f t="shared" si="234"/>
        <v>1715.0884783756876</v>
      </c>
      <c r="W587" s="19">
        <f t="shared" si="235"/>
        <v>742.46254475137994</v>
      </c>
      <c r="X587" s="20"/>
      <c r="Y587" s="2">
        <f t="shared" si="236"/>
        <v>722.62871113667143</v>
      </c>
      <c r="Z587" s="21">
        <f t="shared" si="237"/>
        <v>6.1509587098669085</v>
      </c>
      <c r="AA587" s="2">
        <f t="shared" si="238"/>
        <v>573.55637780258064</v>
      </c>
      <c r="AB587" s="19">
        <f t="shared" si="241"/>
        <v>92.663521458154307</v>
      </c>
      <c r="AC587" s="2"/>
      <c r="AD587" s="18"/>
      <c r="AE587" s="118"/>
      <c r="AG587" s="2"/>
      <c r="AH587" s="19"/>
      <c r="AI587" s="20"/>
      <c r="AJ587" s="21"/>
      <c r="AK587" s="21"/>
      <c r="AM587" s="19"/>
      <c r="AN587" s="18"/>
      <c r="AO587" s="2"/>
      <c r="AP587" s="18"/>
      <c r="AQ587" s="118"/>
      <c r="AS587" s="2"/>
      <c r="AT587" s="19"/>
      <c r="AU587" s="20"/>
      <c r="AV587" s="21"/>
      <c r="AW587" s="21"/>
    </row>
    <row r="588" spans="1:49" x14ac:dyDescent="0.25">
      <c r="A588" s="1">
        <f t="shared" si="224"/>
        <v>562</v>
      </c>
      <c r="B588" s="19">
        <f t="shared" si="225"/>
        <v>465.00969318088573</v>
      </c>
      <c r="C588" s="18">
        <f t="shared" si="239"/>
        <v>8.6655869789263491</v>
      </c>
      <c r="D588" s="2">
        <f t="shared" si="218"/>
        <v>0.958453725106999</v>
      </c>
      <c r="E588" s="18">
        <f t="shared" si="226"/>
        <v>8.6815612076781328</v>
      </c>
      <c r="F588" s="21">
        <f t="shared" si="219"/>
        <v>5.5357091045372613</v>
      </c>
      <c r="G588" s="1">
        <f t="shared" si="220"/>
        <v>0</v>
      </c>
      <c r="H588" s="2">
        <f t="shared" si="216"/>
        <v>1079.7081003523833</v>
      </c>
      <c r="I588" s="19">
        <f t="shared" si="242"/>
        <v>467.40610404865077</v>
      </c>
      <c r="J588" s="20">
        <f t="shared" si="221"/>
        <v>0.910981597757482</v>
      </c>
      <c r="K588" s="21">
        <f t="shared" si="222"/>
        <v>447.50900745258144</v>
      </c>
      <c r="L588" s="21">
        <f t="shared" si="217"/>
        <v>4.4178758254461066</v>
      </c>
      <c r="M588" s="2">
        <f t="shared" si="227"/>
        <v>353.31396792839473</v>
      </c>
      <c r="N588" s="19">
        <f t="shared" si="240"/>
        <v>340.35252623224136</v>
      </c>
      <c r="O588" s="1">
        <f t="shared" si="228"/>
        <v>562</v>
      </c>
      <c r="P588" s="19">
        <f t="shared" si="229"/>
        <v>742.46254475137994</v>
      </c>
      <c r="Q588" s="18">
        <f t="shared" si="230"/>
        <v>10.243832885626212</v>
      </c>
      <c r="R588" s="2">
        <f t="shared" si="231"/>
        <v>0.96746530746695536</v>
      </c>
      <c r="S588" s="18">
        <f t="shared" si="232"/>
        <v>10.259957307417327</v>
      </c>
      <c r="T588" s="18">
        <f t="shared" si="233"/>
        <v>7.6934624663137035</v>
      </c>
      <c r="U588" s="1">
        <f t="shared" si="223"/>
        <v>0</v>
      </c>
      <c r="V588" s="2">
        <f t="shared" si="234"/>
        <v>1722.7819408420014</v>
      </c>
      <c r="W588" s="19">
        <f t="shared" si="235"/>
        <v>745.79304798355042</v>
      </c>
      <c r="X588" s="20"/>
      <c r="Y588" s="2">
        <f t="shared" si="236"/>
        <v>725.95998038458526</v>
      </c>
      <c r="Z588" s="21">
        <f t="shared" si="237"/>
        <v>6.1703379230937676</v>
      </c>
      <c r="AA588" s="2">
        <f t="shared" si="238"/>
        <v>576.22751976062989</v>
      </c>
      <c r="AB588" s="19">
        <f t="shared" si="241"/>
        <v>92.735810227812635</v>
      </c>
      <c r="AC588" s="2"/>
      <c r="AD588" s="18"/>
      <c r="AE588" s="118"/>
      <c r="AG588" s="2"/>
      <c r="AH588" s="19"/>
      <c r="AI588" s="20"/>
      <c r="AJ588" s="21"/>
      <c r="AK588" s="21"/>
      <c r="AM588" s="19"/>
      <c r="AN588" s="18"/>
      <c r="AO588" s="2"/>
      <c r="AP588" s="18"/>
      <c r="AQ588" s="118"/>
      <c r="AS588" s="2"/>
      <c r="AT588" s="19"/>
      <c r="AU588" s="20"/>
      <c r="AV588" s="21"/>
      <c r="AW588" s="21"/>
    </row>
    <row r="589" spans="1:49" x14ac:dyDescent="0.25">
      <c r="A589" s="1">
        <f t="shared" si="224"/>
        <v>563</v>
      </c>
      <c r="B589" s="19">
        <f t="shared" si="225"/>
        <v>467.40610404865077</v>
      </c>
      <c r="C589" s="18">
        <f t="shared" si="239"/>
        <v>8.6815612076781328</v>
      </c>
      <c r="D589" s="2">
        <f t="shared" si="218"/>
        <v>0.95855226363690504</v>
      </c>
      <c r="E589" s="18">
        <f t="shared" si="226"/>
        <v>8.6975370787387476</v>
      </c>
      <c r="F589" s="21">
        <f t="shared" si="219"/>
        <v>5.5557963116709841</v>
      </c>
      <c r="G589" s="1">
        <f t="shared" si="220"/>
        <v>0</v>
      </c>
      <c r="H589" s="2">
        <f t="shared" si="216"/>
        <v>1085.2638966640543</v>
      </c>
      <c r="I589" s="19">
        <f t="shared" si="242"/>
        <v>469.81121067707977</v>
      </c>
      <c r="J589" s="20">
        <f t="shared" si="221"/>
        <v>0.91092339455124294</v>
      </c>
      <c r="K589" s="21">
        <f t="shared" si="222"/>
        <v>449.91466725553499</v>
      </c>
      <c r="L589" s="21">
        <f t="shared" si="217"/>
        <v>4.4341503993922133</v>
      </c>
      <c r="M589" s="2">
        <f t="shared" si="227"/>
        <v>355.23351355583725</v>
      </c>
      <c r="N589" s="19">
        <f t="shared" si="240"/>
        <v>340.43782357199086</v>
      </c>
      <c r="O589" s="1">
        <f t="shared" si="228"/>
        <v>563</v>
      </c>
      <c r="P589" s="19">
        <f t="shared" si="229"/>
        <v>745.79304798355042</v>
      </c>
      <c r="Q589" s="18">
        <f t="shared" si="230"/>
        <v>10.259957307417327</v>
      </c>
      <c r="R589" s="2">
        <f t="shared" si="231"/>
        <v>0.96755191344907188</v>
      </c>
      <c r="S589" s="18">
        <f t="shared" si="232"/>
        <v>10.276083172641478</v>
      </c>
      <c r="T589" s="18">
        <f t="shared" si="233"/>
        <v>7.7173104398819001</v>
      </c>
      <c r="U589" s="1">
        <f t="shared" si="223"/>
        <v>0</v>
      </c>
      <c r="V589" s="2">
        <f t="shared" si="234"/>
        <v>1730.4992512818833</v>
      </c>
      <c r="W589" s="19">
        <f t="shared" si="235"/>
        <v>749.13387501380225</v>
      </c>
      <c r="X589" s="20"/>
      <c r="Y589" s="2">
        <f t="shared" si="236"/>
        <v>729.30157580505409</v>
      </c>
      <c r="Z589" s="21">
        <f t="shared" si="237"/>
        <v>6.1897493552928946</v>
      </c>
      <c r="AA589" s="2">
        <f t="shared" si="238"/>
        <v>578.90706493608138</v>
      </c>
      <c r="AB589" s="19">
        <f t="shared" si="241"/>
        <v>92.807985389336167</v>
      </c>
      <c r="AC589" s="2"/>
      <c r="AD589" s="18"/>
      <c r="AE589" s="118"/>
      <c r="AG589" s="2"/>
      <c r="AH589" s="19"/>
      <c r="AI589" s="20"/>
      <c r="AJ589" s="21"/>
      <c r="AK589" s="21"/>
      <c r="AM589" s="19"/>
      <c r="AN589" s="18"/>
      <c r="AO589" s="2"/>
      <c r="AP589" s="18"/>
      <c r="AQ589" s="118"/>
      <c r="AS589" s="2"/>
      <c r="AT589" s="19"/>
      <c r="AU589" s="20"/>
      <c r="AV589" s="21"/>
      <c r="AW589" s="21"/>
    </row>
    <row r="590" spans="1:49" x14ac:dyDescent="0.25">
      <c r="A590" s="1">
        <f t="shared" si="224"/>
        <v>564</v>
      </c>
      <c r="B590" s="19">
        <f t="shared" si="225"/>
        <v>469.81121067707977</v>
      </c>
      <c r="C590" s="18">
        <f t="shared" si="239"/>
        <v>8.6975370787387476</v>
      </c>
      <c r="D590" s="2">
        <f t="shared" si="218"/>
        <v>0.95865066317590064</v>
      </c>
      <c r="E590" s="18">
        <f t="shared" si="226"/>
        <v>8.7135145897916786</v>
      </c>
      <c r="F590" s="21">
        <f t="shared" si="219"/>
        <v>5.575921478782341</v>
      </c>
      <c r="G590" s="1">
        <f t="shared" si="220"/>
        <v>0</v>
      </c>
      <c r="H590" s="2">
        <f t="shared" si="216"/>
        <v>1090.8398181428367</v>
      </c>
      <c r="I590" s="19">
        <f t="shared" si="242"/>
        <v>472.22502949906351</v>
      </c>
      <c r="J590" s="20">
        <f t="shared" si="221"/>
        <v>0.91086523333516967</v>
      </c>
      <c r="K590" s="21">
        <f t="shared" si="222"/>
        <v>452.32904125584776</v>
      </c>
      <c r="L590" s="21">
        <f t="shared" si="217"/>
        <v>4.4504565696581899</v>
      </c>
      <c r="M590" s="2">
        <f t="shared" si="227"/>
        <v>357.16011813144684</v>
      </c>
      <c r="N590" s="19">
        <f t="shared" si="240"/>
        <v>340.52296423528247</v>
      </c>
      <c r="O590" s="1">
        <f t="shared" si="228"/>
        <v>564</v>
      </c>
      <c r="P590" s="19">
        <f t="shared" si="229"/>
        <v>749.13387501380225</v>
      </c>
      <c r="Q590" s="18">
        <f t="shared" si="230"/>
        <v>10.276083172641478</v>
      </c>
      <c r="R590" s="2">
        <f t="shared" si="231"/>
        <v>0.96763840793643996</v>
      </c>
      <c r="S590" s="18">
        <f t="shared" si="232"/>
        <v>10.292210479440419</v>
      </c>
      <c r="T590" s="18">
        <f t="shared" si="233"/>
        <v>7.741196971441493</v>
      </c>
      <c r="U590" s="1">
        <f t="shared" si="223"/>
        <v>0</v>
      </c>
      <c r="V590" s="2">
        <f t="shared" si="234"/>
        <v>1738.2404482533248</v>
      </c>
      <c r="W590" s="19">
        <f t="shared" si="235"/>
        <v>752.48504253390684</v>
      </c>
      <c r="X590" s="20"/>
      <c r="Y590" s="2">
        <f t="shared" si="236"/>
        <v>732.65351409368827</v>
      </c>
      <c r="Z590" s="21">
        <f t="shared" si="237"/>
        <v>6.209193012408484</v>
      </c>
      <c r="AA590" s="2">
        <f t="shared" si="238"/>
        <v>581.59502727911536</v>
      </c>
      <c r="AB590" s="19">
        <f t="shared" si="241"/>
        <v>92.880047289132662</v>
      </c>
      <c r="AC590" s="2"/>
      <c r="AD590" s="18"/>
      <c r="AE590" s="118"/>
      <c r="AG590" s="2"/>
      <c r="AH590" s="19"/>
      <c r="AI590" s="20"/>
      <c r="AJ590" s="21"/>
      <c r="AK590" s="21"/>
      <c r="AM590" s="19"/>
      <c r="AN590" s="18"/>
      <c r="AO590" s="2"/>
      <c r="AP590" s="18"/>
      <c r="AQ590" s="118"/>
      <c r="AS590" s="2"/>
      <c r="AT590" s="19"/>
      <c r="AU590" s="20"/>
      <c r="AV590" s="21"/>
      <c r="AW590" s="21"/>
    </row>
    <row r="591" spans="1:49" x14ac:dyDescent="0.25">
      <c r="A591" s="1">
        <f t="shared" si="224"/>
        <v>565</v>
      </c>
      <c r="B591" s="19">
        <f t="shared" si="225"/>
        <v>472.22502949906351</v>
      </c>
      <c r="C591" s="18">
        <f t="shared" si="239"/>
        <v>8.7135145897916786</v>
      </c>
      <c r="D591" s="2">
        <f t="shared" si="218"/>
        <v>0.95874892405251233</v>
      </c>
      <c r="E591" s="18">
        <f t="shared" si="226"/>
        <v>8.7294937385258873</v>
      </c>
      <c r="F591" s="21">
        <f t="shared" si="219"/>
        <v>5.5960846123848897</v>
      </c>
      <c r="G591" s="1">
        <f t="shared" si="220"/>
        <v>0</v>
      </c>
      <c r="H591" s="2">
        <f t="shared" si="216"/>
        <v>1096.4359027552216</v>
      </c>
      <c r="I591" s="19">
        <f t="shared" si="242"/>
        <v>474.64757695031238</v>
      </c>
      <c r="J591" s="20">
        <f t="shared" si="221"/>
        <v>0.9108071141526054</v>
      </c>
      <c r="K591" s="21">
        <f t="shared" si="222"/>
        <v>454.75214589301044</v>
      </c>
      <c r="L591" s="21">
        <f t="shared" si="217"/>
        <v>4.4667943430944979</v>
      </c>
      <c r="M591" s="2">
        <f t="shared" si="227"/>
        <v>359.09379533624963</v>
      </c>
      <c r="N591" s="19">
        <f t="shared" si="240"/>
        <v>340.60794878064087</v>
      </c>
      <c r="O591" s="1">
        <f t="shared" si="228"/>
        <v>565</v>
      </c>
      <c r="P591" s="19">
        <f t="shared" si="229"/>
        <v>752.48504253390684</v>
      </c>
      <c r="Q591" s="18">
        <f t="shared" si="230"/>
        <v>10.292210479440419</v>
      </c>
      <c r="R591" s="2">
        <f t="shared" si="231"/>
        <v>0.96772479119892896</v>
      </c>
      <c r="S591" s="18">
        <f t="shared" si="232"/>
        <v>10.308339225960401</v>
      </c>
      <c r="T591" s="18">
        <f t="shared" si="233"/>
        <v>7.7651220666312089</v>
      </c>
      <c r="U591" s="1">
        <f t="shared" si="223"/>
        <v>0</v>
      </c>
      <c r="V591" s="2">
        <f t="shared" si="234"/>
        <v>1746.005570319956</v>
      </c>
      <c r="W591" s="19">
        <f t="shared" si="235"/>
        <v>755.8465672380762</v>
      </c>
      <c r="X591" s="20"/>
      <c r="Y591" s="2">
        <f t="shared" si="236"/>
        <v>736.01581194853964</v>
      </c>
      <c r="Z591" s="21">
        <f t="shared" si="237"/>
        <v>6.228668900376845</v>
      </c>
      <c r="AA591" s="2">
        <f t="shared" si="238"/>
        <v>584.29142074248193</v>
      </c>
      <c r="AB591" s="19">
        <f t="shared" si="241"/>
        <v>92.95199627204228</v>
      </c>
      <c r="AC591" s="2"/>
      <c r="AD591" s="18"/>
      <c r="AE591" s="118"/>
      <c r="AG591" s="2"/>
      <c r="AH591" s="19"/>
      <c r="AI591" s="20"/>
      <c r="AJ591" s="21"/>
      <c r="AK591" s="21"/>
      <c r="AM591" s="19"/>
      <c r="AN591" s="18"/>
      <c r="AO591" s="2"/>
      <c r="AP591" s="18"/>
      <c r="AQ591" s="118"/>
      <c r="AS591" s="2"/>
      <c r="AT591" s="19"/>
      <c r="AU591" s="20"/>
      <c r="AV591" s="21"/>
      <c r="AW591" s="21"/>
    </row>
    <row r="592" spans="1:49" x14ac:dyDescent="0.25">
      <c r="A592" s="1">
        <f t="shared" si="224"/>
        <v>566</v>
      </c>
      <c r="B592" s="19">
        <f t="shared" si="225"/>
        <v>474.64757695031238</v>
      </c>
      <c r="C592" s="18">
        <f t="shared" si="239"/>
        <v>8.7294937385258873</v>
      </c>
      <c r="D592" s="2">
        <f t="shared" si="218"/>
        <v>0.95884704659469244</v>
      </c>
      <c r="E592" s="18">
        <f t="shared" si="226"/>
        <v>8.7454745226357993</v>
      </c>
      <c r="F592" s="21">
        <f t="shared" si="219"/>
        <v>5.6162857189818727</v>
      </c>
      <c r="G592" s="1">
        <f t="shared" si="220"/>
        <v>0</v>
      </c>
      <c r="H592" s="2">
        <f t="shared" si="216"/>
        <v>1102.0521884742034</v>
      </c>
      <c r="I592" s="19">
        <f t="shared" si="242"/>
        <v>477.07886946935213</v>
      </c>
      <c r="J592" s="20">
        <f t="shared" si="221"/>
        <v>0.91074903704589927</v>
      </c>
      <c r="K592" s="21">
        <f t="shared" si="222"/>
        <v>457.18399760932959</v>
      </c>
      <c r="L592" s="21">
        <f t="shared" si="217"/>
        <v>4.4831637265408144</v>
      </c>
      <c r="M592" s="2">
        <f t="shared" si="227"/>
        <v>361.03455885423267</v>
      </c>
      <c r="N592" s="19">
        <f t="shared" si="240"/>
        <v>340.69277776363435</v>
      </c>
      <c r="O592" s="1">
        <f t="shared" si="228"/>
        <v>566</v>
      </c>
      <c r="P592" s="19">
        <f t="shared" si="229"/>
        <v>755.8465672380762</v>
      </c>
      <c r="Q592" s="18">
        <f t="shared" si="230"/>
        <v>10.308339225960401</v>
      </c>
      <c r="R592" s="2">
        <f t="shared" si="231"/>
        <v>0.9678110635055881</v>
      </c>
      <c r="S592" s="18">
        <f t="shared" si="232"/>
        <v>10.32446941035216</v>
      </c>
      <c r="T592" s="18">
        <f t="shared" si="233"/>
        <v>7.7890857310823041</v>
      </c>
      <c r="U592" s="1">
        <f t="shared" si="223"/>
        <v>0</v>
      </c>
      <c r="V592" s="2">
        <f t="shared" si="234"/>
        <v>1753.7946560510384</v>
      </c>
      <c r="W592" s="19">
        <f t="shared" si="235"/>
        <v>759.2184658229603</v>
      </c>
      <c r="X592" s="20"/>
      <c r="Y592" s="2">
        <f t="shared" si="236"/>
        <v>739.38848607009822</v>
      </c>
      <c r="Z592" s="21">
        <f t="shared" si="237"/>
        <v>6.248177025126429</v>
      </c>
      <c r="AA592" s="2">
        <f t="shared" si="238"/>
        <v>586.99625928149771</v>
      </c>
      <c r="AB592" s="19">
        <f t="shared" si="241"/>
        <v>93.023832681346946</v>
      </c>
      <c r="AC592" s="2"/>
      <c r="AD592" s="18"/>
      <c r="AE592" s="118"/>
      <c r="AG592" s="2"/>
      <c r="AH592" s="19"/>
      <c r="AI592" s="20"/>
      <c r="AJ592" s="21"/>
      <c r="AK592" s="21"/>
      <c r="AM592" s="19"/>
      <c r="AN592" s="18"/>
      <c r="AO592" s="2"/>
      <c r="AP592" s="18"/>
      <c r="AQ592" s="118"/>
      <c r="AS592" s="2"/>
      <c r="AT592" s="19"/>
      <c r="AU592" s="20"/>
      <c r="AV592" s="21"/>
      <c r="AW592" s="21"/>
    </row>
    <row r="593" spans="1:49" x14ac:dyDescent="0.25">
      <c r="A593" s="1">
        <f t="shared" si="224"/>
        <v>567</v>
      </c>
      <c r="B593" s="19">
        <f t="shared" si="225"/>
        <v>477.07886946935213</v>
      </c>
      <c r="C593" s="18">
        <f t="shared" si="239"/>
        <v>8.7454745226357993</v>
      </c>
      <c r="D593" s="2">
        <f t="shared" si="218"/>
        <v>0.95894503112981166</v>
      </c>
      <c r="E593" s="18">
        <f t="shared" si="226"/>
        <v>8.7614569398212954</v>
      </c>
      <c r="F593" s="21">
        <f t="shared" si="219"/>
        <v>5.6365248050662622</v>
      </c>
      <c r="G593" s="1">
        <f t="shared" si="220"/>
        <v>0</v>
      </c>
      <c r="H593" s="2">
        <f t="shared" si="216"/>
        <v>1107.6887132792697</v>
      </c>
      <c r="I593" s="19">
        <f t="shared" si="242"/>
        <v>479.51892349751932</v>
      </c>
      <c r="J593" s="20">
        <f t="shared" si="221"/>
        <v>0.91069100205641673</v>
      </c>
      <c r="K593" s="21">
        <f t="shared" si="222"/>
        <v>459.62461284992327</v>
      </c>
      <c r="L593" s="21">
        <f t="shared" si="217"/>
        <v>4.4995647268260921</v>
      </c>
      <c r="M593" s="2">
        <f t="shared" si="227"/>
        <v>362.98242237233922</v>
      </c>
      <c r="N593" s="19">
        <f t="shared" si="240"/>
        <v>340.77745173689567</v>
      </c>
      <c r="O593" s="1">
        <f t="shared" si="228"/>
        <v>567</v>
      </c>
      <c r="P593" s="19">
        <f t="shared" si="229"/>
        <v>759.2184658229603</v>
      </c>
      <c r="Q593" s="18">
        <f t="shared" si="230"/>
        <v>10.32446941035216</v>
      </c>
      <c r="R593" s="2">
        <f t="shared" si="231"/>
        <v>0.9678972251246476</v>
      </c>
      <c r="S593" s="18">
        <f t="shared" si="232"/>
        <v>10.340601030770904</v>
      </c>
      <c r="T593" s="18">
        <f t="shared" si="233"/>
        <v>7.8130879704185858</v>
      </c>
      <c r="U593" s="1">
        <f t="shared" si="223"/>
        <v>0</v>
      </c>
      <c r="V593" s="2">
        <f t="shared" si="234"/>
        <v>1761.6077440214569</v>
      </c>
      <c r="W593" s="19">
        <f t="shared" si="235"/>
        <v>762.60075498764365</v>
      </c>
      <c r="X593" s="20"/>
      <c r="Y593" s="2">
        <f t="shared" si="236"/>
        <v>742.77155316128949</v>
      </c>
      <c r="Z593" s="21">
        <f t="shared" si="237"/>
        <v>6.2677173925778398</v>
      </c>
      <c r="AA593" s="2">
        <f t="shared" si="238"/>
        <v>589.70955685404226</v>
      </c>
      <c r="AB593" s="19">
        <f t="shared" si="241"/>
        <v>93.09555685877973</v>
      </c>
      <c r="AC593" s="2"/>
      <c r="AD593" s="18"/>
      <c r="AE593" s="118"/>
      <c r="AG593" s="2"/>
      <c r="AH593" s="19"/>
      <c r="AI593" s="20"/>
      <c r="AJ593" s="21"/>
      <c r="AK593" s="21"/>
      <c r="AM593" s="19"/>
      <c r="AN593" s="18"/>
      <c r="AO593" s="2"/>
      <c r="AP593" s="18"/>
      <c r="AQ593" s="118"/>
      <c r="AS593" s="2"/>
      <c r="AT593" s="19"/>
      <c r="AU593" s="20"/>
      <c r="AV593" s="21"/>
      <c r="AW593" s="21"/>
    </row>
    <row r="594" spans="1:49" x14ac:dyDescent="0.25">
      <c r="A594" s="1">
        <f t="shared" si="224"/>
        <v>568</v>
      </c>
      <c r="B594" s="19">
        <f t="shared" si="225"/>
        <v>479.51892349751932</v>
      </c>
      <c r="C594" s="18">
        <f t="shared" si="239"/>
        <v>8.7614569398212954</v>
      </c>
      <c r="D594" s="2">
        <f t="shared" si="218"/>
        <v>0.95904287798465393</v>
      </c>
      <c r="E594" s="18">
        <f t="shared" si="226"/>
        <v>8.7774409877877062</v>
      </c>
      <c r="F594" s="21">
        <f t="shared" si="219"/>
        <v>5.6568018771207917</v>
      </c>
      <c r="G594" s="1">
        <f t="shared" si="220"/>
        <v>0</v>
      </c>
      <c r="H594" s="2">
        <f t="shared" si="216"/>
        <v>1113.3455151563905</v>
      </c>
      <c r="I594" s="19">
        <f t="shared" si="242"/>
        <v>481.96775547895692</v>
      </c>
      <c r="J594" s="20">
        <f t="shared" si="221"/>
        <v>0.91063300922454726</v>
      </c>
      <c r="K594" s="21">
        <f t="shared" si="222"/>
        <v>462.07400806271659</v>
      </c>
      <c r="L594" s="21">
        <f t="shared" si="217"/>
        <v>4.5159973507685862</v>
      </c>
      <c r="M594" s="2">
        <f t="shared" si="227"/>
        <v>364.93739958046416</v>
      </c>
      <c r="N594" s="19">
        <f t="shared" si="240"/>
        <v>340.86197125014257</v>
      </c>
      <c r="O594" s="1">
        <f t="shared" si="228"/>
        <v>568</v>
      </c>
      <c r="P594" s="19">
        <f t="shared" si="229"/>
        <v>762.60075498764365</v>
      </c>
      <c r="Q594" s="18">
        <f t="shared" si="230"/>
        <v>10.340601030770904</v>
      </c>
      <c r="R594" s="2">
        <f t="shared" si="231"/>
        <v>0.96798327632352132</v>
      </c>
      <c r="S594" s="18">
        <f t="shared" si="232"/>
        <v>10.356734085376296</v>
      </c>
      <c r="T594" s="18">
        <f t="shared" si="233"/>
        <v>7.8371287902564326</v>
      </c>
      <c r="U594" s="1">
        <f t="shared" si="223"/>
        <v>0</v>
      </c>
      <c r="V594" s="2">
        <f t="shared" si="234"/>
        <v>1769.4448728117134</v>
      </c>
      <c r="W594" s="19">
        <f t="shared" si="235"/>
        <v>765.99345143364212</v>
      </c>
      <c r="X594" s="20"/>
      <c r="Y594" s="2">
        <f t="shared" si="236"/>
        <v>746.16502992747053</v>
      </c>
      <c r="Z594" s="21">
        <f t="shared" si="237"/>
        <v>6.2872900086438666</v>
      </c>
      <c r="AA594" s="2">
        <f t="shared" si="238"/>
        <v>592.43132742055479</v>
      </c>
      <c r="AB594" s="19">
        <f t="shared" si="241"/>
        <v>93.167169144534085</v>
      </c>
      <c r="AC594" s="2"/>
      <c r="AD594" s="18"/>
      <c r="AE594" s="118"/>
      <c r="AG594" s="2"/>
      <c r="AH594" s="19"/>
      <c r="AI594" s="20"/>
      <c r="AJ594" s="21"/>
      <c r="AK594" s="21"/>
      <c r="AM594" s="19"/>
      <c r="AN594" s="18"/>
      <c r="AO594" s="2"/>
      <c r="AP594" s="18"/>
      <c r="AQ594" s="118"/>
      <c r="AS594" s="2"/>
      <c r="AT594" s="19"/>
      <c r="AU594" s="20"/>
      <c r="AV594" s="21"/>
      <c r="AW594" s="21"/>
    </row>
    <row r="595" spans="1:49" x14ac:dyDescent="0.25">
      <c r="A595" s="1">
        <f t="shared" si="224"/>
        <v>569</v>
      </c>
      <c r="B595" s="19">
        <f t="shared" si="225"/>
        <v>481.96775547895692</v>
      </c>
      <c r="C595" s="18">
        <f t="shared" si="239"/>
        <v>8.7774409877877062</v>
      </c>
      <c r="D595" s="2">
        <f t="shared" si="218"/>
        <v>0.95914058748541042</v>
      </c>
      <c r="E595" s="18">
        <f t="shared" si="226"/>
        <v>8.7934266642457963</v>
      </c>
      <c r="F595" s="21">
        <f t="shared" si="219"/>
        <v>5.6771169416179958</v>
      </c>
      <c r="G595" s="1">
        <f t="shared" si="220"/>
        <v>0</v>
      </c>
      <c r="H595" s="2">
        <f t="shared" si="216"/>
        <v>1119.0226320980084</v>
      </c>
      <c r="I595" s="19">
        <f t="shared" si="242"/>
        <v>484.42538186060972</v>
      </c>
      <c r="J595" s="20">
        <f t="shared" si="221"/>
        <v>0.91057505858971755</v>
      </c>
      <c r="K595" s="21">
        <f t="shared" si="222"/>
        <v>464.53219969843718</v>
      </c>
      <c r="L595" s="21">
        <f t="shared" si="217"/>
        <v>4.5324616051758948</v>
      </c>
      <c r="M595" s="2">
        <f t="shared" si="227"/>
        <v>366.89950417144939</v>
      </c>
      <c r="N595" s="19">
        <f t="shared" si="240"/>
        <v>340.94633685019818</v>
      </c>
      <c r="O595" s="1">
        <f t="shared" si="228"/>
        <v>569</v>
      </c>
      <c r="P595" s="19">
        <f t="shared" si="229"/>
        <v>765.99345143364212</v>
      </c>
      <c r="Q595" s="18">
        <f t="shared" si="230"/>
        <v>10.356734085376296</v>
      </c>
      <c r="R595" s="2">
        <f t="shared" si="231"/>
        <v>0.96806921736880858</v>
      </c>
      <c r="S595" s="18">
        <f t="shared" si="232"/>
        <v>10.372868572332443</v>
      </c>
      <c r="T595" s="18">
        <f t="shared" si="233"/>
        <v>7.8612081962048164</v>
      </c>
      <c r="U595" s="1">
        <f t="shared" si="223"/>
        <v>0</v>
      </c>
      <c r="V595" s="2">
        <f t="shared" si="234"/>
        <v>1777.3060810079182</v>
      </c>
      <c r="W595" s="19">
        <f t="shared" si="235"/>
        <v>769.39657186489967</v>
      </c>
      <c r="X595" s="20"/>
      <c r="Y595" s="2">
        <f t="shared" si="236"/>
        <v>749.56893307642724</v>
      </c>
      <c r="Z595" s="21">
        <f t="shared" si="237"/>
        <v>6.3068948792295068</v>
      </c>
      <c r="AA595" s="2">
        <f t="shared" si="238"/>
        <v>595.16158494403078</v>
      </c>
      <c r="AB595" s="19">
        <f t="shared" si="241"/>
        <v>93.238669877273082</v>
      </c>
      <c r="AC595" s="2"/>
      <c r="AD595" s="18"/>
      <c r="AE595" s="118"/>
      <c r="AG595" s="2"/>
      <c r="AH595" s="19"/>
      <c r="AI595" s="20"/>
      <c r="AJ595" s="21"/>
      <c r="AK595" s="21"/>
      <c r="AM595" s="19"/>
      <c r="AN595" s="18"/>
      <c r="AO595" s="2"/>
      <c r="AP595" s="18"/>
      <c r="AQ595" s="118"/>
      <c r="AS595" s="2"/>
      <c r="AT595" s="19"/>
      <c r="AU595" s="20"/>
      <c r="AV595" s="21"/>
      <c r="AW595" s="21"/>
    </row>
    <row r="596" spans="1:49" x14ac:dyDescent="0.25">
      <c r="A596" s="1">
        <f t="shared" si="224"/>
        <v>570</v>
      </c>
      <c r="B596" s="19">
        <f t="shared" si="225"/>
        <v>484.42538186060972</v>
      </c>
      <c r="C596" s="18">
        <f t="shared" si="239"/>
        <v>8.7934266642457963</v>
      </c>
      <c r="D596" s="2">
        <f t="shared" si="218"/>
        <v>0.95923815995767359</v>
      </c>
      <c r="E596" s="18">
        <f t="shared" si="226"/>
        <v>8.809413966911757</v>
      </c>
      <c r="F596" s="21">
        <f t="shared" si="219"/>
        <v>5.6974700050202429</v>
      </c>
      <c r="G596" s="1">
        <f t="shared" si="220"/>
        <v>0</v>
      </c>
      <c r="H596" s="2">
        <f t="shared" si="216"/>
        <v>1124.7201021030287</v>
      </c>
      <c r="I596" s="19">
        <f t="shared" si="242"/>
        <v>486.8918190922202</v>
      </c>
      <c r="J596" s="20">
        <f t="shared" si="221"/>
        <v>0.91051715019040014</v>
      </c>
      <c r="K596" s="21">
        <f t="shared" si="222"/>
        <v>466.99920421061097</v>
      </c>
      <c r="L596" s="21">
        <f t="shared" si="217"/>
        <v>4.5489574968449933</v>
      </c>
      <c r="M596" s="2">
        <f t="shared" si="227"/>
        <v>368.86874984107925</v>
      </c>
      <c r="N596" s="19">
        <f t="shared" si="240"/>
        <v>341.03054908101126</v>
      </c>
      <c r="O596" s="1">
        <f t="shared" si="228"/>
        <v>570</v>
      </c>
      <c r="P596" s="19">
        <f t="shared" si="229"/>
        <v>769.39657186489967</v>
      </c>
      <c r="Q596" s="18">
        <f t="shared" si="230"/>
        <v>10.372868572332443</v>
      </c>
      <c r="R596" s="2">
        <f t="shared" si="231"/>
        <v>0.9681550485262953</v>
      </c>
      <c r="S596" s="18">
        <f t="shared" si="232"/>
        <v>10.389004489807881</v>
      </c>
      <c r="T596" s="18">
        <f t="shared" si="233"/>
        <v>7.8853261938653212</v>
      </c>
      <c r="U596" s="1">
        <f t="shared" si="223"/>
        <v>0</v>
      </c>
      <c r="V596" s="2">
        <f t="shared" si="234"/>
        <v>1785.1914072017835</v>
      </c>
      <c r="W596" s="19">
        <f t="shared" si="235"/>
        <v>772.81013298778498</v>
      </c>
      <c r="X596" s="20"/>
      <c r="Y596" s="2">
        <f t="shared" si="236"/>
        <v>752.98327931837093</v>
      </c>
      <c r="Z596" s="21">
        <f t="shared" si="237"/>
        <v>6.3265320102319738</v>
      </c>
      <c r="AA596" s="2">
        <f t="shared" si="238"/>
        <v>597.90034339001863</v>
      </c>
      <c r="AB596" s="19">
        <f t="shared" si="241"/>
        <v>93.310059394138506</v>
      </c>
      <c r="AC596" s="2"/>
      <c r="AD596" s="18"/>
      <c r="AE596" s="118"/>
      <c r="AG596" s="2"/>
      <c r="AH596" s="19"/>
      <c r="AI596" s="20"/>
      <c r="AJ596" s="21"/>
      <c r="AK596" s="21"/>
      <c r="AM596" s="19"/>
      <c r="AN596" s="18"/>
      <c r="AO596" s="2"/>
      <c r="AP596" s="18"/>
      <c r="AQ596" s="118"/>
      <c r="AS596" s="2"/>
      <c r="AT596" s="19"/>
      <c r="AU596" s="20"/>
      <c r="AV596" s="21"/>
      <c r="AW596" s="21"/>
    </row>
    <row r="597" spans="1:49" x14ac:dyDescent="0.25">
      <c r="A597" s="1">
        <f t="shared" si="224"/>
        <v>571</v>
      </c>
      <c r="B597" s="19">
        <f t="shared" si="225"/>
        <v>486.8918190922202</v>
      </c>
      <c r="C597" s="18">
        <f t="shared" si="239"/>
        <v>8.809413966911757</v>
      </c>
      <c r="D597" s="2">
        <f t="shared" si="218"/>
        <v>0.9593355957264319</v>
      </c>
      <c r="E597" s="18">
        <f t="shared" si="226"/>
        <v>8.8254028935071975</v>
      </c>
      <c r="F597" s="21">
        <f t="shared" si="219"/>
        <v>5.7178610737797744</v>
      </c>
      <c r="G597" s="1">
        <f t="shared" si="220"/>
        <v>0</v>
      </c>
      <c r="H597" s="2">
        <f t="shared" si="216"/>
        <v>1130.4379631768086</v>
      </c>
      <c r="I597" s="19">
        <f t="shared" si="242"/>
        <v>489.36708362632407</v>
      </c>
      <c r="J597" s="20">
        <f t="shared" si="221"/>
        <v>0.91045928406412291</v>
      </c>
      <c r="K597" s="21">
        <f t="shared" si="222"/>
        <v>469.4750380555576</v>
      </c>
      <c r="L597" s="21">
        <f t="shared" si="217"/>
        <v>4.5654850325622709</v>
      </c>
      <c r="M597" s="2">
        <f t="shared" si="227"/>
        <v>370.8451502880759</v>
      </c>
      <c r="N597" s="19">
        <f t="shared" si="240"/>
        <v>341.11460848367625</v>
      </c>
      <c r="O597" s="1">
        <f t="shared" si="228"/>
        <v>571</v>
      </c>
      <c r="P597" s="19">
        <f t="shared" si="229"/>
        <v>772.81013298778498</v>
      </c>
      <c r="Q597" s="18">
        <f t="shared" si="230"/>
        <v>10.389004489807881</v>
      </c>
      <c r="R597" s="2">
        <f t="shared" si="231"/>
        <v>0.96824077006095688</v>
      </c>
      <c r="S597" s="18">
        <f t="shared" si="232"/>
        <v>10.405141835975565</v>
      </c>
      <c r="T597" s="18">
        <f t="shared" si="233"/>
        <v>7.9094827888321699</v>
      </c>
      <c r="U597" s="1">
        <f t="shared" si="223"/>
        <v>0</v>
      </c>
      <c r="V597" s="2">
        <f t="shared" si="234"/>
        <v>1793.1008899906153</v>
      </c>
      <c r="W597" s="19">
        <f t="shared" si="235"/>
        <v>776.23415151108884</v>
      </c>
      <c r="X597" s="20"/>
      <c r="Y597" s="2">
        <f t="shared" si="236"/>
        <v>756.40808536593522</v>
      </c>
      <c r="Z597" s="21">
        <f t="shared" si="237"/>
        <v>6.3462014075407414</v>
      </c>
      <c r="AA597" s="2">
        <f t="shared" si="238"/>
        <v>600.64761672661632</v>
      </c>
      <c r="AB597" s="19">
        <f t="shared" si="241"/>
        <v>93.381338030759935</v>
      </c>
      <c r="AC597" s="2"/>
      <c r="AD597" s="18"/>
      <c r="AE597" s="118"/>
      <c r="AG597" s="2"/>
      <c r="AH597" s="19"/>
      <c r="AI597" s="20"/>
      <c r="AJ597" s="21"/>
      <c r="AK597" s="21"/>
      <c r="AM597" s="19"/>
      <c r="AN597" s="18"/>
      <c r="AO597" s="2"/>
      <c r="AP597" s="18"/>
      <c r="AQ597" s="118"/>
      <c r="AS597" s="2"/>
      <c r="AT597" s="19"/>
      <c r="AU597" s="20"/>
      <c r="AV597" s="21"/>
      <c r="AW597" s="21"/>
    </row>
    <row r="598" spans="1:49" x14ac:dyDescent="0.25">
      <c r="A598" s="1">
        <f t="shared" si="224"/>
        <v>572</v>
      </c>
      <c r="B598" s="19">
        <f t="shared" si="225"/>
        <v>489.36708362632407</v>
      </c>
      <c r="C598" s="18">
        <f t="shared" si="239"/>
        <v>8.8254028935071975</v>
      </c>
      <c r="D598" s="2">
        <f t="shared" si="218"/>
        <v>0.95943289511606444</v>
      </c>
      <c r="E598" s="18">
        <f t="shared" si="226"/>
        <v>8.8413934417591324</v>
      </c>
      <c r="F598" s="21">
        <f t="shared" si="219"/>
        <v>5.738290154338725</v>
      </c>
      <c r="G598" s="1">
        <f t="shared" si="220"/>
        <v>0</v>
      </c>
      <c r="H598" s="2">
        <f t="shared" si="216"/>
        <v>1136.1762533311473</v>
      </c>
      <c r="I598" s="19">
        <f t="shared" si="242"/>
        <v>491.8511919182456</v>
      </c>
      <c r="J598" s="20">
        <f t="shared" si="221"/>
        <v>0.91040146024747926</v>
      </c>
      <c r="K598" s="21">
        <f t="shared" si="222"/>
        <v>471.95971769238628</v>
      </c>
      <c r="L598" s="21">
        <f t="shared" si="217"/>
        <v>4.5820442191035617</v>
      </c>
      <c r="M598" s="2">
        <f t="shared" si="227"/>
        <v>372.82871921409475</v>
      </c>
      <c r="N598" s="19">
        <f t="shared" si="240"/>
        <v>341.19851559645321</v>
      </c>
      <c r="O598" s="1">
        <f t="shared" si="228"/>
        <v>572</v>
      </c>
      <c r="P598" s="19">
        <f t="shared" si="229"/>
        <v>776.23415151108884</v>
      </c>
      <c r="Q598" s="18">
        <f t="shared" si="230"/>
        <v>10.405141835975565</v>
      </c>
      <c r="R598" s="2">
        <f t="shared" si="231"/>
        <v>0.96832638223695933</v>
      </c>
      <c r="S598" s="18">
        <f t="shared" si="232"/>
        <v>10.421280609012847</v>
      </c>
      <c r="T598" s="18">
        <f t="shared" si="233"/>
        <v>7.933677986692242</v>
      </c>
      <c r="U598" s="1">
        <f t="shared" si="223"/>
        <v>0</v>
      </c>
      <c r="V598" s="2">
        <f t="shared" si="234"/>
        <v>1801.0345679773075</v>
      </c>
      <c r="W598" s="19">
        <f t="shared" si="235"/>
        <v>779.66864414602048</v>
      </c>
      <c r="X598" s="20"/>
      <c r="Y598" s="2">
        <f t="shared" si="236"/>
        <v>759.84336793417299</v>
      </c>
      <c r="Z598" s="21">
        <f t="shared" si="237"/>
        <v>6.3659030770375473</v>
      </c>
      <c r="AA598" s="2">
        <f t="shared" si="238"/>
        <v>603.40341892446804</v>
      </c>
      <c r="AB598" s="19">
        <f t="shared" si="241"/>
        <v>93.45250612126371</v>
      </c>
      <c r="AC598" s="2"/>
      <c r="AD598" s="18"/>
      <c r="AE598" s="118"/>
      <c r="AG598" s="2"/>
      <c r="AH598" s="19"/>
      <c r="AI598" s="20"/>
      <c r="AJ598" s="21"/>
      <c r="AK598" s="21"/>
      <c r="AM598" s="19"/>
      <c r="AN598" s="18"/>
      <c r="AO598" s="2"/>
      <c r="AP598" s="18"/>
      <c r="AQ598" s="118"/>
      <c r="AS598" s="2"/>
      <c r="AT598" s="19"/>
      <c r="AU598" s="20"/>
      <c r="AV598" s="21"/>
      <c r="AW598" s="21"/>
    </row>
    <row r="599" spans="1:49" x14ac:dyDescent="0.25">
      <c r="A599" s="1">
        <f t="shared" si="224"/>
        <v>573</v>
      </c>
      <c r="B599" s="19">
        <f t="shared" si="225"/>
        <v>491.8511919182456</v>
      </c>
      <c r="C599" s="18">
        <f t="shared" si="239"/>
        <v>8.8413934417591324</v>
      </c>
      <c r="D599" s="2">
        <f t="shared" si="218"/>
        <v>0.95953005845033545</v>
      </c>
      <c r="E599" s="18">
        <f t="shared" si="226"/>
        <v>8.8573856093999712</v>
      </c>
      <c r="F599" s="21">
        <f t="shared" si="219"/>
        <v>5.7587572531291755</v>
      </c>
      <c r="G599" s="1">
        <f t="shared" si="220"/>
        <v>0</v>
      </c>
      <c r="H599" s="2">
        <f t="shared" si="216"/>
        <v>1141.9350105842766</v>
      </c>
      <c r="I599" s="19">
        <f t="shared" si="242"/>
        <v>494.34416042609377</v>
      </c>
      <c r="J599" s="20">
        <f t="shared" si="221"/>
        <v>0.91034367877613875</v>
      </c>
      <c r="K599" s="21">
        <f t="shared" si="222"/>
        <v>474.45325958299122</v>
      </c>
      <c r="L599" s="21">
        <f t="shared" si="217"/>
        <v>4.5986350632341892</v>
      </c>
      <c r="M599" s="2">
        <f t="shared" si="227"/>
        <v>374.81947032371994</v>
      </c>
      <c r="N599" s="19">
        <f t="shared" si="240"/>
        <v>341.28227095478729</v>
      </c>
      <c r="O599" s="1">
        <f t="shared" si="228"/>
        <v>573</v>
      </c>
      <c r="P599" s="19">
        <f t="shared" si="229"/>
        <v>779.66864414602048</v>
      </c>
      <c r="Q599" s="18">
        <f t="shared" si="230"/>
        <v>10.421280609012847</v>
      </c>
      <c r="R599" s="2">
        <f t="shared" si="231"/>
        <v>0.96841188531766187</v>
      </c>
      <c r="S599" s="18">
        <f t="shared" si="232"/>
        <v>10.437420807101475</v>
      </c>
      <c r="T599" s="18">
        <f t="shared" si="233"/>
        <v>7.957911793025108</v>
      </c>
      <c r="U599" s="1">
        <f t="shared" si="223"/>
        <v>0</v>
      </c>
      <c r="V599" s="2">
        <f t="shared" si="234"/>
        <v>1808.9924797703325</v>
      </c>
      <c r="W599" s="19">
        <f t="shared" si="235"/>
        <v>783.11362760620455</v>
      </c>
      <c r="X599" s="20"/>
      <c r="Y599" s="2">
        <f t="shared" si="236"/>
        <v>763.28914374055284</v>
      </c>
      <c r="Z599" s="21">
        <f t="shared" si="237"/>
        <v>6.3856370245964351</v>
      </c>
      <c r="AA599" s="2">
        <f t="shared" si="238"/>
        <v>606.16776395676084</v>
      </c>
      <c r="AB599" s="19">
        <f t="shared" si="241"/>
        <v>93.523563998281915</v>
      </c>
      <c r="AC599" s="2"/>
      <c r="AD599" s="18"/>
      <c r="AE599" s="118"/>
      <c r="AG599" s="2"/>
      <c r="AH599" s="19"/>
      <c r="AI599" s="20"/>
      <c r="AJ599" s="21"/>
      <c r="AK599" s="21"/>
      <c r="AM599" s="19"/>
      <c r="AN599" s="18"/>
      <c r="AO599" s="2"/>
      <c r="AP599" s="18"/>
      <c r="AQ599" s="118"/>
      <c r="AS599" s="2"/>
      <c r="AT599" s="19"/>
      <c r="AU599" s="20"/>
      <c r="AV599" s="21"/>
      <c r="AW599" s="21"/>
    </row>
    <row r="600" spans="1:49" x14ac:dyDescent="0.25">
      <c r="A600" s="1">
        <f t="shared" si="224"/>
        <v>574</v>
      </c>
      <c r="B600" s="19">
        <f t="shared" si="225"/>
        <v>494.34416042609377</v>
      </c>
      <c r="C600" s="18">
        <f t="shared" si="239"/>
        <v>8.8573856093999712</v>
      </c>
      <c r="D600" s="2">
        <f t="shared" si="218"/>
        <v>0.95962708605238967</v>
      </c>
      <c r="E600" s="18">
        <f t="shared" si="226"/>
        <v>8.873379394167511</v>
      </c>
      <c r="F600" s="21">
        <f t="shared" si="219"/>
        <v>5.779262376573187</v>
      </c>
      <c r="G600" s="1">
        <f t="shared" si="220"/>
        <v>0</v>
      </c>
      <c r="H600" s="2">
        <f t="shared" si="216"/>
        <v>1147.7142729608497</v>
      </c>
      <c r="I600" s="19">
        <f t="shared" si="242"/>
        <v>496.84600561075746</v>
      </c>
      <c r="J600" s="20">
        <f t="shared" si="221"/>
        <v>0.91028593968485494</v>
      </c>
      <c r="K600" s="21">
        <f t="shared" si="222"/>
        <v>476.9556801920474</v>
      </c>
      <c r="L600" s="21">
        <f t="shared" si="217"/>
        <v>4.6152575717089981</v>
      </c>
      <c r="M600" s="2">
        <f t="shared" si="227"/>
        <v>376.81741732445977</v>
      </c>
      <c r="N600" s="19">
        <f t="shared" si="240"/>
        <v>341.36587509132863</v>
      </c>
      <c r="O600" s="1">
        <f t="shared" si="228"/>
        <v>574</v>
      </c>
      <c r="P600" s="19">
        <f t="shared" si="229"/>
        <v>783.11362760620455</v>
      </c>
      <c r="Q600" s="18">
        <f t="shared" si="230"/>
        <v>10.437420807101475</v>
      </c>
      <c r="R600" s="2">
        <f t="shared" si="231"/>
        <v>0.96849727956561826</v>
      </c>
      <c r="S600" s="18">
        <f t="shared" si="232"/>
        <v>10.453562428427569</v>
      </c>
      <c r="T600" s="18">
        <f t="shared" si="233"/>
        <v>7.9821842134030234</v>
      </c>
      <c r="U600" s="1">
        <f t="shared" si="223"/>
        <v>0</v>
      </c>
      <c r="V600" s="2">
        <f t="shared" si="234"/>
        <v>1816.9746639837356</v>
      </c>
      <c r="W600" s="19">
        <f t="shared" si="235"/>
        <v>786.56911860767775</v>
      </c>
      <c r="X600" s="20"/>
      <c r="Y600" s="2">
        <f t="shared" si="236"/>
        <v>766.74542950495641</v>
      </c>
      <c r="Z600" s="21">
        <f t="shared" si="237"/>
        <v>6.4054032560837504</v>
      </c>
      <c r="AA600" s="2">
        <f t="shared" si="238"/>
        <v>608.94066579922128</v>
      </c>
      <c r="AB600" s="19">
        <f t="shared" si="241"/>
        <v>93.594511992961174</v>
      </c>
      <c r="AC600" s="2"/>
      <c r="AD600" s="18"/>
      <c r="AE600" s="118"/>
      <c r="AG600" s="2"/>
      <c r="AH600" s="19"/>
      <c r="AI600" s="20"/>
      <c r="AJ600" s="21"/>
      <c r="AK600" s="21"/>
      <c r="AM600" s="19"/>
      <c r="AN600" s="18"/>
      <c r="AO600" s="2"/>
      <c r="AP600" s="18"/>
      <c r="AQ600" s="118"/>
      <c r="AS600" s="2"/>
      <c r="AT600" s="19"/>
      <c r="AU600" s="20"/>
      <c r="AV600" s="21"/>
      <c r="AW600" s="21"/>
    </row>
    <row r="601" spans="1:49" x14ac:dyDescent="0.25">
      <c r="A601" s="1">
        <f t="shared" si="224"/>
        <v>575</v>
      </c>
      <c r="B601" s="19">
        <f t="shared" si="225"/>
        <v>496.84600561075746</v>
      </c>
      <c r="C601" s="18">
        <f t="shared" si="239"/>
        <v>8.873379394167511</v>
      </c>
      <c r="D601" s="2">
        <f t="shared" si="218"/>
        <v>0.95972397824474698</v>
      </c>
      <c r="E601" s="18">
        <f t="shared" si="226"/>
        <v>8.8893747938049241</v>
      </c>
      <c r="F601" s="21">
        <f t="shared" si="219"/>
        <v>5.799805531082816</v>
      </c>
      <c r="G601" s="1">
        <f t="shared" si="220"/>
        <v>0</v>
      </c>
      <c r="H601" s="2">
        <f t="shared" si="216"/>
        <v>1153.5140784919324</v>
      </c>
      <c r="I601" s="19">
        <f t="shared" si="242"/>
        <v>499.35674393590148</v>
      </c>
      <c r="J601" s="20">
        <f t="shared" si="221"/>
        <v>0.91022824300747618</v>
      </c>
      <c r="K601" s="21">
        <f t="shared" si="222"/>
        <v>479.46699598700627</v>
      </c>
      <c r="L601" s="21">
        <f t="shared" si="217"/>
        <v>4.6319117512723853</v>
      </c>
      <c r="M601" s="2">
        <f t="shared" si="227"/>
        <v>378.82257392674217</v>
      </c>
      <c r="N601" s="19">
        <f t="shared" si="240"/>
        <v>341.44932853595134</v>
      </c>
      <c r="O601" s="1">
        <f t="shared" si="228"/>
        <v>575</v>
      </c>
      <c r="P601" s="19">
        <f t="shared" si="229"/>
        <v>786.56911860767775</v>
      </c>
      <c r="Q601" s="18">
        <f t="shared" si="230"/>
        <v>10.453562428427569</v>
      </c>
      <c r="R601" s="2">
        <f t="shared" si="231"/>
        <v>0.96858256524257891</v>
      </c>
      <c r="S601" s="18">
        <f t="shared" si="232"/>
        <v>10.469705471181612</v>
      </c>
      <c r="T601" s="18">
        <f t="shared" si="233"/>
        <v>8.0064952533909661</v>
      </c>
      <c r="U601" s="1">
        <f t="shared" si="223"/>
        <v>0</v>
      </c>
      <c r="V601" s="2">
        <f t="shared" si="234"/>
        <v>1824.9811592371266</v>
      </c>
      <c r="W601" s="19">
        <f t="shared" si="235"/>
        <v>790.03513386888596</v>
      </c>
      <c r="X601" s="20"/>
      <c r="Y601" s="2">
        <f t="shared" si="236"/>
        <v>770.21224194967465</v>
      </c>
      <c r="Z601" s="21">
        <f t="shared" si="237"/>
        <v>6.4252017773581782</v>
      </c>
      <c r="AA601" s="2">
        <f t="shared" si="238"/>
        <v>611.7221384301123</v>
      </c>
      <c r="AB601" s="19">
        <f t="shared" si="241"/>
        <v>93.665350434971486</v>
      </c>
      <c r="AC601" s="2"/>
      <c r="AD601" s="18"/>
      <c r="AE601" s="118"/>
      <c r="AG601" s="2"/>
      <c r="AH601" s="19"/>
      <c r="AI601" s="20"/>
      <c r="AJ601" s="21"/>
      <c r="AK601" s="21"/>
      <c r="AM601" s="19"/>
      <c r="AN601" s="18"/>
      <c r="AO601" s="2"/>
      <c r="AP601" s="18"/>
      <c r="AQ601" s="118"/>
      <c r="AS601" s="2"/>
      <c r="AT601" s="19"/>
      <c r="AU601" s="20"/>
      <c r="AV601" s="21"/>
      <c r="AW601" s="21"/>
    </row>
    <row r="602" spans="1:49" x14ac:dyDescent="0.25">
      <c r="A602" s="1">
        <f t="shared" si="224"/>
        <v>576</v>
      </c>
      <c r="B602" s="19">
        <f t="shared" si="225"/>
        <v>499.35674393590148</v>
      </c>
      <c r="C602" s="18">
        <f t="shared" si="239"/>
        <v>8.8893747938049241</v>
      </c>
      <c r="D602" s="2">
        <f t="shared" si="218"/>
        <v>0.95982073534929735</v>
      </c>
      <c r="E602" s="18">
        <f t="shared" si="226"/>
        <v>8.9053718060607459</v>
      </c>
      <c r="F602" s="21">
        <f t="shared" si="219"/>
        <v>5.8203867230601718</v>
      </c>
      <c r="G602" s="1">
        <f t="shared" si="220"/>
        <v>0</v>
      </c>
      <c r="H602" s="2">
        <f t="shared" ref="H602:H665" si="243">(B602*2.31)+F602-G602</f>
        <v>1159.3344652149926</v>
      </c>
      <c r="I602" s="19">
        <f t="shared" si="242"/>
        <v>501.87639186796218</v>
      </c>
      <c r="J602" s="20">
        <f t="shared" si="221"/>
        <v>0.91017058877695467</v>
      </c>
      <c r="K602" s="21">
        <f t="shared" si="222"/>
        <v>481.98722343809135</v>
      </c>
      <c r="L602" s="21">
        <f t="shared" ref="L602:L665" si="244">($C$11*((0.4085*E602/$C$5^2))^2)/64.4</f>
        <v>4.648597608658342</v>
      </c>
      <c r="M602" s="2">
        <f t="shared" si="227"/>
        <v>380.83495384391028</v>
      </c>
      <c r="N602" s="19">
        <f t="shared" si="240"/>
        <v>341.53263181577296</v>
      </c>
      <c r="O602" s="1">
        <f t="shared" si="228"/>
        <v>576</v>
      </c>
      <c r="P602" s="19">
        <f t="shared" si="229"/>
        <v>790.03513386888596</v>
      </c>
      <c r="Q602" s="18">
        <f t="shared" si="230"/>
        <v>10.469705471181612</v>
      </c>
      <c r="R602" s="2">
        <f t="shared" si="231"/>
        <v>0.96866774260949318</v>
      </c>
      <c r="S602" s="18">
        <f t="shared" si="232"/>
        <v>10.485849933558438</v>
      </c>
      <c r="T602" s="18">
        <f t="shared" si="233"/>
        <v>8.0308449185466699</v>
      </c>
      <c r="U602" s="1">
        <f t="shared" si="223"/>
        <v>0</v>
      </c>
      <c r="V602" s="2">
        <f t="shared" si="234"/>
        <v>1833.0120041556731</v>
      </c>
      <c r="W602" s="19">
        <f t="shared" si="235"/>
        <v>793.511690110681</v>
      </c>
      <c r="X602" s="20"/>
      <c r="Y602" s="2">
        <f t="shared" si="236"/>
        <v>773.68959779940531</v>
      </c>
      <c r="Z602" s="21">
        <f t="shared" si="237"/>
        <v>6.4450325942707734</v>
      </c>
      <c r="AA602" s="2">
        <f t="shared" si="238"/>
        <v>614.51219583022953</v>
      </c>
      <c r="AB602" s="19">
        <f t="shared" si="241"/>
        <v>93.736079652514974</v>
      </c>
      <c r="AC602" s="2"/>
      <c r="AD602" s="18"/>
      <c r="AE602" s="118"/>
      <c r="AG602" s="2"/>
      <c r="AH602" s="19"/>
      <c r="AI602" s="20"/>
      <c r="AJ602" s="21"/>
      <c r="AK602" s="21"/>
      <c r="AM602" s="19"/>
      <c r="AN602" s="18"/>
      <c r="AO602" s="2"/>
      <c r="AP602" s="18"/>
      <c r="AQ602" s="118"/>
      <c r="AS602" s="2"/>
      <c r="AT602" s="19"/>
      <c r="AU602" s="20"/>
      <c r="AV602" s="21"/>
      <c r="AW602" s="21"/>
    </row>
    <row r="603" spans="1:49" x14ac:dyDescent="0.25">
      <c r="A603" s="1">
        <f t="shared" si="224"/>
        <v>577</v>
      </c>
      <c r="B603" s="19">
        <f t="shared" si="225"/>
        <v>501.87639186796218</v>
      </c>
      <c r="C603" s="18">
        <f t="shared" si="239"/>
        <v>8.9053718060607459</v>
      </c>
      <c r="D603" s="2">
        <f t="shared" ref="D603:D666" si="245">$C$17*I602^$C$18</f>
        <v>0.95991735768729713</v>
      </c>
      <c r="E603" s="18">
        <f t="shared" si="226"/>
        <v>8.9213704286888671</v>
      </c>
      <c r="F603" s="21">
        <f t="shared" ref="F603:F666" si="246">(($C$7*($C$16/12)*(E603)^1.852)/($C$5^4.871)+L603)-G603</f>
        <v>5.8410059588974317</v>
      </c>
      <c r="G603" s="1">
        <f t="shared" ref="G603:G666" si="247">$C$9*($C$16/12)/100</f>
        <v>0</v>
      </c>
      <c r="H603" s="2">
        <f t="shared" si="243"/>
        <v>1165.1754711738902</v>
      </c>
      <c r="I603" s="19">
        <f t="shared" si="242"/>
        <v>504.40496587614291</v>
      </c>
      <c r="J603" s="20">
        <f t="shared" ref="J603:J666" si="248">(1-1.27*0.05)*($D$26/((E603*60)/((A603/($C$16/12)+1))))</f>
        <v>0.9101129770253561</v>
      </c>
      <c r="K603" s="21">
        <f t="shared" ref="K603:K666" si="249">K602+(F603*0.433)</f>
        <v>484.51637901829395</v>
      </c>
      <c r="L603" s="21">
        <f t="shared" si="244"/>
        <v>4.6653151505904802</v>
      </c>
      <c r="M603" s="2">
        <f t="shared" si="227"/>
        <v>382.85457079221783</v>
      </c>
      <c r="N603" s="19">
        <f t="shared" si="240"/>
        <v>341.61578545517335</v>
      </c>
      <c r="O603" s="1">
        <f t="shared" si="228"/>
        <v>577</v>
      </c>
      <c r="P603" s="19">
        <f t="shared" si="229"/>
        <v>793.511690110681</v>
      </c>
      <c r="Q603" s="18">
        <f t="shared" si="230"/>
        <v>10.485849933558438</v>
      </c>
      <c r="R603" s="2">
        <f t="shared" si="231"/>
        <v>0.96875281192651097</v>
      </c>
      <c r="S603" s="18">
        <f t="shared" si="232"/>
        <v>10.501995813757214</v>
      </c>
      <c r="T603" s="18">
        <f t="shared" si="233"/>
        <v>8.0552332144206211</v>
      </c>
      <c r="U603" s="1">
        <f t="shared" ref="U603:U666" si="250">$C$9*($C$16/12)/100</f>
        <v>0</v>
      </c>
      <c r="V603" s="2">
        <f t="shared" si="234"/>
        <v>1841.0672373700938</v>
      </c>
      <c r="W603" s="19">
        <f t="shared" si="235"/>
        <v>796.99880405631768</v>
      </c>
      <c r="X603" s="20"/>
      <c r="Y603" s="2">
        <f t="shared" si="236"/>
        <v>777.17751378124944</v>
      </c>
      <c r="Z603" s="21">
        <f t="shared" si="237"/>
        <v>6.4648957126649638</v>
      </c>
      <c r="AA603" s="2">
        <f t="shared" si="238"/>
        <v>617.31085198289838</v>
      </c>
      <c r="AB603" s="19">
        <f t="shared" si="241"/>
        <v>93.806699972334499</v>
      </c>
      <c r="AC603" s="2"/>
      <c r="AD603" s="18"/>
      <c r="AE603" s="118"/>
      <c r="AG603" s="2"/>
      <c r="AH603" s="19"/>
      <c r="AI603" s="20"/>
      <c r="AJ603" s="21"/>
      <c r="AK603" s="21"/>
      <c r="AM603" s="19"/>
      <c r="AN603" s="18"/>
      <c r="AO603" s="2"/>
      <c r="AP603" s="18"/>
      <c r="AQ603" s="118"/>
      <c r="AS603" s="2"/>
      <c r="AT603" s="19"/>
      <c r="AU603" s="20"/>
      <c r="AV603" s="21"/>
      <c r="AW603" s="21"/>
    </row>
    <row r="604" spans="1:49" x14ac:dyDescent="0.25">
      <c r="A604" s="1">
        <f t="shared" ref="A604:A667" si="251">A603+$C$16/12</f>
        <v>578</v>
      </c>
      <c r="B604" s="19">
        <f t="shared" ref="B604:B667" si="252">I603</f>
        <v>504.40496587614291</v>
      </c>
      <c r="C604" s="18">
        <f t="shared" si="239"/>
        <v>8.9213704286888671</v>
      </c>
      <c r="D604" s="2">
        <f t="shared" si="245"/>
        <v>0.96001384557936331</v>
      </c>
      <c r="E604" s="18">
        <f t="shared" ref="E604:E667" si="253">C604+D604/60</f>
        <v>8.9373706594485238</v>
      </c>
      <c r="F604" s="21">
        <f t="shared" si="246"/>
        <v>5.8616632449768993</v>
      </c>
      <c r="G604" s="1">
        <f t="shared" si="247"/>
        <v>0</v>
      </c>
      <c r="H604" s="2">
        <f t="shared" si="243"/>
        <v>1171.037134418867</v>
      </c>
      <c r="I604" s="19">
        <f t="shared" si="242"/>
        <v>506.94248243240997</v>
      </c>
      <c r="J604" s="20">
        <f t="shared" si="248"/>
        <v>0.91005540778386784</v>
      </c>
      <c r="K604" s="21">
        <f t="shared" si="249"/>
        <v>487.05447920336894</v>
      </c>
      <c r="L604" s="21">
        <f t="shared" si="244"/>
        <v>4.6820643837820839</v>
      </c>
      <c r="M604" s="2">
        <f t="shared" ref="M604:M667" si="254">(L604/2.31)+M603</f>
        <v>384.88143849082479</v>
      </c>
      <c r="N604" s="19">
        <f t="shared" si="240"/>
        <v>341.69878997581361</v>
      </c>
      <c r="O604" s="1">
        <f t="shared" ref="O604:O667" si="255">O603+$C$16/12</f>
        <v>578</v>
      </c>
      <c r="P604" s="19">
        <f t="shared" ref="P604:P667" si="256">W603</f>
        <v>796.99880405631768</v>
      </c>
      <c r="Q604" s="18">
        <f t="shared" ref="Q604:Q667" si="257">S603</f>
        <v>10.501995813757214</v>
      </c>
      <c r="R604" s="2">
        <f t="shared" ref="R604:R667" si="258">$C$17*W603^$C$18</f>
        <v>0.96883777345298494</v>
      </c>
      <c r="S604" s="18">
        <f t="shared" ref="S604:S667" si="259">Q604+R604/60</f>
        <v>10.51814310998143</v>
      </c>
      <c r="T604" s="18">
        <f t="shared" ref="T604:T667" si="260">(($C$7*($C$16/12)*(S604)^1.852)/($C$5^4.871)+Z604)-U604</f>
        <v>8.079660146556094</v>
      </c>
      <c r="U604" s="1">
        <f t="shared" si="250"/>
        <v>0</v>
      </c>
      <c r="V604" s="2">
        <f t="shared" ref="V604:V667" si="261">(P604*2.31)+T604-U604</f>
        <v>1849.1468975166499</v>
      </c>
      <c r="W604" s="19">
        <f t="shared" ref="W604:W667" si="262">V604/2.31</f>
        <v>800.49649243145018</v>
      </c>
      <c r="X604" s="20"/>
      <c r="Y604" s="2">
        <f t="shared" ref="Y604:Y667" si="263">Y603+(T604*0.433)</f>
        <v>780.67600662470818</v>
      </c>
      <c r="Z604" s="21">
        <f t="shared" ref="Z604:Z667" si="264">($C$11*((0.4085*S604/$C$5^2))^2)/64.4</f>
        <v>6.4847911383765764</v>
      </c>
      <c r="AA604" s="2">
        <f t="shared" ref="AA604:AA667" si="265">(Z604/2.31)+AA603</f>
        <v>620.1181208739705</v>
      </c>
      <c r="AB604" s="19">
        <f t="shared" si="241"/>
        <v>93.877211719722297</v>
      </c>
      <c r="AC604" s="2"/>
      <c r="AD604" s="18"/>
      <c r="AE604" s="118"/>
      <c r="AG604" s="2"/>
      <c r="AH604" s="19"/>
      <c r="AI604" s="20"/>
      <c r="AJ604" s="21"/>
      <c r="AK604" s="21"/>
      <c r="AM604" s="19"/>
      <c r="AN604" s="18"/>
      <c r="AO604" s="2"/>
      <c r="AP604" s="18"/>
      <c r="AQ604" s="118"/>
      <c r="AS604" s="2"/>
      <c r="AT604" s="19"/>
      <c r="AU604" s="20"/>
      <c r="AV604" s="21"/>
      <c r="AW604" s="21"/>
    </row>
    <row r="605" spans="1:49" x14ac:dyDescent="0.25">
      <c r="A605" s="1">
        <f t="shared" si="251"/>
        <v>579</v>
      </c>
      <c r="B605" s="19">
        <f t="shared" si="252"/>
        <v>506.94248243240997</v>
      </c>
      <c r="C605" s="18">
        <f t="shared" ref="C605:C668" si="266">E604</f>
        <v>8.9373706594485238</v>
      </c>
      <c r="D605" s="2">
        <f t="shared" si="245"/>
        <v>0.96011019934546993</v>
      </c>
      <c r="E605" s="18">
        <f t="shared" si="253"/>
        <v>8.9533724961042811</v>
      </c>
      <c r="F605" s="21">
        <f t="shared" si="246"/>
        <v>5.8823585876710016</v>
      </c>
      <c r="G605" s="1">
        <f t="shared" si="247"/>
        <v>0</v>
      </c>
      <c r="H605" s="2">
        <f t="shared" si="243"/>
        <v>1176.919493006538</v>
      </c>
      <c r="I605" s="19">
        <f t="shared" si="242"/>
        <v>509.48895801148831</v>
      </c>
      <c r="J605" s="20">
        <f t="shared" si="248"/>
        <v>0.90999788108280955</v>
      </c>
      <c r="K605" s="21">
        <f t="shared" si="249"/>
        <v>489.6015404718305</v>
      </c>
      <c r="L605" s="21">
        <f t="shared" si="244"/>
        <v>4.6988453149361176</v>
      </c>
      <c r="M605" s="2">
        <f t="shared" si="254"/>
        <v>386.9155706617928</v>
      </c>
      <c r="N605" s="19">
        <f t="shared" ref="N605:N668" si="267">($C$16/12)/(0.4085*E604/$C$5^2)+N604</f>
        <v>341.78164589665477</v>
      </c>
      <c r="O605" s="1">
        <f t="shared" si="255"/>
        <v>579</v>
      </c>
      <c r="P605" s="19">
        <f t="shared" si="256"/>
        <v>800.49649243145018</v>
      </c>
      <c r="Q605" s="18">
        <f t="shared" si="257"/>
        <v>10.51814310998143</v>
      </c>
      <c r="R605" s="2">
        <f t="shared" si="258"/>
        <v>0.96892262744747237</v>
      </c>
      <c r="S605" s="18">
        <f t="shared" si="259"/>
        <v>10.534291820438888</v>
      </c>
      <c r="T605" s="18">
        <f t="shared" si="260"/>
        <v>8.104125720489165</v>
      </c>
      <c r="U605" s="1">
        <f t="shared" si="250"/>
        <v>0</v>
      </c>
      <c r="V605" s="2">
        <f t="shared" si="261"/>
        <v>1857.2510232371392</v>
      </c>
      <c r="W605" s="19">
        <f t="shared" si="262"/>
        <v>804.00477196412953</v>
      </c>
      <c r="X605" s="20"/>
      <c r="Y605" s="2">
        <f t="shared" si="263"/>
        <v>784.18509306167994</v>
      </c>
      <c r="Z605" s="21">
        <f t="shared" si="264"/>
        <v>6.5047188772338753</v>
      </c>
      <c r="AA605" s="2">
        <f t="shared" si="265"/>
        <v>622.93401649182067</v>
      </c>
      <c r="AB605" s="19">
        <f t="shared" ref="AB605:AB668" si="268">($C$16/12)/(0.4085*S604/$C$5^2)+AB604</f>
        <v>93.947615218528526</v>
      </c>
      <c r="AC605" s="2"/>
      <c r="AD605" s="18"/>
      <c r="AE605" s="118"/>
      <c r="AG605" s="2"/>
      <c r="AH605" s="19"/>
      <c r="AI605" s="20"/>
      <c r="AJ605" s="21"/>
      <c r="AK605" s="21"/>
      <c r="AM605" s="19"/>
      <c r="AN605" s="18"/>
      <c r="AO605" s="2"/>
      <c r="AP605" s="18"/>
      <c r="AQ605" s="118"/>
      <c r="AS605" s="2"/>
      <c r="AT605" s="19"/>
      <c r="AU605" s="20"/>
      <c r="AV605" s="21"/>
      <c r="AW605" s="21"/>
    </row>
    <row r="606" spans="1:49" x14ac:dyDescent="0.25">
      <c r="A606" s="1">
        <f t="shared" si="251"/>
        <v>580</v>
      </c>
      <c r="B606" s="19">
        <f t="shared" si="252"/>
        <v>509.48895801148831</v>
      </c>
      <c r="C606" s="18">
        <f t="shared" si="266"/>
        <v>8.9533724961042811</v>
      </c>
      <c r="D606" s="2">
        <f t="shared" si="245"/>
        <v>0.96020641930494322</v>
      </c>
      <c r="E606" s="18">
        <f t="shared" si="253"/>
        <v>8.9693759364260295</v>
      </c>
      <c r="F606" s="21">
        <f t="shared" si="246"/>
        <v>5.9030919933423629</v>
      </c>
      <c r="G606" s="1">
        <f t="shared" si="247"/>
        <v>0</v>
      </c>
      <c r="H606" s="2">
        <f t="shared" si="243"/>
        <v>1182.8225849998803</v>
      </c>
      <c r="I606" s="19">
        <f t="shared" si="242"/>
        <v>512.04440909085724</v>
      </c>
      <c r="J606" s="20">
        <f t="shared" si="248"/>
        <v>0.90994039695164142</v>
      </c>
      <c r="K606" s="21">
        <f t="shared" si="249"/>
        <v>492.15757930494777</v>
      </c>
      <c r="L606" s="21">
        <f t="shared" si="244"/>
        <v>4.7156579507452889</v>
      </c>
      <c r="M606" s="2">
        <f t="shared" si="254"/>
        <v>388.95698103008078</v>
      </c>
      <c r="N606" s="19">
        <f t="shared" si="267"/>
        <v>341.86435373397637</v>
      </c>
      <c r="O606" s="1">
        <f t="shared" si="255"/>
        <v>580</v>
      </c>
      <c r="P606" s="19">
        <f t="shared" si="256"/>
        <v>804.00477196412953</v>
      </c>
      <c r="Q606" s="18">
        <f t="shared" si="257"/>
        <v>10.534291820438888</v>
      </c>
      <c r="R606" s="2">
        <f t="shared" si="258"/>
        <v>0.96900737416773686</v>
      </c>
      <c r="S606" s="18">
        <f t="shared" si="259"/>
        <v>10.550441943341683</v>
      </c>
      <c r="T606" s="18">
        <f t="shared" si="260"/>
        <v>8.1286299417487449</v>
      </c>
      <c r="U606" s="1">
        <f t="shared" si="250"/>
        <v>0</v>
      </c>
      <c r="V606" s="2">
        <f t="shared" si="261"/>
        <v>1865.379653178888</v>
      </c>
      <c r="W606" s="19">
        <f t="shared" si="262"/>
        <v>807.5236593848</v>
      </c>
      <c r="X606" s="20"/>
      <c r="Y606" s="2">
        <f t="shared" si="263"/>
        <v>787.70478982645716</v>
      </c>
      <c r="Z606" s="21">
        <f t="shared" si="264"/>
        <v>6.5246789350575591</v>
      </c>
      <c r="AA606" s="2">
        <f t="shared" si="265"/>
        <v>625.75855282734346</v>
      </c>
      <c r="AB606" s="19">
        <f t="shared" si="268"/>
        <v>94.01791079116974</v>
      </c>
      <c r="AC606" s="2"/>
      <c r="AD606" s="18"/>
      <c r="AE606" s="118"/>
      <c r="AG606" s="2"/>
      <c r="AH606" s="19"/>
      <c r="AI606" s="20"/>
      <c r="AJ606" s="21"/>
      <c r="AK606" s="21"/>
      <c r="AM606" s="19"/>
      <c r="AN606" s="18"/>
      <c r="AO606" s="2"/>
      <c r="AP606" s="18"/>
      <c r="AQ606" s="118"/>
      <c r="AS606" s="2"/>
      <c r="AT606" s="19"/>
      <c r="AU606" s="20"/>
      <c r="AV606" s="21"/>
      <c r="AW606" s="21"/>
    </row>
    <row r="607" spans="1:49" x14ac:dyDescent="0.25">
      <c r="A607" s="1">
        <f t="shared" si="251"/>
        <v>581</v>
      </c>
      <c r="B607" s="19">
        <f t="shared" si="252"/>
        <v>512.04440909085724</v>
      </c>
      <c r="C607" s="18">
        <f t="shared" si="266"/>
        <v>8.9693759364260295</v>
      </c>
      <c r="D607" s="2">
        <f t="shared" si="245"/>
        <v>0.96030250577645748</v>
      </c>
      <c r="E607" s="18">
        <f t="shared" si="253"/>
        <v>8.9853809781889709</v>
      </c>
      <c r="F607" s="21">
        <f t="shared" si="246"/>
        <v>5.9238634683438081</v>
      </c>
      <c r="G607" s="1">
        <f t="shared" si="247"/>
        <v>0</v>
      </c>
      <c r="H607" s="2">
        <f t="shared" si="243"/>
        <v>1188.7464484682241</v>
      </c>
      <c r="I607" s="19">
        <f t="shared" si="242"/>
        <v>514.60885215074632</v>
      </c>
      <c r="J607" s="20">
        <f t="shared" si="248"/>
        <v>0.90988295541897268</v>
      </c>
      <c r="K607" s="21">
        <f t="shared" si="249"/>
        <v>494.72261218674066</v>
      </c>
      <c r="L607" s="21">
        <f t="shared" si="244"/>
        <v>4.7325022978920614</v>
      </c>
      <c r="M607" s="2">
        <f t="shared" si="254"/>
        <v>391.00568332354055</v>
      </c>
      <c r="N607" s="19">
        <f t="shared" si="267"/>
        <v>341.94691400139476</v>
      </c>
      <c r="O607" s="1">
        <f t="shared" si="255"/>
        <v>581</v>
      </c>
      <c r="P607" s="19">
        <f t="shared" si="256"/>
        <v>807.5236593848</v>
      </c>
      <c r="Q607" s="18">
        <f t="shared" si="257"/>
        <v>10.550441943341683</v>
      </c>
      <c r="R607" s="2">
        <f t="shared" si="258"/>
        <v>0.96909201387075106</v>
      </c>
      <c r="S607" s="18">
        <f t="shared" si="259"/>
        <v>10.566593476906196</v>
      </c>
      <c r="T607" s="18">
        <f t="shared" si="260"/>
        <v>8.1531728158565819</v>
      </c>
      <c r="U607" s="1">
        <f t="shared" si="250"/>
        <v>0</v>
      </c>
      <c r="V607" s="2">
        <f t="shared" si="261"/>
        <v>1873.5328259947446</v>
      </c>
      <c r="W607" s="19">
        <f t="shared" si="262"/>
        <v>811.05317142629633</v>
      </c>
      <c r="X607" s="20"/>
      <c r="Y607" s="2">
        <f t="shared" si="263"/>
        <v>791.23511365572301</v>
      </c>
      <c r="Z607" s="21">
        <f t="shared" si="264"/>
        <v>6.5446713176608009</v>
      </c>
      <c r="AA607" s="2">
        <f t="shared" si="265"/>
        <v>628.59174387394989</v>
      </c>
      <c r="AB607" s="19">
        <f t="shared" si="268"/>
        <v>94.088098758637273</v>
      </c>
      <c r="AC607" s="2"/>
      <c r="AD607" s="18"/>
      <c r="AE607" s="118"/>
      <c r="AG607" s="2"/>
      <c r="AH607" s="19"/>
      <c r="AI607" s="20"/>
      <c r="AJ607" s="21"/>
      <c r="AK607" s="21"/>
      <c r="AM607" s="19"/>
      <c r="AN607" s="18"/>
      <c r="AO607" s="2"/>
      <c r="AP607" s="18"/>
      <c r="AQ607" s="118"/>
      <c r="AS607" s="2"/>
      <c r="AT607" s="19"/>
      <c r="AU607" s="20"/>
      <c r="AV607" s="21"/>
      <c r="AW607" s="21"/>
    </row>
    <row r="608" spans="1:49" x14ac:dyDescent="0.25">
      <c r="A608" s="1">
        <f t="shared" si="251"/>
        <v>582</v>
      </c>
      <c r="B608" s="19">
        <f t="shared" si="252"/>
        <v>514.60885215074632</v>
      </c>
      <c r="C608" s="18">
        <f t="shared" si="266"/>
        <v>8.9853809781889709</v>
      </c>
      <c r="D608" s="2">
        <f t="shared" si="245"/>
        <v>0.96039845907803156</v>
      </c>
      <c r="E608" s="18">
        <f t="shared" si="253"/>
        <v>9.0013876191736042</v>
      </c>
      <c r="F608" s="21">
        <f t="shared" si="246"/>
        <v>5.9446730190184134</v>
      </c>
      <c r="G608" s="1">
        <f t="shared" si="247"/>
        <v>0</v>
      </c>
      <c r="H608" s="2">
        <f t="shared" si="243"/>
        <v>1194.6911214872425</v>
      </c>
      <c r="I608" s="19">
        <f t="shared" si="242"/>
        <v>517.18230367413094</v>
      </c>
      <c r="J608" s="20">
        <f t="shared" si="248"/>
        <v>0.90982555651257213</v>
      </c>
      <c r="K608" s="21">
        <f t="shared" si="249"/>
        <v>497.29665560397564</v>
      </c>
      <c r="L608" s="21">
        <f t="shared" si="244"/>
        <v>4.7493783630487032</v>
      </c>
      <c r="M608" s="2">
        <f t="shared" si="254"/>
        <v>393.0616912729123</v>
      </c>
      <c r="N608" s="19">
        <f t="shared" si="267"/>
        <v>342.02932720988139</v>
      </c>
      <c r="O608" s="1">
        <f t="shared" si="255"/>
        <v>582</v>
      </c>
      <c r="P608" s="19">
        <f t="shared" si="256"/>
        <v>811.05317142629633</v>
      </c>
      <c r="Q608" s="18">
        <f t="shared" si="257"/>
        <v>10.566593476906196</v>
      </c>
      <c r="R608" s="2">
        <f t="shared" si="258"/>
        <v>0.96917654681269805</v>
      </c>
      <c r="S608" s="18">
        <f t="shared" si="259"/>
        <v>10.582746419353073</v>
      </c>
      <c r="T608" s="18">
        <f t="shared" si="260"/>
        <v>8.1777543483272996</v>
      </c>
      <c r="U608" s="1">
        <f t="shared" si="250"/>
        <v>0</v>
      </c>
      <c r="V608" s="2">
        <f t="shared" si="261"/>
        <v>1881.7105803430718</v>
      </c>
      <c r="W608" s="19">
        <f t="shared" si="262"/>
        <v>814.59332482384059</v>
      </c>
      <c r="X608" s="20"/>
      <c r="Y608" s="2">
        <f t="shared" si="263"/>
        <v>794.77608128854877</v>
      </c>
      <c r="Z608" s="21">
        <f t="shared" si="264"/>
        <v>6.5646960308492597</v>
      </c>
      <c r="AA608" s="2">
        <f t="shared" si="265"/>
        <v>631.43360362756425</v>
      </c>
      <c r="AB608" s="19">
        <f t="shared" si="268"/>
        <v>94.158179440505634</v>
      </c>
      <c r="AC608" s="2"/>
      <c r="AD608" s="18"/>
      <c r="AE608" s="118"/>
      <c r="AG608" s="2"/>
      <c r="AH608" s="19"/>
      <c r="AI608" s="20"/>
      <c r="AJ608" s="21"/>
      <c r="AK608" s="21"/>
      <c r="AM608" s="19"/>
      <c r="AN608" s="18"/>
      <c r="AO608" s="2"/>
      <c r="AP608" s="18"/>
      <c r="AQ608" s="118"/>
      <c r="AS608" s="2"/>
      <c r="AT608" s="19"/>
      <c r="AU608" s="20"/>
      <c r="AV608" s="21"/>
      <c r="AW608" s="21"/>
    </row>
    <row r="609" spans="1:49" x14ac:dyDescent="0.25">
      <c r="A609" s="1">
        <f t="shared" si="251"/>
        <v>583</v>
      </c>
      <c r="B609" s="19">
        <f t="shared" si="252"/>
        <v>517.18230367413094</v>
      </c>
      <c r="C609" s="18">
        <f t="shared" si="266"/>
        <v>9.0013876191736042</v>
      </c>
      <c r="D609" s="2">
        <f t="shared" si="245"/>
        <v>0.96049427952702426</v>
      </c>
      <c r="E609" s="18">
        <f t="shared" si="253"/>
        <v>9.017395857165722</v>
      </c>
      <c r="F609" s="21">
        <f t="shared" si="246"/>
        <v>5.9655206516995296</v>
      </c>
      <c r="G609" s="1">
        <f t="shared" si="247"/>
        <v>0</v>
      </c>
      <c r="H609" s="2">
        <f t="shared" si="243"/>
        <v>1200.6566421389421</v>
      </c>
      <c r="I609" s="19">
        <f t="shared" ref="I609:I672" si="269">H609/2.31</f>
        <v>519.76478014672819</v>
      </c>
      <c r="J609" s="20">
        <f t="shared" si="248"/>
        <v>0.90976820025937488</v>
      </c>
      <c r="K609" s="21">
        <f t="shared" si="249"/>
        <v>499.87972604616152</v>
      </c>
      <c r="L609" s="21">
        <f t="shared" si="244"/>
        <v>4.7662861528773082</v>
      </c>
      <c r="M609" s="2">
        <f t="shared" si="254"/>
        <v>395.12501861182022</v>
      </c>
      <c r="N609" s="19">
        <f t="shared" si="267"/>
        <v>342.11159386778087</v>
      </c>
      <c r="O609" s="1">
        <f t="shared" si="255"/>
        <v>583</v>
      </c>
      <c r="P609" s="19">
        <f t="shared" si="256"/>
        <v>814.59332482384059</v>
      </c>
      <c r="Q609" s="18">
        <f t="shared" si="257"/>
        <v>10.582746419353073</v>
      </c>
      <c r="R609" s="2">
        <f t="shared" si="258"/>
        <v>0.96926097324897398</v>
      </c>
      <c r="S609" s="18">
        <f t="shared" si="259"/>
        <v>10.598900768907223</v>
      </c>
      <c r="T609" s="18">
        <f t="shared" si="260"/>
        <v>8.2023745446683964</v>
      </c>
      <c r="U609" s="1">
        <f t="shared" si="250"/>
        <v>0</v>
      </c>
      <c r="V609" s="2">
        <f t="shared" si="261"/>
        <v>1889.9129548877402</v>
      </c>
      <c r="W609" s="19">
        <f t="shared" si="262"/>
        <v>818.14413631503896</v>
      </c>
      <c r="X609" s="20"/>
      <c r="Y609" s="2">
        <f t="shared" si="263"/>
        <v>798.32770946639016</v>
      </c>
      <c r="Z609" s="21">
        <f t="shared" si="264"/>
        <v>6.584753080421101</v>
      </c>
      <c r="AA609" s="2">
        <f t="shared" si="265"/>
        <v>634.28414608662104</v>
      </c>
      <c r="AB609" s="19">
        <f t="shared" si="268"/>
        <v>94.228153154940784</v>
      </c>
      <c r="AC609" s="2"/>
      <c r="AD609" s="18"/>
      <c r="AE609" s="118"/>
      <c r="AG609" s="2"/>
      <c r="AH609" s="19"/>
      <c r="AI609" s="20"/>
      <c r="AJ609" s="21"/>
      <c r="AK609" s="21"/>
      <c r="AM609" s="19"/>
      <c r="AN609" s="18"/>
      <c r="AO609" s="2"/>
      <c r="AP609" s="18"/>
      <c r="AQ609" s="118"/>
      <c r="AS609" s="2"/>
      <c r="AT609" s="19"/>
      <c r="AU609" s="20"/>
      <c r="AV609" s="21"/>
      <c r="AW609" s="21"/>
    </row>
    <row r="610" spans="1:49" x14ac:dyDescent="0.25">
      <c r="A610" s="1">
        <f t="shared" si="251"/>
        <v>584</v>
      </c>
      <c r="B610" s="19">
        <f t="shared" si="252"/>
        <v>519.76478014672819</v>
      </c>
      <c r="C610" s="18">
        <f t="shared" si="266"/>
        <v>9.017395857165722</v>
      </c>
      <c r="D610" s="2">
        <f t="shared" si="245"/>
        <v>0.96058996744013037</v>
      </c>
      <c r="E610" s="18">
        <f t="shared" si="253"/>
        <v>9.0334056899563908</v>
      </c>
      <c r="F610" s="21">
        <f t="shared" si="246"/>
        <v>5.9864063727108174</v>
      </c>
      <c r="G610" s="1">
        <f t="shared" si="247"/>
        <v>0</v>
      </c>
      <c r="H610" s="2">
        <f t="shared" si="243"/>
        <v>1206.643048511653</v>
      </c>
      <c r="I610" s="19">
        <f t="shared" si="269"/>
        <v>522.35629805699261</v>
      </c>
      <c r="J610" s="20">
        <f t="shared" si="248"/>
        <v>0.90971088668549249</v>
      </c>
      <c r="K610" s="21">
        <f t="shared" si="249"/>
        <v>502.47184000554529</v>
      </c>
      <c r="L610" s="21">
        <f t="shared" si="244"/>
        <v>4.7832256740298389</v>
      </c>
      <c r="M610" s="2">
        <f t="shared" si="254"/>
        <v>397.19567907676822</v>
      </c>
      <c r="N610" s="19">
        <f t="shared" si="267"/>
        <v>342.19371448082893</v>
      </c>
      <c r="O610" s="1">
        <f t="shared" si="255"/>
        <v>584</v>
      </c>
      <c r="P610" s="19">
        <f t="shared" si="256"/>
        <v>818.14413631503896</v>
      </c>
      <c r="Q610" s="18">
        <f t="shared" si="257"/>
        <v>10.598900768907223</v>
      </c>
      <c r="R610" s="2">
        <f t="shared" si="258"/>
        <v>0.96934529343418918</v>
      </c>
      <c r="S610" s="18">
        <f t="shared" si="259"/>
        <v>10.615056523797792</v>
      </c>
      <c r="T610" s="18">
        <f t="shared" si="260"/>
        <v>8.227033410380292</v>
      </c>
      <c r="U610" s="1">
        <f t="shared" si="250"/>
        <v>0</v>
      </c>
      <c r="V610" s="2">
        <f t="shared" si="261"/>
        <v>1898.1399882981202</v>
      </c>
      <c r="W610" s="19">
        <f t="shared" si="262"/>
        <v>821.70562263987881</v>
      </c>
      <c r="X610" s="20"/>
      <c r="Y610" s="2">
        <f t="shared" si="263"/>
        <v>801.89001493308479</v>
      </c>
      <c r="Z610" s="21">
        <f t="shared" si="264"/>
        <v>6.6048424721670278</v>
      </c>
      <c r="AA610" s="2">
        <f t="shared" si="265"/>
        <v>637.14338525206131</v>
      </c>
      <c r="AB610" s="19">
        <f t="shared" si="268"/>
        <v>94.298020218708359</v>
      </c>
      <c r="AC610" s="2"/>
      <c r="AD610" s="18"/>
      <c r="AE610" s="118"/>
      <c r="AG610" s="2"/>
      <c r="AH610" s="19"/>
      <c r="AI610" s="20"/>
      <c r="AJ610" s="21"/>
      <c r="AK610" s="21"/>
      <c r="AM610" s="19"/>
      <c r="AN610" s="18"/>
      <c r="AO610" s="2"/>
      <c r="AP610" s="18"/>
      <c r="AQ610" s="118"/>
      <c r="AS610" s="2"/>
      <c r="AT610" s="19"/>
      <c r="AU610" s="20"/>
      <c r="AV610" s="21"/>
      <c r="AW610" s="21"/>
    </row>
    <row r="611" spans="1:49" x14ac:dyDescent="0.25">
      <c r="A611" s="1">
        <f t="shared" si="251"/>
        <v>585</v>
      </c>
      <c r="B611" s="19">
        <f t="shared" si="252"/>
        <v>522.35629805699261</v>
      </c>
      <c r="C611" s="18">
        <f t="shared" si="266"/>
        <v>9.0334056899563908</v>
      </c>
      <c r="D611" s="2">
        <f t="shared" si="245"/>
        <v>0.96068552313337796</v>
      </c>
      <c r="E611" s="18">
        <f t="shared" si="253"/>
        <v>9.0494171153419476</v>
      </c>
      <c r="F611" s="21">
        <f t="shared" si="246"/>
        <v>6.0073301883662849</v>
      </c>
      <c r="G611" s="1">
        <f t="shared" si="247"/>
        <v>0</v>
      </c>
      <c r="H611" s="2">
        <f t="shared" si="243"/>
        <v>1212.6503787000192</v>
      </c>
      <c r="I611" s="19">
        <f t="shared" si="269"/>
        <v>524.95687389611226</v>
      </c>
      <c r="J611" s="20">
        <f t="shared" si="248"/>
        <v>0.90965361581622128</v>
      </c>
      <c r="K611" s="21">
        <f t="shared" si="249"/>
        <v>505.07301397710791</v>
      </c>
      <c r="L611" s="21">
        <f t="shared" si="244"/>
        <v>4.8001969331481611</v>
      </c>
      <c r="M611" s="2">
        <f t="shared" si="254"/>
        <v>399.27368640713536</v>
      </c>
      <c r="N611" s="19">
        <f t="shared" si="267"/>
        <v>342.27568955217004</v>
      </c>
      <c r="O611" s="1">
        <f t="shared" si="255"/>
        <v>585</v>
      </c>
      <c r="P611" s="19">
        <f t="shared" si="256"/>
        <v>821.70562263987881</v>
      </c>
      <c r="Q611" s="18">
        <f t="shared" si="257"/>
        <v>10.615056523797792</v>
      </c>
      <c r="R611" s="2">
        <f t="shared" si="258"/>
        <v>0.96942950762217128</v>
      </c>
      <c r="S611" s="18">
        <f t="shared" si="259"/>
        <v>10.631213682258162</v>
      </c>
      <c r="T611" s="18">
        <f t="shared" si="260"/>
        <v>8.251730950956329</v>
      </c>
      <c r="U611" s="1">
        <f t="shared" si="250"/>
        <v>0</v>
      </c>
      <c r="V611" s="2">
        <f t="shared" si="261"/>
        <v>1906.3917192490762</v>
      </c>
      <c r="W611" s="19">
        <f t="shared" si="262"/>
        <v>825.27780054072559</v>
      </c>
      <c r="X611" s="20"/>
      <c r="Y611" s="2">
        <f t="shared" si="263"/>
        <v>805.4630144348489</v>
      </c>
      <c r="Z611" s="21">
        <f t="shared" si="264"/>
        <v>6.6249642118702914</v>
      </c>
      <c r="AA611" s="2">
        <f t="shared" si="265"/>
        <v>640.01133512732986</v>
      </c>
      <c r="AB611" s="19">
        <f t="shared" si="268"/>
        <v>94.367780947181842</v>
      </c>
      <c r="AC611" s="2"/>
      <c r="AD611" s="18"/>
      <c r="AE611" s="118"/>
      <c r="AG611" s="2"/>
      <c r="AH611" s="19"/>
      <c r="AI611" s="20"/>
      <c r="AJ611" s="21"/>
      <c r="AK611" s="21"/>
      <c r="AM611" s="19"/>
      <c r="AN611" s="18"/>
      <c r="AO611" s="2"/>
      <c r="AP611" s="18"/>
      <c r="AQ611" s="118"/>
      <c r="AS611" s="2"/>
      <c r="AT611" s="19"/>
      <c r="AU611" s="20"/>
      <c r="AV611" s="21"/>
      <c r="AW611" s="21"/>
    </row>
    <row r="612" spans="1:49" x14ac:dyDescent="0.25">
      <c r="A612" s="1">
        <f t="shared" si="251"/>
        <v>586</v>
      </c>
      <c r="B612" s="19">
        <f t="shared" si="252"/>
        <v>524.95687389611226</v>
      </c>
      <c r="C612" s="18">
        <f t="shared" si="266"/>
        <v>9.0494171153419476</v>
      </c>
      <c r="D612" s="2">
        <f t="shared" si="245"/>
        <v>0.96078094692212379</v>
      </c>
      <c r="E612" s="18">
        <f t="shared" si="253"/>
        <v>9.0654301311239838</v>
      </c>
      <c r="F612" s="21">
        <f t="shared" si="246"/>
        <v>6.0282921049703164</v>
      </c>
      <c r="G612" s="1">
        <f t="shared" si="247"/>
        <v>0</v>
      </c>
      <c r="H612" s="2">
        <f t="shared" si="243"/>
        <v>1218.6786708049895</v>
      </c>
      <c r="I612" s="19">
        <f t="shared" si="269"/>
        <v>527.56652415800409</v>
      </c>
      <c r="J612" s="20">
        <f t="shared" si="248"/>
        <v>0.90959638767605056</v>
      </c>
      <c r="K612" s="21">
        <f t="shared" si="249"/>
        <v>507.68326445856007</v>
      </c>
      <c r="L612" s="21">
        <f t="shared" si="244"/>
        <v>4.8171999368640677</v>
      </c>
      <c r="M612" s="2">
        <f t="shared" si="254"/>
        <v>401.35905434517173</v>
      </c>
      <c r="N612" s="19">
        <f t="shared" si="267"/>
        <v>342.35751958237518</v>
      </c>
      <c r="O612" s="1">
        <f t="shared" si="255"/>
        <v>586</v>
      </c>
      <c r="P612" s="19">
        <f t="shared" si="256"/>
        <v>825.27780054072559</v>
      </c>
      <c r="Q612" s="18">
        <f t="shared" si="257"/>
        <v>10.631213682258162</v>
      </c>
      <c r="R612" s="2">
        <f t="shared" si="258"/>
        <v>0.96951361606596631</v>
      </c>
      <c r="S612" s="18">
        <f t="shared" si="259"/>
        <v>10.647372242525927</v>
      </c>
      <c r="T612" s="18">
        <f t="shared" si="260"/>
        <v>8.2764671718827927</v>
      </c>
      <c r="U612" s="1">
        <f t="shared" si="250"/>
        <v>0</v>
      </c>
      <c r="V612" s="2">
        <f t="shared" si="261"/>
        <v>1914.668186420959</v>
      </c>
      <c r="W612" s="19">
        <f t="shared" si="262"/>
        <v>828.86068676231992</v>
      </c>
      <c r="X612" s="20"/>
      <c r="Y612" s="2">
        <f t="shared" si="263"/>
        <v>809.04672472027414</v>
      </c>
      <c r="Z612" s="21">
        <f t="shared" si="264"/>
        <v>6.645118305306716</v>
      </c>
      <c r="AA612" s="2">
        <f t="shared" si="265"/>
        <v>642.88800971837168</v>
      </c>
      <c r="AB612" s="19">
        <f t="shared" si="268"/>
        <v>94.437435654350708</v>
      </c>
      <c r="AC612" s="2"/>
      <c r="AD612" s="18"/>
      <c r="AE612" s="118"/>
      <c r="AG612" s="2"/>
      <c r="AH612" s="19"/>
      <c r="AI612" s="20"/>
      <c r="AJ612" s="21"/>
      <c r="AK612" s="21"/>
      <c r="AM612" s="19"/>
      <c r="AN612" s="18"/>
      <c r="AO612" s="2"/>
      <c r="AP612" s="18"/>
      <c r="AQ612" s="118"/>
      <c r="AS612" s="2"/>
      <c r="AT612" s="19"/>
      <c r="AU612" s="20"/>
      <c r="AV612" s="21"/>
      <c r="AW612" s="21"/>
    </row>
    <row r="613" spans="1:49" x14ac:dyDescent="0.25">
      <c r="A613" s="1">
        <f t="shared" si="251"/>
        <v>587</v>
      </c>
      <c r="B613" s="19">
        <f t="shared" si="252"/>
        <v>527.56652415800409</v>
      </c>
      <c r="C613" s="18">
        <f t="shared" si="266"/>
        <v>9.0654301311239838</v>
      </c>
      <c r="D613" s="2">
        <f t="shared" si="245"/>
        <v>0.96087623912104969</v>
      </c>
      <c r="E613" s="18">
        <f t="shared" si="253"/>
        <v>9.0814447351093346</v>
      </c>
      <c r="F613" s="21">
        <f t="shared" si="246"/>
        <v>6.0492921288177026</v>
      </c>
      <c r="G613" s="1">
        <f t="shared" si="247"/>
        <v>0</v>
      </c>
      <c r="H613" s="2">
        <f t="shared" si="243"/>
        <v>1224.7279629338072</v>
      </c>
      <c r="I613" s="19">
        <f t="shared" si="269"/>
        <v>530.18526533931049</v>
      </c>
      <c r="J613" s="20">
        <f t="shared" si="248"/>
        <v>0.90953920228867169</v>
      </c>
      <c r="K613" s="21">
        <f t="shared" si="249"/>
        <v>510.30260795033814</v>
      </c>
      <c r="L613" s="21">
        <f t="shared" si="244"/>
        <v>4.8342346917993222</v>
      </c>
      <c r="M613" s="2">
        <f t="shared" si="254"/>
        <v>403.45179663599396</v>
      </c>
      <c r="N613" s="19">
        <f t="shared" si="267"/>
        <v>342.43920506945926</v>
      </c>
      <c r="O613" s="1">
        <f t="shared" si="255"/>
        <v>587</v>
      </c>
      <c r="P613" s="19">
        <f t="shared" si="256"/>
        <v>828.86068676231992</v>
      </c>
      <c r="Q613" s="18">
        <f t="shared" si="257"/>
        <v>10.647372242525927</v>
      </c>
      <c r="R613" s="2">
        <f t="shared" si="258"/>
        <v>0.96959761901784136</v>
      </c>
      <c r="S613" s="18">
        <f t="shared" si="259"/>
        <v>10.663532202842891</v>
      </c>
      <c r="T613" s="18">
        <f t="shared" si="260"/>
        <v>8.3012420786389445</v>
      </c>
      <c r="U613" s="1">
        <f t="shared" si="250"/>
        <v>0</v>
      </c>
      <c r="V613" s="2">
        <f t="shared" si="261"/>
        <v>1922.9694284995981</v>
      </c>
      <c r="W613" s="19">
        <f t="shared" si="262"/>
        <v>832.454298051774</v>
      </c>
      <c r="X613" s="20"/>
      <c r="Y613" s="2">
        <f t="shared" si="263"/>
        <v>812.64116254032479</v>
      </c>
      <c r="Z613" s="21">
        <f t="shared" si="264"/>
        <v>6.6653047582447202</v>
      </c>
      <c r="AA613" s="2">
        <f t="shared" si="265"/>
        <v>645.77342303362911</v>
      </c>
      <c r="AB613" s="19">
        <f t="shared" si="268"/>
        <v>94.50698465282845</v>
      </c>
      <c r="AC613" s="2"/>
      <c r="AD613" s="18"/>
      <c r="AE613" s="118"/>
      <c r="AG613" s="2"/>
      <c r="AH613" s="19"/>
      <c r="AI613" s="20"/>
      <c r="AJ613" s="21"/>
      <c r="AK613" s="21"/>
      <c r="AM613" s="19"/>
      <c r="AN613" s="18"/>
      <c r="AO613" s="2"/>
      <c r="AP613" s="18"/>
      <c r="AQ613" s="118"/>
      <c r="AS613" s="2"/>
      <c r="AT613" s="19"/>
      <c r="AU613" s="20"/>
      <c r="AV613" s="21"/>
      <c r="AW613" s="21"/>
    </row>
    <row r="614" spans="1:49" x14ac:dyDescent="0.25">
      <c r="A614" s="1">
        <f t="shared" si="251"/>
        <v>588</v>
      </c>
      <c r="B614" s="19">
        <f t="shared" si="252"/>
        <v>530.18526533931049</v>
      </c>
      <c r="C614" s="18">
        <f t="shared" si="266"/>
        <v>9.0814447351093346</v>
      </c>
      <c r="D614" s="2">
        <f t="shared" si="245"/>
        <v>0.96097140004416037</v>
      </c>
      <c r="E614" s="18">
        <f t="shared" si="253"/>
        <v>9.0974609251100702</v>
      </c>
      <c r="F614" s="21">
        <f t="shared" si="246"/>
        <v>6.0703302661936753</v>
      </c>
      <c r="G614" s="1">
        <f t="shared" si="247"/>
        <v>0</v>
      </c>
      <c r="H614" s="2">
        <f t="shared" si="243"/>
        <v>1230.7982932000009</v>
      </c>
      <c r="I614" s="19">
        <f t="shared" si="269"/>
        <v>532.81311393939427</v>
      </c>
      <c r="J614" s="20">
        <f t="shared" si="248"/>
        <v>0.90948205967698548</v>
      </c>
      <c r="K614" s="21">
        <f t="shared" si="249"/>
        <v>512.93106095560006</v>
      </c>
      <c r="L614" s="21">
        <f t="shared" si="244"/>
        <v>4.8513012045656856</v>
      </c>
      <c r="M614" s="2">
        <f t="shared" si="254"/>
        <v>405.55192702758086</v>
      </c>
      <c r="N614" s="19">
        <f t="shared" si="267"/>
        <v>342.52074650889836</v>
      </c>
      <c r="O614" s="1">
        <f t="shared" si="255"/>
        <v>588</v>
      </c>
      <c r="P614" s="19">
        <f t="shared" si="256"/>
        <v>832.454298051774</v>
      </c>
      <c r="Q614" s="18">
        <f t="shared" si="257"/>
        <v>10.663532202842891</v>
      </c>
      <c r="R614" s="2">
        <f t="shared" si="258"/>
        <v>0.9696815167292866</v>
      </c>
      <c r="S614" s="18">
        <f t="shared" si="259"/>
        <v>10.679693561455046</v>
      </c>
      <c r="T614" s="18">
        <f t="shared" si="260"/>
        <v>8.3260556766970293</v>
      </c>
      <c r="U614" s="1">
        <f t="shared" si="250"/>
        <v>0</v>
      </c>
      <c r="V614" s="2">
        <f t="shared" si="261"/>
        <v>1931.2954841762951</v>
      </c>
      <c r="W614" s="19">
        <f t="shared" si="262"/>
        <v>836.05865115856932</v>
      </c>
      <c r="X614" s="20"/>
      <c r="Y614" s="2">
        <f t="shared" si="263"/>
        <v>816.24634464833457</v>
      </c>
      <c r="Z614" s="21">
        <f t="shared" si="264"/>
        <v>6.6855235764453367</v>
      </c>
      <c r="AA614" s="2">
        <f t="shared" si="265"/>
        <v>648.66758908403835</v>
      </c>
      <c r="AB614" s="19">
        <f t="shared" si="268"/>
        <v>94.57642825386057</v>
      </c>
      <c r="AC614" s="2"/>
      <c r="AD614" s="18"/>
      <c r="AE614" s="118"/>
      <c r="AG614" s="2"/>
      <c r="AH614" s="19"/>
      <c r="AI614" s="20"/>
      <c r="AJ614" s="21"/>
      <c r="AK614" s="21"/>
      <c r="AM614" s="19"/>
      <c r="AN614" s="18"/>
      <c r="AO614" s="2"/>
      <c r="AP614" s="18"/>
      <c r="AQ614" s="118"/>
      <c r="AS614" s="2"/>
      <c r="AT614" s="19"/>
      <c r="AU614" s="20"/>
      <c r="AV614" s="21"/>
      <c r="AW614" s="21"/>
    </row>
    <row r="615" spans="1:49" x14ac:dyDescent="0.25">
      <c r="A615" s="1">
        <f t="shared" si="251"/>
        <v>589</v>
      </c>
      <c r="B615" s="19">
        <f t="shared" si="252"/>
        <v>532.81311393939427</v>
      </c>
      <c r="C615" s="18">
        <f t="shared" si="266"/>
        <v>9.0974609251100702</v>
      </c>
      <c r="D615" s="2">
        <f t="shared" si="245"/>
        <v>0.96106643000477865</v>
      </c>
      <c r="E615" s="18">
        <f t="shared" si="253"/>
        <v>9.1134786989434833</v>
      </c>
      <c r="F615" s="21">
        <f t="shared" si="246"/>
        <v>6.0914065233739425</v>
      </c>
      <c r="G615" s="1">
        <f t="shared" si="247"/>
        <v>0</v>
      </c>
      <c r="H615" s="2">
        <f t="shared" si="243"/>
        <v>1236.8896997233749</v>
      </c>
      <c r="I615" s="19">
        <f t="shared" si="269"/>
        <v>535.45008646033546</v>
      </c>
      <c r="J615" s="20">
        <f t="shared" si="248"/>
        <v>0.90942495986311167</v>
      </c>
      <c r="K615" s="21">
        <f t="shared" si="249"/>
        <v>515.56863998022095</v>
      </c>
      <c r="L615" s="21">
        <f t="shared" si="244"/>
        <v>4.8683994817649499</v>
      </c>
      <c r="M615" s="2">
        <f t="shared" si="254"/>
        <v>407.65945927076916</v>
      </c>
      <c r="N615" s="19">
        <f t="shared" si="267"/>
        <v>342.602144393647</v>
      </c>
      <c r="O615" s="1">
        <f t="shared" si="255"/>
        <v>589</v>
      </c>
      <c r="P615" s="19">
        <f t="shared" si="256"/>
        <v>836.05865115856932</v>
      </c>
      <c r="Q615" s="18">
        <f t="shared" si="257"/>
        <v>10.679693561455046</v>
      </c>
      <c r="R615" s="2">
        <f t="shared" si="258"/>
        <v>0.96976530945101702</v>
      </c>
      <c r="S615" s="18">
        <f t="shared" si="259"/>
        <v>10.695856316612563</v>
      </c>
      <c r="T615" s="18">
        <f t="shared" si="260"/>
        <v>8.3509079715222967</v>
      </c>
      <c r="U615" s="1">
        <f t="shared" si="250"/>
        <v>0</v>
      </c>
      <c r="V615" s="2">
        <f t="shared" si="261"/>
        <v>1939.6463921478173</v>
      </c>
      <c r="W615" s="19">
        <f t="shared" si="262"/>
        <v>839.67376283455292</v>
      </c>
      <c r="X615" s="20"/>
      <c r="Y615" s="2">
        <f t="shared" si="263"/>
        <v>819.86228780000374</v>
      </c>
      <c r="Z615" s="21">
        <f t="shared" si="264"/>
        <v>6.7057747656622286</v>
      </c>
      <c r="AA615" s="2">
        <f t="shared" si="265"/>
        <v>651.57052188302634</v>
      </c>
      <c r="AB615" s="19">
        <f t="shared" si="268"/>
        <v>94.645766767332532</v>
      </c>
      <c r="AC615" s="2"/>
      <c r="AD615" s="18"/>
      <c r="AE615" s="118"/>
      <c r="AG615" s="2"/>
      <c r="AH615" s="19"/>
      <c r="AI615" s="20"/>
      <c r="AJ615" s="21"/>
      <c r="AK615" s="21"/>
      <c r="AM615" s="19"/>
      <c r="AN615" s="18"/>
      <c r="AO615" s="2"/>
      <c r="AP615" s="18"/>
      <c r="AQ615" s="118"/>
      <c r="AS615" s="2"/>
      <c r="AT615" s="19"/>
      <c r="AU615" s="20"/>
      <c r="AV615" s="21"/>
      <c r="AW615" s="21"/>
    </row>
    <row r="616" spans="1:49" x14ac:dyDescent="0.25">
      <c r="A616" s="1">
        <f t="shared" si="251"/>
        <v>590</v>
      </c>
      <c r="B616" s="19">
        <f t="shared" si="252"/>
        <v>535.45008646033546</v>
      </c>
      <c r="C616" s="18">
        <f t="shared" si="266"/>
        <v>9.1134786989434833</v>
      </c>
      <c r="D616" s="2">
        <f t="shared" si="245"/>
        <v>0.9611613293155431</v>
      </c>
      <c r="E616" s="18">
        <f t="shared" si="253"/>
        <v>9.1294980544320765</v>
      </c>
      <c r="F616" s="21">
        <f t="shared" si="246"/>
        <v>6.1125209066247193</v>
      </c>
      <c r="G616" s="1">
        <f t="shared" si="247"/>
        <v>0</v>
      </c>
      <c r="H616" s="2">
        <f t="shared" si="243"/>
        <v>1243.0022206299996</v>
      </c>
      <c r="I616" s="19">
        <f t="shared" si="269"/>
        <v>538.09619940692619</v>
      </c>
      <c r="J616" s="20">
        <f t="shared" si="248"/>
        <v>0.90936790286839631</v>
      </c>
      <c r="K616" s="21">
        <f t="shared" si="249"/>
        <v>518.21536153278942</v>
      </c>
      <c r="L616" s="21">
        <f t="shared" si="244"/>
        <v>4.885529529988978</v>
      </c>
      <c r="M616" s="2">
        <f t="shared" si="254"/>
        <v>409.77440711924925</v>
      </c>
      <c r="N616" s="19">
        <f t="shared" si="267"/>
        <v>342.68339921415514</v>
      </c>
      <c r="O616" s="1">
        <f t="shared" si="255"/>
        <v>590</v>
      </c>
      <c r="P616" s="19">
        <f t="shared" si="256"/>
        <v>839.67376283455292</v>
      </c>
      <c r="Q616" s="18">
        <f t="shared" si="257"/>
        <v>10.695856316612563</v>
      </c>
      <c r="R616" s="2">
        <f t="shared" si="258"/>
        <v>0.96984899743297481</v>
      </c>
      <c r="S616" s="18">
        <f t="shared" si="259"/>
        <v>10.712020466569779</v>
      </c>
      <c r="T616" s="18">
        <f t="shared" si="260"/>
        <v>8.3757989685730259</v>
      </c>
      <c r="U616" s="1">
        <f t="shared" si="250"/>
        <v>0</v>
      </c>
      <c r="V616" s="2">
        <f t="shared" si="261"/>
        <v>1948.0221911163903</v>
      </c>
      <c r="W616" s="19">
        <f t="shared" si="262"/>
        <v>843.29964983393518</v>
      </c>
      <c r="X616" s="20"/>
      <c r="Y616" s="2">
        <f t="shared" si="263"/>
        <v>823.48900875339586</v>
      </c>
      <c r="Z616" s="21">
        <f t="shared" si="264"/>
        <v>6.7260583316417195</v>
      </c>
      <c r="AA616" s="2">
        <f t="shared" si="265"/>
        <v>654.48223544650762</v>
      </c>
      <c r="AB616" s="19">
        <f t="shared" si="268"/>
        <v>94.715000501777638</v>
      </c>
      <c r="AC616" s="2"/>
      <c r="AD616" s="18"/>
      <c r="AE616" s="118"/>
      <c r="AG616" s="2"/>
      <c r="AH616" s="19"/>
      <c r="AI616" s="20"/>
      <c r="AJ616" s="21"/>
      <c r="AK616" s="21"/>
      <c r="AM616" s="19"/>
      <c r="AN616" s="18"/>
      <c r="AO616" s="2"/>
      <c r="AP616" s="18"/>
      <c r="AQ616" s="118"/>
      <c r="AS616" s="2"/>
      <c r="AT616" s="19"/>
      <c r="AU616" s="20"/>
      <c r="AV616" s="21"/>
      <c r="AW616" s="21"/>
    </row>
    <row r="617" spans="1:49" x14ac:dyDescent="0.25">
      <c r="A617" s="1">
        <f t="shared" si="251"/>
        <v>591</v>
      </c>
      <c r="B617" s="19">
        <f t="shared" si="252"/>
        <v>538.09619940692619</v>
      </c>
      <c r="C617" s="18">
        <f t="shared" si="266"/>
        <v>9.1294980544320765</v>
      </c>
      <c r="D617" s="2">
        <f t="shared" si="245"/>
        <v>0.96125609828840519</v>
      </c>
      <c r="E617" s="18">
        <f t="shared" si="253"/>
        <v>9.1455189894035502</v>
      </c>
      <c r="F617" s="21">
        <f t="shared" si="246"/>
        <v>6.1336734222027482</v>
      </c>
      <c r="G617" s="1">
        <f t="shared" si="247"/>
        <v>0</v>
      </c>
      <c r="H617" s="2">
        <f t="shared" si="243"/>
        <v>1249.1358940522023</v>
      </c>
      <c r="I617" s="19">
        <f t="shared" si="269"/>
        <v>540.75146928666766</v>
      </c>
      <c r="J617" s="20">
        <f t="shared" si="248"/>
        <v>0.90931088871341992</v>
      </c>
      <c r="K617" s="21">
        <f t="shared" si="249"/>
        <v>520.87124212460321</v>
      </c>
      <c r="L617" s="21">
        <f t="shared" si="244"/>
        <v>4.9026913558197229</v>
      </c>
      <c r="M617" s="2">
        <f t="shared" si="254"/>
        <v>411.89678432956083</v>
      </c>
      <c r="N617" s="19">
        <f t="shared" si="267"/>
        <v>342.76451145838502</v>
      </c>
      <c r="O617" s="1">
        <f t="shared" si="255"/>
        <v>591</v>
      </c>
      <c r="P617" s="19">
        <f t="shared" si="256"/>
        <v>843.29964983393518</v>
      </c>
      <c r="Q617" s="18">
        <f t="shared" si="257"/>
        <v>10.712020466569779</v>
      </c>
      <c r="R617" s="2">
        <f t="shared" si="258"/>
        <v>0.96993258092433143</v>
      </c>
      <c r="S617" s="18">
        <f t="shared" si="259"/>
        <v>10.728186009585185</v>
      </c>
      <c r="T617" s="18">
        <f t="shared" si="260"/>
        <v>8.4007286733005522</v>
      </c>
      <c r="U617" s="1">
        <f t="shared" si="250"/>
        <v>0</v>
      </c>
      <c r="V617" s="2">
        <f t="shared" si="261"/>
        <v>1956.4229197896909</v>
      </c>
      <c r="W617" s="19">
        <f t="shared" si="262"/>
        <v>846.93632891328605</v>
      </c>
      <c r="X617" s="20"/>
      <c r="Y617" s="2">
        <f t="shared" si="263"/>
        <v>827.12652426893499</v>
      </c>
      <c r="Z617" s="21">
        <f t="shared" si="264"/>
        <v>6.7463742801228124</v>
      </c>
      <c r="AA617" s="2">
        <f t="shared" si="265"/>
        <v>657.4027437928811</v>
      </c>
      <c r="AB617" s="19">
        <f t="shared" si="268"/>
        <v>94.784129764384858</v>
      </c>
      <c r="AC617" s="2"/>
      <c r="AD617" s="18"/>
      <c r="AE617" s="118"/>
      <c r="AG617" s="2"/>
      <c r="AH617" s="19"/>
      <c r="AI617" s="20"/>
      <c r="AJ617" s="21"/>
      <c r="AK617" s="21"/>
      <c r="AM617" s="19"/>
      <c r="AN617" s="18"/>
      <c r="AO617" s="2"/>
      <c r="AP617" s="18"/>
      <c r="AQ617" s="118"/>
      <c r="AS617" s="2"/>
      <c r="AT617" s="19"/>
      <c r="AU617" s="20"/>
      <c r="AV617" s="21"/>
      <c r="AW617" s="21"/>
    </row>
    <row r="618" spans="1:49" x14ac:dyDescent="0.25">
      <c r="A618" s="1">
        <f t="shared" si="251"/>
        <v>592</v>
      </c>
      <c r="B618" s="19">
        <f t="shared" si="252"/>
        <v>540.75146928666766</v>
      </c>
      <c r="C618" s="18">
        <f t="shared" si="266"/>
        <v>9.1455189894035502</v>
      </c>
      <c r="D618" s="2">
        <f t="shared" si="245"/>
        <v>0.96135073723462572</v>
      </c>
      <c r="E618" s="18">
        <f t="shared" si="253"/>
        <v>9.1615415016907935</v>
      </c>
      <c r="F618" s="21">
        <f t="shared" si="246"/>
        <v>6.1548640763553468</v>
      </c>
      <c r="G618" s="1">
        <f t="shared" si="247"/>
        <v>0</v>
      </c>
      <c r="H618" s="2">
        <f t="shared" si="243"/>
        <v>1255.2907581285576</v>
      </c>
      <c r="I618" s="19">
        <f t="shared" si="269"/>
        <v>543.4159126097652</v>
      </c>
      <c r="J618" s="20">
        <f t="shared" si="248"/>
        <v>0.90925391741800665</v>
      </c>
      <c r="K618" s="21">
        <f t="shared" si="249"/>
        <v>523.53629826966505</v>
      </c>
      <c r="L618" s="21">
        <f t="shared" si="244"/>
        <v>4.9198849658292705</v>
      </c>
      <c r="M618" s="2">
        <f t="shared" si="254"/>
        <v>414.02660466108864</v>
      </c>
      <c r="N618" s="19">
        <f t="shared" si="267"/>
        <v>342.84548161182795</v>
      </c>
      <c r="O618" s="1">
        <f t="shared" si="255"/>
        <v>592</v>
      </c>
      <c r="P618" s="19">
        <f t="shared" si="256"/>
        <v>846.93632891328605</v>
      </c>
      <c r="Q618" s="18">
        <f t="shared" si="257"/>
        <v>10.728186009585185</v>
      </c>
      <c r="R618" s="2">
        <f t="shared" si="258"/>
        <v>0.97001606017348962</v>
      </c>
      <c r="S618" s="18">
        <f t="shared" si="259"/>
        <v>10.74435294392141</v>
      </c>
      <c r="T618" s="18">
        <f t="shared" si="260"/>
        <v>8.4256970911492637</v>
      </c>
      <c r="U618" s="1">
        <f t="shared" si="250"/>
        <v>0</v>
      </c>
      <c r="V618" s="2">
        <f t="shared" si="261"/>
        <v>1964.8486168808402</v>
      </c>
      <c r="W618" s="19">
        <f t="shared" si="262"/>
        <v>850.58381683153254</v>
      </c>
      <c r="X618" s="20"/>
      <c r="Y618" s="2">
        <f t="shared" si="263"/>
        <v>830.77485110940256</v>
      </c>
      <c r="Z618" s="21">
        <f t="shared" si="264"/>
        <v>6.7667226168371997</v>
      </c>
      <c r="AA618" s="2">
        <f t="shared" si="265"/>
        <v>660.33206094302705</v>
      </c>
      <c r="AB618" s="19">
        <f t="shared" si="268"/>
        <v>94.853154861006573</v>
      </c>
      <c r="AC618" s="2"/>
      <c r="AD618" s="18"/>
      <c r="AE618" s="118"/>
      <c r="AG618" s="2"/>
      <c r="AH618" s="19"/>
      <c r="AI618" s="20"/>
      <c r="AJ618" s="21"/>
      <c r="AK618" s="21"/>
      <c r="AM618" s="19"/>
      <c r="AN618" s="18"/>
      <c r="AO618" s="2"/>
      <c r="AP618" s="18"/>
      <c r="AQ618" s="118"/>
      <c r="AS618" s="2"/>
      <c r="AT618" s="19"/>
      <c r="AU618" s="20"/>
      <c r="AV618" s="21"/>
      <c r="AW618" s="21"/>
    </row>
    <row r="619" spans="1:49" x14ac:dyDescent="0.25">
      <c r="A619" s="1">
        <f t="shared" si="251"/>
        <v>593</v>
      </c>
      <c r="B619" s="19">
        <f t="shared" si="252"/>
        <v>543.4159126097652</v>
      </c>
      <c r="C619" s="18">
        <f t="shared" si="266"/>
        <v>9.1615415016907935</v>
      </c>
      <c r="D619" s="2">
        <f t="shared" si="245"/>
        <v>0.96144524646477192</v>
      </c>
      <c r="E619" s="18">
        <f t="shared" si="253"/>
        <v>9.1775655891318735</v>
      </c>
      <c r="F619" s="21">
        <f t="shared" si="246"/>
        <v>6.1760928753204398</v>
      </c>
      <c r="G619" s="1">
        <f t="shared" si="247"/>
        <v>0</v>
      </c>
      <c r="H619" s="2">
        <f t="shared" si="243"/>
        <v>1261.466851003878</v>
      </c>
      <c r="I619" s="19">
        <f t="shared" si="269"/>
        <v>546.08954588912468</v>
      </c>
      <c r="J619" s="20">
        <f t="shared" si="248"/>
        <v>0.90919698900123014</v>
      </c>
      <c r="K619" s="21">
        <f t="shared" si="249"/>
        <v>526.21054648467884</v>
      </c>
      <c r="L619" s="21">
        <f t="shared" si="244"/>
        <v>4.9371103665798737</v>
      </c>
      <c r="M619" s="2">
        <f t="shared" si="254"/>
        <v>416.16388187605827</v>
      </c>
      <c r="N619" s="19">
        <f t="shared" si="267"/>
        <v>342.9263101575209</v>
      </c>
      <c r="O619" s="1">
        <f t="shared" si="255"/>
        <v>593</v>
      </c>
      <c r="P619" s="19">
        <f t="shared" si="256"/>
        <v>850.58381683153254</v>
      </c>
      <c r="Q619" s="18">
        <f t="shared" si="257"/>
        <v>10.74435294392141</v>
      </c>
      <c r="R619" s="2">
        <f t="shared" si="258"/>
        <v>0.9700994354280853</v>
      </c>
      <c r="S619" s="18">
        <f t="shared" si="259"/>
        <v>10.760521267845212</v>
      </c>
      <c r="T619" s="18">
        <f t="shared" si="260"/>
        <v>8.450704227556642</v>
      </c>
      <c r="U619" s="1">
        <f t="shared" si="250"/>
        <v>0</v>
      </c>
      <c r="V619" s="2">
        <f t="shared" si="261"/>
        <v>1973.2993211083967</v>
      </c>
      <c r="W619" s="19">
        <f t="shared" si="262"/>
        <v>854.24213034995523</v>
      </c>
      <c r="X619" s="20"/>
      <c r="Y619" s="2">
        <f t="shared" si="263"/>
        <v>834.43400603993462</v>
      </c>
      <c r="Z619" s="21">
        <f t="shared" si="264"/>
        <v>6.7871033475092908</v>
      </c>
      <c r="AA619" s="2">
        <f t="shared" si="265"/>
        <v>663.27020092030375</v>
      </c>
      <c r="AB619" s="19">
        <f t="shared" si="268"/>
        <v>94.922076096166322</v>
      </c>
      <c r="AC619" s="2"/>
      <c r="AD619" s="18"/>
      <c r="AE619" s="118"/>
      <c r="AG619" s="2"/>
      <c r="AH619" s="19"/>
      <c r="AI619" s="20"/>
      <c r="AJ619" s="21"/>
      <c r="AK619" s="21"/>
      <c r="AM619" s="19"/>
      <c r="AN619" s="18"/>
      <c r="AO619" s="2"/>
      <c r="AP619" s="18"/>
      <c r="AQ619" s="118"/>
      <c r="AS619" s="2"/>
      <c r="AT619" s="19"/>
      <c r="AU619" s="20"/>
      <c r="AV619" s="21"/>
      <c r="AW619" s="21"/>
    </row>
    <row r="620" spans="1:49" x14ac:dyDescent="0.25">
      <c r="A620" s="1">
        <f t="shared" si="251"/>
        <v>594</v>
      </c>
      <c r="B620" s="19">
        <f t="shared" si="252"/>
        <v>546.08954588912468</v>
      </c>
      <c r="C620" s="18">
        <f t="shared" si="266"/>
        <v>9.1775655891318735</v>
      </c>
      <c r="D620" s="2">
        <f t="shared" si="245"/>
        <v>0.96153962628871514</v>
      </c>
      <c r="E620" s="18">
        <f t="shared" si="253"/>
        <v>9.1935912495700194</v>
      </c>
      <c r="F620" s="21">
        <f t="shared" si="246"/>
        <v>6.1973598253265703</v>
      </c>
      <c r="G620" s="1">
        <f t="shared" si="247"/>
        <v>0</v>
      </c>
      <c r="H620" s="2">
        <f t="shared" si="243"/>
        <v>1267.6642108292046</v>
      </c>
      <c r="I620" s="19">
        <f t="shared" si="269"/>
        <v>548.77238564034838</v>
      </c>
      <c r="J620" s="20">
        <f t="shared" si="248"/>
        <v>0.90914010348142404</v>
      </c>
      <c r="K620" s="21">
        <f t="shared" si="249"/>
        <v>528.89400328904526</v>
      </c>
      <c r="L620" s="21">
        <f t="shared" si="244"/>
        <v>4.9543675646239738</v>
      </c>
      <c r="M620" s="2">
        <f t="shared" si="254"/>
        <v>418.30862973953185</v>
      </c>
      <c r="N620" s="19">
        <f t="shared" si="267"/>
        <v>343.00699757606293</v>
      </c>
      <c r="O620" s="1">
        <f t="shared" si="255"/>
        <v>594</v>
      </c>
      <c r="P620" s="19">
        <f t="shared" si="256"/>
        <v>854.24213034995523</v>
      </c>
      <c r="Q620" s="18">
        <f t="shared" si="257"/>
        <v>10.760521267845212</v>
      </c>
      <c r="R620" s="2">
        <f t="shared" si="258"/>
        <v>0.97018270693499009</v>
      </c>
      <c r="S620" s="18">
        <f t="shared" si="259"/>
        <v>10.776690979627462</v>
      </c>
      <c r="T620" s="18">
        <f t="shared" si="260"/>
        <v>8.4757500879532781</v>
      </c>
      <c r="U620" s="1">
        <f t="shared" si="250"/>
        <v>0</v>
      </c>
      <c r="V620" s="2">
        <f t="shared" si="261"/>
        <v>1981.7750711963499</v>
      </c>
      <c r="W620" s="19">
        <f t="shared" si="262"/>
        <v>857.91128623218606</v>
      </c>
      <c r="X620" s="20"/>
      <c r="Y620" s="2">
        <f t="shared" si="263"/>
        <v>838.10400582801833</v>
      </c>
      <c r="Z620" s="21">
        <f t="shared" si="264"/>
        <v>6.8075164778562414</v>
      </c>
      <c r="AA620" s="2">
        <f t="shared" si="265"/>
        <v>666.21717775054458</v>
      </c>
      <c r="AB620" s="19">
        <f t="shared" si="268"/>
        <v>94.990893773066432</v>
      </c>
      <c r="AC620" s="2"/>
      <c r="AD620" s="18"/>
      <c r="AE620" s="118"/>
      <c r="AG620" s="2"/>
      <c r="AH620" s="19"/>
      <c r="AI620" s="20"/>
      <c r="AJ620" s="21"/>
      <c r="AK620" s="21"/>
      <c r="AM620" s="19"/>
      <c r="AN620" s="18"/>
      <c r="AO620" s="2"/>
      <c r="AP620" s="18"/>
      <c r="AQ620" s="118"/>
      <c r="AS620" s="2"/>
      <c r="AT620" s="19"/>
      <c r="AU620" s="20"/>
      <c r="AV620" s="21"/>
      <c r="AW620" s="21"/>
    </row>
    <row r="621" spans="1:49" x14ac:dyDescent="0.25">
      <c r="A621" s="1">
        <f t="shared" si="251"/>
        <v>595</v>
      </c>
      <c r="B621" s="19">
        <f t="shared" si="252"/>
        <v>548.77238564034838</v>
      </c>
      <c r="C621" s="18">
        <f t="shared" si="266"/>
        <v>9.1935912495700194</v>
      </c>
      <c r="D621" s="2">
        <f t="shared" si="245"/>
        <v>0.96163387701562819</v>
      </c>
      <c r="E621" s="18">
        <f t="shared" si="253"/>
        <v>9.2096184808536137</v>
      </c>
      <c r="F621" s="21">
        <f t="shared" si="246"/>
        <v>6.2186649325929491</v>
      </c>
      <c r="G621" s="1">
        <f t="shared" si="247"/>
        <v>0</v>
      </c>
      <c r="H621" s="2">
        <f t="shared" si="243"/>
        <v>1273.8828757617978</v>
      </c>
      <c r="I621" s="19">
        <f t="shared" si="269"/>
        <v>551.46444838173068</v>
      </c>
      <c r="J621" s="20">
        <f t="shared" si="248"/>
        <v>0.90908326087618729</v>
      </c>
      <c r="K621" s="21">
        <f t="shared" si="249"/>
        <v>531.58668520485799</v>
      </c>
      <c r="L621" s="21">
        <f t="shared" si="244"/>
        <v>4.9716565665042403</v>
      </c>
      <c r="M621" s="2">
        <f t="shared" si="254"/>
        <v>420.46086201940381</v>
      </c>
      <c r="N621" s="19">
        <f t="shared" si="267"/>
        <v>343.08754434563156</v>
      </c>
      <c r="O621" s="1">
        <f t="shared" si="255"/>
        <v>595</v>
      </c>
      <c r="P621" s="19">
        <f t="shared" si="256"/>
        <v>857.91128623218606</v>
      </c>
      <c r="Q621" s="18">
        <f t="shared" si="257"/>
        <v>10.776690979627462</v>
      </c>
      <c r="R621" s="2">
        <f t="shared" si="258"/>
        <v>0.97026587494031324</v>
      </c>
      <c r="S621" s="18">
        <f t="shared" si="259"/>
        <v>10.792862077543134</v>
      </c>
      <c r="T621" s="18">
        <f t="shared" si="260"/>
        <v>8.5008346777628745</v>
      </c>
      <c r="U621" s="1">
        <f t="shared" si="250"/>
        <v>0</v>
      </c>
      <c r="V621" s="2">
        <f t="shared" si="261"/>
        <v>1990.2759058741128</v>
      </c>
      <c r="W621" s="19">
        <f t="shared" si="262"/>
        <v>861.59130124420471</v>
      </c>
      <c r="X621" s="20"/>
      <c r="Y621" s="2">
        <f t="shared" si="263"/>
        <v>841.78486724348966</v>
      </c>
      <c r="Z621" s="21">
        <f t="shared" si="264"/>
        <v>6.8279620135879444</v>
      </c>
      <c r="AA621" s="2">
        <f t="shared" si="265"/>
        <v>669.17300546205456</v>
      </c>
      <c r="AB621" s="19">
        <f t="shared" si="268"/>
        <v>95.059608193595636</v>
      </c>
      <c r="AC621" s="2"/>
      <c r="AD621" s="18"/>
      <c r="AE621" s="118"/>
      <c r="AG621" s="2"/>
      <c r="AH621" s="19"/>
      <c r="AI621" s="20"/>
      <c r="AJ621" s="21"/>
      <c r="AK621" s="21"/>
      <c r="AM621" s="19"/>
      <c r="AN621" s="18"/>
      <c r="AO621" s="2"/>
      <c r="AP621" s="18"/>
      <c r="AQ621" s="118"/>
      <c r="AS621" s="2"/>
      <c r="AT621" s="19"/>
      <c r="AU621" s="20"/>
      <c r="AV621" s="21"/>
      <c r="AW621" s="21"/>
    </row>
    <row r="622" spans="1:49" x14ac:dyDescent="0.25">
      <c r="A622" s="1">
        <f t="shared" si="251"/>
        <v>596</v>
      </c>
      <c r="B622" s="19">
        <f t="shared" si="252"/>
        <v>551.46444838173068</v>
      </c>
      <c r="C622" s="18">
        <f t="shared" si="266"/>
        <v>9.2096184808536137</v>
      </c>
      <c r="D622" s="2">
        <f t="shared" si="245"/>
        <v>0.96172799895398176</v>
      </c>
      <c r="E622" s="18">
        <f t="shared" si="253"/>
        <v>9.2256472808361796</v>
      </c>
      <c r="F622" s="21">
        <f t="shared" si="246"/>
        <v>6.2400082033294817</v>
      </c>
      <c r="G622" s="1">
        <f t="shared" si="247"/>
        <v>0</v>
      </c>
      <c r="H622" s="2">
        <f t="shared" si="243"/>
        <v>1280.1228839651276</v>
      </c>
      <c r="I622" s="19">
        <f t="shared" si="269"/>
        <v>554.16575063425432</v>
      </c>
      <c r="J622" s="20">
        <f t="shared" si="248"/>
        <v>0.90902646120239394</v>
      </c>
      <c r="K622" s="21">
        <f t="shared" si="249"/>
        <v>534.28860875689963</v>
      </c>
      <c r="L622" s="21">
        <f t="shared" si="244"/>
        <v>4.9889773787536011</v>
      </c>
      <c r="M622" s="2">
        <f t="shared" si="254"/>
        <v>422.62059248639673</v>
      </c>
      <c r="N622" s="19">
        <f t="shared" si="267"/>
        <v>343.16795094199892</v>
      </c>
      <c r="O622" s="1">
        <f t="shared" si="255"/>
        <v>596</v>
      </c>
      <c r="P622" s="19">
        <f t="shared" si="256"/>
        <v>861.59130124420471</v>
      </c>
      <c r="Q622" s="18">
        <f t="shared" si="257"/>
        <v>10.792862077543134</v>
      </c>
      <c r="R622" s="2">
        <f t="shared" si="258"/>
        <v>0.97034893968940328</v>
      </c>
      <c r="S622" s="18">
        <f t="shared" si="259"/>
        <v>10.809034559871291</v>
      </c>
      <c r="T622" s="18">
        <f t="shared" si="260"/>
        <v>8.5259580024022892</v>
      </c>
      <c r="U622" s="1">
        <f t="shared" si="250"/>
        <v>0</v>
      </c>
      <c r="V622" s="2">
        <f t="shared" si="261"/>
        <v>1998.8018638765154</v>
      </c>
      <c r="W622" s="19">
        <f t="shared" si="262"/>
        <v>865.28219215433569</v>
      </c>
      <c r="X622" s="20"/>
      <c r="Y622" s="2">
        <f t="shared" si="263"/>
        <v>845.47660705852979</v>
      </c>
      <c r="Z622" s="21">
        <f t="shared" si="264"/>
        <v>6.8484399604070907</v>
      </c>
      <c r="AA622" s="2">
        <f t="shared" si="265"/>
        <v>672.13769808560744</v>
      </c>
      <c r="AB622" s="19">
        <f t="shared" si="268"/>
        <v>95.12821965833659</v>
      </c>
      <c r="AC622" s="2"/>
      <c r="AD622" s="18"/>
      <c r="AE622" s="118"/>
      <c r="AG622" s="2"/>
      <c r="AH622" s="19"/>
      <c r="AI622" s="20"/>
      <c r="AJ622" s="21"/>
      <c r="AK622" s="21"/>
      <c r="AM622" s="19"/>
      <c r="AN622" s="18"/>
      <c r="AO622" s="2"/>
      <c r="AP622" s="18"/>
      <c r="AQ622" s="118"/>
      <c r="AS622" s="2"/>
      <c r="AT622" s="19"/>
      <c r="AU622" s="20"/>
      <c r="AV622" s="21"/>
      <c r="AW622" s="21"/>
    </row>
    <row r="623" spans="1:49" x14ac:dyDescent="0.25">
      <c r="A623" s="1">
        <f t="shared" si="251"/>
        <v>597</v>
      </c>
      <c r="B623" s="19">
        <f t="shared" si="252"/>
        <v>554.16575063425432</v>
      </c>
      <c r="C623" s="18">
        <f t="shared" si="266"/>
        <v>9.2256472808361796</v>
      </c>
      <c r="D623" s="2">
        <f t="shared" si="245"/>
        <v>0.96182199241154342</v>
      </c>
      <c r="E623" s="18">
        <f t="shared" si="253"/>
        <v>9.2416776473763722</v>
      </c>
      <c r="F623" s="21">
        <f t="shared" si="246"/>
        <v>6.2613896437367993</v>
      </c>
      <c r="G623" s="1">
        <f t="shared" si="247"/>
        <v>0</v>
      </c>
      <c r="H623" s="2">
        <f t="shared" si="243"/>
        <v>1286.3842736088643</v>
      </c>
      <c r="I623" s="19">
        <f t="shared" si="269"/>
        <v>556.87630892158631</v>
      </c>
      <c r="J623" s="20">
        <f t="shared" si="248"/>
        <v>0.90896970447619974</v>
      </c>
      <c r="K623" s="21">
        <f t="shared" si="249"/>
        <v>536.99979047263764</v>
      </c>
      <c r="L623" s="21">
        <f t="shared" si="244"/>
        <v>5.0063300078952757</v>
      </c>
      <c r="M623" s="2">
        <f t="shared" si="254"/>
        <v>424.78783491405704</v>
      </c>
      <c r="N623" s="19">
        <f t="shared" si="267"/>
        <v>343.24821783854782</v>
      </c>
      <c r="O623" s="1">
        <f t="shared" si="255"/>
        <v>597</v>
      </c>
      <c r="P623" s="19">
        <f t="shared" si="256"/>
        <v>865.28219215433569</v>
      </c>
      <c r="Q623" s="18">
        <f t="shared" si="257"/>
        <v>10.809034559871291</v>
      </c>
      <c r="R623" s="2">
        <f t="shared" si="258"/>
        <v>0.97043190142685143</v>
      </c>
      <c r="S623" s="18">
        <f t="shared" si="259"/>
        <v>10.825208424895072</v>
      </c>
      <c r="T623" s="18">
        <f t="shared" si="260"/>
        <v>8.5511200672815413</v>
      </c>
      <c r="U623" s="1">
        <f t="shared" si="250"/>
        <v>0</v>
      </c>
      <c r="V623" s="2">
        <f t="shared" si="261"/>
        <v>2007.352983943797</v>
      </c>
      <c r="W623" s="19">
        <f t="shared" si="262"/>
        <v>868.98397573324542</v>
      </c>
      <c r="X623" s="20"/>
      <c r="Y623" s="2">
        <f t="shared" si="263"/>
        <v>849.17924204766268</v>
      </c>
      <c r="Z623" s="21">
        <f t="shared" si="264"/>
        <v>6.8689503240091563</v>
      </c>
      <c r="AA623" s="2">
        <f t="shared" si="265"/>
        <v>675.11126965444259</v>
      </c>
      <c r="AB623" s="19">
        <f t="shared" si="268"/>
        <v>95.196728466573404</v>
      </c>
      <c r="AC623" s="2"/>
      <c r="AD623" s="18"/>
      <c r="AE623" s="118"/>
      <c r="AG623" s="2"/>
      <c r="AH623" s="19"/>
      <c r="AI623" s="20"/>
      <c r="AJ623" s="21"/>
      <c r="AK623" s="21"/>
      <c r="AM623" s="19"/>
      <c r="AN623" s="18"/>
      <c r="AO623" s="2"/>
      <c r="AP623" s="18"/>
      <c r="AQ623" s="118"/>
      <c r="AS623" s="2"/>
      <c r="AT623" s="19"/>
      <c r="AU623" s="20"/>
      <c r="AV623" s="21"/>
      <c r="AW623" s="21"/>
    </row>
    <row r="624" spans="1:49" x14ac:dyDescent="0.25">
      <c r="A624" s="1">
        <f t="shared" si="251"/>
        <v>598</v>
      </c>
      <c r="B624" s="19">
        <f t="shared" si="252"/>
        <v>556.87630892158631</v>
      </c>
      <c r="C624" s="18">
        <f t="shared" si="266"/>
        <v>9.2416776473763722</v>
      </c>
      <c r="D624" s="2">
        <f t="shared" si="245"/>
        <v>0.9619158576953738</v>
      </c>
      <c r="E624" s="18">
        <f t="shared" si="253"/>
        <v>9.2577095783379626</v>
      </c>
      <c r="F624" s="21">
        <f t="shared" si="246"/>
        <v>6.2828092600062853</v>
      </c>
      <c r="G624" s="1">
        <f t="shared" si="247"/>
        <v>0</v>
      </c>
      <c r="H624" s="2">
        <f t="shared" si="243"/>
        <v>1292.6670828688707</v>
      </c>
      <c r="I624" s="19">
        <f t="shared" si="269"/>
        <v>559.59613977007393</v>
      </c>
      <c r="J624" s="20">
        <f t="shared" si="248"/>
        <v>0.90891299071304943</v>
      </c>
      <c r="K624" s="21">
        <f t="shared" si="249"/>
        <v>539.72024688222041</v>
      </c>
      <c r="L624" s="21">
        <f t="shared" si="244"/>
        <v>5.0237144604428057</v>
      </c>
      <c r="M624" s="2">
        <f t="shared" si="254"/>
        <v>426.96260307875087</v>
      </c>
      <c r="N624" s="19">
        <f t="shared" si="267"/>
        <v>343.32834550628763</v>
      </c>
      <c r="O624" s="1">
        <f t="shared" si="255"/>
        <v>598</v>
      </c>
      <c r="P624" s="19">
        <f t="shared" si="256"/>
        <v>868.98397573324542</v>
      </c>
      <c r="Q624" s="18">
        <f t="shared" si="257"/>
        <v>10.825208424895072</v>
      </c>
      <c r="R624" s="2">
        <f t="shared" si="258"/>
        <v>0.97051476039649187</v>
      </c>
      <c r="S624" s="18">
        <f t="shared" si="259"/>
        <v>10.84138367090168</v>
      </c>
      <c r="T624" s="18">
        <f t="shared" si="260"/>
        <v>8.5763208778038305</v>
      </c>
      <c r="U624" s="1">
        <f t="shared" si="250"/>
        <v>0</v>
      </c>
      <c r="V624" s="2">
        <f t="shared" si="261"/>
        <v>2015.9293048216009</v>
      </c>
      <c r="W624" s="19">
        <f t="shared" si="262"/>
        <v>872.69666875393978</v>
      </c>
      <c r="X624" s="20"/>
      <c r="Y624" s="2">
        <f t="shared" si="263"/>
        <v>852.89278898775171</v>
      </c>
      <c r="Z624" s="21">
        <f t="shared" si="264"/>
        <v>6.8894931100824373</v>
      </c>
      <c r="AA624" s="2">
        <f t="shared" si="265"/>
        <v>678.09373420426186</v>
      </c>
      <c r="AB624" s="19">
        <f t="shared" si="268"/>
        <v>95.265134916299061</v>
      </c>
      <c r="AC624" s="2"/>
      <c r="AD624" s="18"/>
      <c r="AE624" s="118"/>
      <c r="AG624" s="2"/>
      <c r="AH624" s="19"/>
      <c r="AI624" s="20"/>
      <c r="AJ624" s="21"/>
      <c r="AK624" s="21"/>
      <c r="AM624" s="19"/>
      <c r="AN624" s="18"/>
      <c r="AO624" s="2"/>
      <c r="AP624" s="18"/>
      <c r="AQ624" s="118"/>
      <c r="AS624" s="2"/>
      <c r="AT624" s="19"/>
      <c r="AU624" s="20"/>
      <c r="AV624" s="21"/>
      <c r="AW624" s="21"/>
    </row>
    <row r="625" spans="1:49" x14ac:dyDescent="0.25">
      <c r="A625" s="1">
        <f t="shared" si="251"/>
        <v>599</v>
      </c>
      <c r="B625" s="19">
        <f t="shared" si="252"/>
        <v>559.59613977007393</v>
      </c>
      <c r="C625" s="18">
        <f t="shared" si="266"/>
        <v>9.2577095783379626</v>
      </c>
      <c r="D625" s="2">
        <f t="shared" si="245"/>
        <v>0.96200959511182504</v>
      </c>
      <c r="E625" s="18">
        <f t="shared" si="253"/>
        <v>9.273743071589827</v>
      </c>
      <c r="F625" s="21">
        <f t="shared" si="246"/>
        <v>6.3042670583201037</v>
      </c>
      <c r="G625" s="1">
        <f t="shared" si="247"/>
        <v>0</v>
      </c>
      <c r="H625" s="2">
        <f t="shared" si="243"/>
        <v>1298.9713499271911</v>
      </c>
      <c r="I625" s="19">
        <f t="shared" si="269"/>
        <v>562.32525970874076</v>
      </c>
      <c r="J625" s="20">
        <f t="shared" si="248"/>
        <v>0.90885631992768556</v>
      </c>
      <c r="K625" s="21">
        <f t="shared" si="249"/>
        <v>542.44999451847298</v>
      </c>
      <c r="L625" s="21">
        <f t="shared" si="244"/>
        <v>5.0411307429000773</v>
      </c>
      <c r="M625" s="2">
        <f t="shared" si="254"/>
        <v>429.14491075965998</v>
      </c>
      <c r="N625" s="19">
        <f t="shared" si="267"/>
        <v>343.40833441387014</v>
      </c>
      <c r="O625" s="1">
        <f t="shared" si="255"/>
        <v>599</v>
      </c>
      <c r="P625" s="19">
        <f t="shared" si="256"/>
        <v>872.69666875393978</v>
      </c>
      <c r="Q625" s="18">
        <f t="shared" si="257"/>
        <v>10.84138367090168</v>
      </c>
      <c r="R625" s="2">
        <f t="shared" si="258"/>
        <v>0.97059751684140572</v>
      </c>
      <c r="S625" s="18">
        <f t="shared" si="259"/>
        <v>10.857560296182371</v>
      </c>
      <c r="T625" s="18">
        <f t="shared" si="260"/>
        <v>8.60156043936556</v>
      </c>
      <c r="U625" s="1">
        <f t="shared" si="250"/>
        <v>0</v>
      </c>
      <c r="V625" s="2">
        <f t="shared" si="261"/>
        <v>2024.5308652609665</v>
      </c>
      <c r="W625" s="19">
        <f t="shared" si="262"/>
        <v>876.42028799176035</v>
      </c>
      <c r="X625" s="20"/>
      <c r="Y625" s="2">
        <f t="shared" si="263"/>
        <v>856.617264657997</v>
      </c>
      <c r="Z625" s="21">
        <f t="shared" si="264"/>
        <v>6.9100683243080638</v>
      </c>
      <c r="AA625" s="2">
        <f t="shared" si="265"/>
        <v>681.08510577322636</v>
      </c>
      <c r="AB625" s="19">
        <f t="shared" si="268"/>
        <v>95.333439304222807</v>
      </c>
      <c r="AC625" s="2"/>
      <c r="AD625" s="18"/>
      <c r="AE625" s="118"/>
      <c r="AG625" s="2"/>
      <c r="AH625" s="19"/>
      <c r="AI625" s="20"/>
      <c r="AJ625" s="21"/>
      <c r="AK625" s="21"/>
      <c r="AM625" s="19"/>
      <c r="AN625" s="18"/>
      <c r="AO625" s="2"/>
      <c r="AP625" s="18"/>
      <c r="AQ625" s="118"/>
      <c r="AS625" s="2"/>
      <c r="AT625" s="19"/>
      <c r="AU625" s="20"/>
      <c r="AV625" s="21"/>
      <c r="AW625" s="21"/>
    </row>
    <row r="626" spans="1:49" x14ac:dyDescent="0.25">
      <c r="A626" s="1">
        <f t="shared" si="251"/>
        <v>600</v>
      </c>
      <c r="B626" s="19">
        <f t="shared" si="252"/>
        <v>562.32525970874076</v>
      </c>
      <c r="C626" s="18">
        <f t="shared" si="266"/>
        <v>9.273743071589827</v>
      </c>
      <c r="D626" s="2">
        <f t="shared" si="245"/>
        <v>0.96210320496653867</v>
      </c>
      <c r="E626" s="18">
        <f t="shared" si="253"/>
        <v>9.2897781250059364</v>
      </c>
      <c r="F626" s="21">
        <f t="shared" si="246"/>
        <v>6.3257630448512465</v>
      </c>
      <c r="G626" s="1">
        <f t="shared" si="247"/>
        <v>0</v>
      </c>
      <c r="H626" s="2">
        <f t="shared" si="243"/>
        <v>1305.2971129720424</v>
      </c>
      <c r="I626" s="19">
        <f t="shared" si="269"/>
        <v>565.06368526928247</v>
      </c>
      <c r="J626" s="20">
        <f t="shared" si="248"/>
        <v>0.9087996921341549</v>
      </c>
      <c r="K626" s="21">
        <f t="shared" si="249"/>
        <v>545.18904991689362</v>
      </c>
      <c r="L626" s="21">
        <f t="shared" si="244"/>
        <v>5.0585788617613723</v>
      </c>
      <c r="M626" s="2">
        <f t="shared" si="254"/>
        <v>431.33477173877748</v>
      </c>
      <c r="N626" s="19">
        <f t="shared" si="267"/>
        <v>343.48818502760514</v>
      </c>
      <c r="O626" s="1">
        <f t="shared" si="255"/>
        <v>600</v>
      </c>
      <c r="P626" s="19">
        <f t="shared" si="256"/>
        <v>876.42028799176035</v>
      </c>
      <c r="Q626" s="18">
        <f t="shared" si="257"/>
        <v>10.857560296182371</v>
      </c>
      <c r="R626" s="2">
        <f t="shared" si="258"/>
        <v>0.97068017100392168</v>
      </c>
      <c r="S626" s="18">
        <f t="shared" si="259"/>
        <v>10.873738299032436</v>
      </c>
      <c r="T626" s="18">
        <f t="shared" si="260"/>
        <v>8.626838757356353</v>
      </c>
      <c r="U626" s="1">
        <f t="shared" si="250"/>
        <v>0</v>
      </c>
      <c r="V626" s="2">
        <f t="shared" si="261"/>
        <v>2033.1577040183229</v>
      </c>
      <c r="W626" s="19">
        <f t="shared" si="262"/>
        <v>880.15485022438213</v>
      </c>
      <c r="X626" s="20"/>
      <c r="Y626" s="2">
        <f t="shared" si="263"/>
        <v>860.35268583993229</v>
      </c>
      <c r="Z626" s="21">
        <f t="shared" si="264"/>
        <v>6.9306759723600289</v>
      </c>
      <c r="AA626" s="2">
        <f t="shared" si="265"/>
        <v>684.08539840195363</v>
      </c>
      <c r="AB626" s="19">
        <f t="shared" si="268"/>
        <v>95.401641925777469</v>
      </c>
      <c r="AC626" s="2"/>
      <c r="AD626" s="18"/>
      <c r="AE626" s="118"/>
      <c r="AG626" s="2"/>
      <c r="AH626" s="19"/>
      <c r="AI626" s="20"/>
      <c r="AJ626" s="21"/>
      <c r="AK626" s="21"/>
      <c r="AM626" s="19"/>
      <c r="AN626" s="18"/>
      <c r="AO626" s="2"/>
      <c r="AP626" s="18"/>
      <c r="AQ626" s="118"/>
      <c r="AS626" s="2"/>
      <c r="AT626" s="19"/>
      <c r="AU626" s="20"/>
      <c r="AV626" s="21"/>
      <c r="AW626" s="21"/>
    </row>
    <row r="627" spans="1:49" x14ac:dyDescent="0.25">
      <c r="A627" s="1">
        <f t="shared" si="251"/>
        <v>601</v>
      </c>
      <c r="B627" s="19">
        <f t="shared" si="252"/>
        <v>565.06368526928247</v>
      </c>
      <c r="C627" s="18">
        <f t="shared" si="266"/>
        <v>9.2897781250059364</v>
      </c>
      <c r="D627" s="2">
        <f t="shared" si="245"/>
        <v>0.96219668756444299</v>
      </c>
      <c r="E627" s="18">
        <f t="shared" si="253"/>
        <v>9.3058147364653436</v>
      </c>
      <c r="F627" s="21">
        <f t="shared" si="246"/>
        <v>6.3472972257635405</v>
      </c>
      <c r="G627" s="1">
        <f t="shared" si="247"/>
        <v>0</v>
      </c>
      <c r="H627" s="2">
        <f t="shared" si="243"/>
        <v>1311.6444101978059</v>
      </c>
      <c r="I627" s="19">
        <f t="shared" si="269"/>
        <v>567.8114329860631</v>
      </c>
      <c r="J627" s="20">
        <f t="shared" si="248"/>
        <v>0.90874310734581598</v>
      </c>
      <c r="K627" s="21">
        <f t="shared" si="249"/>
        <v>547.93742961564919</v>
      </c>
      <c r="L627" s="21">
        <f t="shared" si="244"/>
        <v>5.0760588235113788</v>
      </c>
      <c r="M627" s="2">
        <f t="shared" si="254"/>
        <v>433.53219980090364</v>
      </c>
      <c r="N627" s="19">
        <f t="shared" si="267"/>
        <v>343.56789781147609</v>
      </c>
      <c r="O627" s="1">
        <f t="shared" si="255"/>
        <v>601</v>
      </c>
      <c r="P627" s="19">
        <f t="shared" si="256"/>
        <v>880.15485022438213</v>
      </c>
      <c r="Q627" s="18">
        <f t="shared" si="257"/>
        <v>10.873738299032436</v>
      </c>
      <c r="R627" s="2">
        <f t="shared" si="258"/>
        <v>0.9707627231256194</v>
      </c>
      <c r="S627" s="18">
        <f t="shared" si="259"/>
        <v>10.889917677751196</v>
      </c>
      <c r="T627" s="18">
        <f t="shared" si="260"/>
        <v>8.6521558371590661</v>
      </c>
      <c r="U627" s="1">
        <f t="shared" si="250"/>
        <v>0</v>
      </c>
      <c r="V627" s="2">
        <f t="shared" si="261"/>
        <v>2041.809859855482</v>
      </c>
      <c r="W627" s="19">
        <f t="shared" si="262"/>
        <v>883.90037223181037</v>
      </c>
      <c r="X627" s="20"/>
      <c r="Y627" s="2">
        <f t="shared" si="263"/>
        <v>864.09906931742216</v>
      </c>
      <c r="Z627" s="21">
        <f t="shared" si="264"/>
        <v>6.9513160599051895</v>
      </c>
      <c r="AA627" s="2">
        <f t="shared" si="265"/>
        <v>687.09462613351434</v>
      </c>
      <c r="AB627" s="19">
        <f t="shared" si="268"/>
        <v>95.469743075126743</v>
      </c>
      <c r="AC627" s="2"/>
      <c r="AD627" s="18"/>
      <c r="AE627" s="118"/>
      <c r="AG627" s="2"/>
      <c r="AH627" s="19"/>
      <c r="AI627" s="20"/>
      <c r="AJ627" s="21"/>
      <c r="AK627" s="21"/>
      <c r="AM627" s="19"/>
      <c r="AN627" s="18"/>
      <c r="AO627" s="2"/>
      <c r="AP627" s="18"/>
      <c r="AQ627" s="118"/>
      <c r="AS627" s="2"/>
      <c r="AT627" s="19"/>
      <c r="AU627" s="20"/>
      <c r="AV627" s="21"/>
      <c r="AW627" s="21"/>
    </row>
    <row r="628" spans="1:49" x14ac:dyDescent="0.25">
      <c r="A628" s="1">
        <f t="shared" si="251"/>
        <v>602</v>
      </c>
      <c r="B628" s="19">
        <f t="shared" si="252"/>
        <v>567.8114329860631</v>
      </c>
      <c r="C628" s="18">
        <f t="shared" si="266"/>
        <v>9.3058147364653436</v>
      </c>
      <c r="D628" s="2">
        <f t="shared" si="245"/>
        <v>0.96229004320975109</v>
      </c>
      <c r="E628" s="18">
        <f t="shared" si="253"/>
        <v>9.3218529038521734</v>
      </c>
      <c r="F628" s="21">
        <f t="shared" si="246"/>
        <v>6.3688696072116935</v>
      </c>
      <c r="G628" s="1">
        <f t="shared" si="247"/>
        <v>0</v>
      </c>
      <c r="H628" s="2">
        <f t="shared" si="243"/>
        <v>1318.0132798050176</v>
      </c>
      <c r="I628" s="19">
        <f t="shared" si="269"/>
        <v>570.56851939611147</v>
      </c>
      <c r="J628" s="20">
        <f t="shared" si="248"/>
        <v>0.90868656557534644</v>
      </c>
      <c r="K628" s="21">
        <f t="shared" si="249"/>
        <v>550.69515015557181</v>
      </c>
      <c r="L628" s="21">
        <f t="shared" si="244"/>
        <v>5.093570634625233</v>
      </c>
      <c r="M628" s="2">
        <f t="shared" si="254"/>
        <v>435.73720873364186</v>
      </c>
      <c r="N628" s="19">
        <f t="shared" si="267"/>
        <v>343.64747322715522</v>
      </c>
      <c r="O628" s="1">
        <f t="shared" si="255"/>
        <v>602</v>
      </c>
      <c r="P628" s="19">
        <f t="shared" si="256"/>
        <v>883.90037223181037</v>
      </c>
      <c r="Q628" s="18">
        <f t="shared" si="257"/>
        <v>10.889917677751196</v>
      </c>
      <c r="R628" s="2">
        <f t="shared" si="258"/>
        <v>0.97084517344733046</v>
      </c>
      <c r="S628" s="18">
        <f t="shared" si="259"/>
        <v>10.906098430641984</v>
      </c>
      <c r="T628" s="18">
        <f t="shared" si="260"/>
        <v>8.6775116841498221</v>
      </c>
      <c r="U628" s="1">
        <f t="shared" si="250"/>
        <v>0</v>
      </c>
      <c r="V628" s="2">
        <f t="shared" si="261"/>
        <v>2050.487371539632</v>
      </c>
      <c r="W628" s="19">
        <f t="shared" si="262"/>
        <v>887.65687079637746</v>
      </c>
      <c r="X628" s="20"/>
      <c r="Y628" s="2">
        <f t="shared" si="263"/>
        <v>867.85643187665903</v>
      </c>
      <c r="Z628" s="21">
        <f t="shared" si="264"/>
        <v>6.9719885926033074</v>
      </c>
      <c r="AA628" s="2">
        <f t="shared" si="265"/>
        <v>690.11280301342924</v>
      </c>
      <c r="AB628" s="19">
        <f t="shared" si="268"/>
        <v>95.537743045172462</v>
      </c>
      <c r="AC628" s="2"/>
      <c r="AD628" s="18"/>
      <c r="AE628" s="118"/>
      <c r="AG628" s="2"/>
      <c r="AH628" s="19"/>
      <c r="AI628" s="20"/>
      <c r="AJ628" s="21"/>
      <c r="AK628" s="21"/>
      <c r="AM628" s="19"/>
      <c r="AN628" s="18"/>
      <c r="AO628" s="2"/>
      <c r="AP628" s="18"/>
      <c r="AQ628" s="118"/>
      <c r="AS628" s="2"/>
      <c r="AT628" s="19"/>
      <c r="AU628" s="20"/>
      <c r="AV628" s="21"/>
      <c r="AW628" s="21"/>
    </row>
    <row r="629" spans="1:49" x14ac:dyDescent="0.25">
      <c r="A629" s="1">
        <f t="shared" si="251"/>
        <v>603</v>
      </c>
      <c r="B629" s="19">
        <f t="shared" si="252"/>
        <v>570.56851939611147</v>
      </c>
      <c r="C629" s="18">
        <f t="shared" si="266"/>
        <v>9.3218529038521734</v>
      </c>
      <c r="D629" s="2">
        <f t="shared" si="245"/>
        <v>0.96238327220595887</v>
      </c>
      <c r="E629" s="18">
        <f t="shared" si="253"/>
        <v>9.3378926250556056</v>
      </c>
      <c r="F629" s="21">
        <f t="shared" si="246"/>
        <v>6.3904801953413193</v>
      </c>
      <c r="G629" s="1">
        <f t="shared" si="247"/>
        <v>0</v>
      </c>
      <c r="H629" s="2">
        <f t="shared" si="243"/>
        <v>1324.4037600003587</v>
      </c>
      <c r="I629" s="19">
        <f t="shared" si="269"/>
        <v>573.33496103911637</v>
      </c>
      <c r="J629" s="20">
        <f t="shared" si="248"/>
        <v>0.90863006683475089</v>
      </c>
      <c r="K629" s="21">
        <f t="shared" si="249"/>
        <v>553.46222808015455</v>
      </c>
      <c r="L629" s="21">
        <f t="shared" si="244"/>
        <v>5.1111143015685494</v>
      </c>
      <c r="M629" s="2">
        <f t="shared" si="254"/>
        <v>437.94981232739451</v>
      </c>
      <c r="N629" s="19">
        <f t="shared" si="267"/>
        <v>343.72691173401915</v>
      </c>
      <c r="O629" s="1">
        <f t="shared" si="255"/>
        <v>603</v>
      </c>
      <c r="P629" s="19">
        <f t="shared" si="256"/>
        <v>887.65687079637746</v>
      </c>
      <c r="Q629" s="18">
        <f t="shared" si="257"/>
        <v>10.906098430641984</v>
      </c>
      <c r="R629" s="2">
        <f t="shared" si="258"/>
        <v>0.97092752220914136</v>
      </c>
      <c r="S629" s="18">
        <f t="shared" si="259"/>
        <v>10.922280556012137</v>
      </c>
      <c r="T629" s="18">
        <f t="shared" si="260"/>
        <v>8.7029063036980165</v>
      </c>
      <c r="U629" s="1">
        <f t="shared" si="250"/>
        <v>0</v>
      </c>
      <c r="V629" s="2">
        <f t="shared" si="261"/>
        <v>2059.19027784333</v>
      </c>
      <c r="W629" s="19">
        <f t="shared" si="262"/>
        <v>891.42436270274027</v>
      </c>
      <c r="X629" s="20"/>
      <c r="Y629" s="2">
        <f t="shared" si="263"/>
        <v>871.62479030616032</v>
      </c>
      <c r="Z629" s="21">
        <f t="shared" si="264"/>
        <v>6.992693576107059</v>
      </c>
      <c r="AA629" s="2">
        <f t="shared" si="265"/>
        <v>693.13994308966608</v>
      </c>
      <c r="AB629" s="19">
        <f t="shared" si="268"/>
        <v>95.605642127561708</v>
      </c>
      <c r="AC629" s="2"/>
      <c r="AD629" s="18"/>
      <c r="AE629" s="118"/>
      <c r="AG629" s="2"/>
      <c r="AH629" s="19"/>
      <c r="AI629" s="20"/>
      <c r="AJ629" s="21"/>
      <c r="AK629" s="21"/>
      <c r="AM629" s="19"/>
      <c r="AN629" s="18"/>
      <c r="AO629" s="2"/>
      <c r="AP629" s="18"/>
      <c r="AQ629" s="118"/>
      <c r="AS629" s="2"/>
      <c r="AT629" s="19"/>
      <c r="AU629" s="20"/>
      <c r="AV629" s="21"/>
      <c r="AW629" s="21"/>
    </row>
    <row r="630" spans="1:49" x14ac:dyDescent="0.25">
      <c r="A630" s="1">
        <f t="shared" si="251"/>
        <v>604</v>
      </c>
      <c r="B630" s="19">
        <f t="shared" si="252"/>
        <v>573.33496103911637</v>
      </c>
      <c r="C630" s="18">
        <f t="shared" si="266"/>
        <v>9.3378926250556056</v>
      </c>
      <c r="D630" s="2">
        <f t="shared" si="245"/>
        <v>0.96247637485584336</v>
      </c>
      <c r="E630" s="18">
        <f t="shared" si="253"/>
        <v>9.3539338979698705</v>
      </c>
      <c r="F630" s="21">
        <f t="shared" si="246"/>
        <v>6.4121289962889634</v>
      </c>
      <c r="G630" s="1">
        <f t="shared" si="247"/>
        <v>0</v>
      </c>
      <c r="H630" s="2">
        <f t="shared" si="243"/>
        <v>1330.8158889966478</v>
      </c>
      <c r="I630" s="19">
        <f t="shared" si="269"/>
        <v>576.1107744574233</v>
      </c>
      <c r="J630" s="20">
        <f t="shared" si="248"/>
        <v>0.90857361113536672</v>
      </c>
      <c r="K630" s="21">
        <f t="shared" si="249"/>
        <v>556.23867993554768</v>
      </c>
      <c r="L630" s="21">
        <f t="shared" si="244"/>
        <v>5.1286898307974473</v>
      </c>
      <c r="M630" s="2">
        <f t="shared" si="254"/>
        <v>440.17002437535876</v>
      </c>
      <c r="N630" s="19">
        <f t="shared" si="267"/>
        <v>343.80621378916385</v>
      </c>
      <c r="O630" s="1">
        <f t="shared" si="255"/>
        <v>604</v>
      </c>
      <c r="P630" s="19">
        <f t="shared" si="256"/>
        <v>891.42436270274027</v>
      </c>
      <c r="Q630" s="18">
        <f t="shared" si="257"/>
        <v>10.922280556012137</v>
      </c>
      <c r="R630" s="2">
        <f t="shared" si="258"/>
        <v>0.97100976965039543</v>
      </c>
      <c r="S630" s="18">
        <f t="shared" si="259"/>
        <v>10.938464052172977</v>
      </c>
      <c r="T630" s="18">
        <f t="shared" si="260"/>
        <v>8.7283397011663375</v>
      </c>
      <c r="U630" s="1">
        <f t="shared" si="250"/>
        <v>0</v>
      </c>
      <c r="V630" s="2">
        <f t="shared" si="261"/>
        <v>2067.9186175444966</v>
      </c>
      <c r="W630" s="19">
        <f t="shared" si="262"/>
        <v>895.20286473787723</v>
      </c>
      <c r="X630" s="20"/>
      <c r="Y630" s="2">
        <f t="shared" si="263"/>
        <v>875.40416139676529</v>
      </c>
      <c r="Z630" s="21">
        <f t="shared" si="264"/>
        <v>7.0134310160620483</v>
      </c>
      <c r="AA630" s="2">
        <f t="shared" si="265"/>
        <v>696.17606041263662</v>
      </c>
      <c r="AB630" s="19">
        <f t="shared" si="268"/>
        <v>95.673440612693994</v>
      </c>
      <c r="AC630" s="2"/>
      <c r="AD630" s="18"/>
      <c r="AE630" s="118"/>
      <c r="AG630" s="2"/>
      <c r="AH630" s="19"/>
      <c r="AI630" s="20"/>
      <c r="AJ630" s="21"/>
      <c r="AK630" s="21"/>
      <c r="AM630" s="19"/>
      <c r="AN630" s="18"/>
      <c r="AO630" s="2"/>
      <c r="AP630" s="18"/>
      <c r="AQ630" s="118"/>
      <c r="AS630" s="2"/>
      <c r="AT630" s="19"/>
      <c r="AU630" s="20"/>
      <c r="AV630" s="21"/>
      <c r="AW630" s="21"/>
    </row>
    <row r="631" spans="1:49" x14ac:dyDescent="0.25">
      <c r="A631" s="1">
        <f t="shared" si="251"/>
        <v>605</v>
      </c>
      <c r="B631" s="19">
        <f t="shared" si="252"/>
        <v>576.1107744574233</v>
      </c>
      <c r="C631" s="18">
        <f t="shared" si="266"/>
        <v>9.3539338979698705</v>
      </c>
      <c r="D631" s="2">
        <f t="shared" si="245"/>
        <v>0.96256935146146116</v>
      </c>
      <c r="E631" s="18">
        <f t="shared" si="253"/>
        <v>9.369976720494229</v>
      </c>
      <c r="F631" s="21">
        <f t="shared" si="246"/>
        <v>6.4338160161821474</v>
      </c>
      <c r="G631" s="1">
        <f t="shared" si="247"/>
        <v>0</v>
      </c>
      <c r="H631" s="2">
        <f t="shared" si="243"/>
        <v>1337.24970501283</v>
      </c>
      <c r="I631" s="19">
        <f t="shared" si="269"/>
        <v>578.89597619603023</v>
      </c>
      <c r="J631" s="20">
        <f t="shared" si="248"/>
        <v>0.90851719848787271</v>
      </c>
      <c r="K631" s="21">
        <f t="shared" si="249"/>
        <v>559.0245222705546</v>
      </c>
      <c r="L631" s="21">
        <f t="shared" si="244"/>
        <v>5.1462972287585877</v>
      </c>
      <c r="M631" s="2">
        <f t="shared" si="254"/>
        <v>442.39785867352265</v>
      </c>
      <c r="N631" s="19">
        <f t="shared" si="267"/>
        <v>343.88537984741964</v>
      </c>
      <c r="O631" s="1">
        <f t="shared" si="255"/>
        <v>605</v>
      </c>
      <c r="P631" s="19">
        <f t="shared" si="256"/>
        <v>895.20286473787723</v>
      </c>
      <c r="Q631" s="18">
        <f t="shared" si="257"/>
        <v>10.938464052172977</v>
      </c>
      <c r="R631" s="2">
        <f t="shared" si="258"/>
        <v>0.97109191600969491</v>
      </c>
      <c r="S631" s="18">
        <f t="shared" si="259"/>
        <v>10.954648917439805</v>
      </c>
      <c r="T631" s="18">
        <f t="shared" si="260"/>
        <v>8.7538118819107886</v>
      </c>
      <c r="U631" s="1">
        <f t="shared" si="250"/>
        <v>0</v>
      </c>
      <c r="V631" s="2">
        <f t="shared" si="261"/>
        <v>2076.6724294264072</v>
      </c>
      <c r="W631" s="19">
        <f t="shared" si="262"/>
        <v>898.99239369108534</v>
      </c>
      <c r="X631" s="20"/>
      <c r="Y631" s="2">
        <f t="shared" si="263"/>
        <v>879.19456194163263</v>
      </c>
      <c r="Z631" s="21">
        <f t="shared" si="264"/>
        <v>7.0342009181068352</v>
      </c>
      <c r="AA631" s="2">
        <f t="shared" si="265"/>
        <v>699.22116903519372</v>
      </c>
      <c r="AB631" s="19">
        <f t="shared" si="268"/>
        <v>95.741138789728296</v>
      </c>
      <c r="AC631" s="2"/>
      <c r="AD631" s="18"/>
      <c r="AE631" s="118"/>
      <c r="AG631" s="2"/>
      <c r="AH631" s="19"/>
      <c r="AI631" s="20"/>
      <c r="AJ631" s="21"/>
      <c r="AK631" s="21"/>
      <c r="AM631" s="19"/>
      <c r="AN631" s="18"/>
      <c r="AO631" s="2"/>
      <c r="AP631" s="18"/>
      <c r="AQ631" s="118"/>
      <c r="AS631" s="2"/>
      <c r="AT631" s="19"/>
      <c r="AU631" s="20"/>
      <c r="AV631" s="21"/>
      <c r="AW631" s="21"/>
    </row>
    <row r="632" spans="1:49" x14ac:dyDescent="0.25">
      <c r="A632" s="1">
        <f t="shared" si="251"/>
        <v>606</v>
      </c>
      <c r="B632" s="19">
        <f t="shared" si="252"/>
        <v>578.89597619603023</v>
      </c>
      <c r="C632" s="18">
        <f t="shared" si="266"/>
        <v>9.369976720494229</v>
      </c>
      <c r="D632" s="2">
        <f t="shared" si="245"/>
        <v>0.96266220232414557</v>
      </c>
      <c r="E632" s="18">
        <f t="shared" si="253"/>
        <v>9.3860210905329655</v>
      </c>
      <c r="F632" s="21">
        <f t="shared" si="246"/>
        <v>6.4555412611393743</v>
      </c>
      <c r="G632" s="1">
        <f t="shared" si="247"/>
        <v>0</v>
      </c>
      <c r="H632" s="2">
        <f t="shared" si="243"/>
        <v>1343.7052462739694</v>
      </c>
      <c r="I632" s="19">
        <f t="shared" si="269"/>
        <v>581.69058280258412</v>
      </c>
      <c r="J632" s="20">
        <f t="shared" si="248"/>
        <v>0.90846082890229518</v>
      </c>
      <c r="K632" s="21">
        <f t="shared" si="249"/>
        <v>561.81977163662793</v>
      </c>
      <c r="L632" s="21">
        <f t="shared" si="244"/>
        <v>5.163936501889193</v>
      </c>
      <c r="M632" s="2">
        <f t="shared" si="254"/>
        <v>444.63332902066082</v>
      </c>
      <c r="N632" s="19">
        <f t="shared" si="267"/>
        <v>343.96441036136616</v>
      </c>
      <c r="O632" s="1">
        <f t="shared" si="255"/>
        <v>606</v>
      </c>
      <c r="P632" s="19">
        <f t="shared" si="256"/>
        <v>898.99239369108534</v>
      </c>
      <c r="Q632" s="18">
        <f t="shared" si="257"/>
        <v>10.954648917439805</v>
      </c>
      <c r="R632" s="2">
        <f t="shared" si="258"/>
        <v>0.9711739615249031</v>
      </c>
      <c r="S632" s="18">
        <f t="shared" si="259"/>
        <v>10.970835150131887</v>
      </c>
      <c r="T632" s="18">
        <f t="shared" si="260"/>
        <v>8.7793228512807087</v>
      </c>
      <c r="U632" s="1">
        <f t="shared" si="250"/>
        <v>0</v>
      </c>
      <c r="V632" s="2">
        <f t="shared" si="261"/>
        <v>2085.4517522776878</v>
      </c>
      <c r="W632" s="19">
        <f t="shared" si="262"/>
        <v>902.79296635397736</v>
      </c>
      <c r="X632" s="20"/>
      <c r="Y632" s="2">
        <f t="shared" si="263"/>
        <v>882.99600873623717</v>
      </c>
      <c r="Z632" s="21">
        <f t="shared" si="264"/>
        <v>7.0550032878729567</v>
      </c>
      <c r="AA632" s="2">
        <f t="shared" si="265"/>
        <v>702.27528301262794</v>
      </c>
      <c r="AB632" s="19">
        <f t="shared" si="268"/>
        <v>95.80873694659013</v>
      </c>
      <c r="AC632" s="2"/>
      <c r="AD632" s="18"/>
      <c r="AE632" s="118"/>
      <c r="AG632" s="2"/>
      <c r="AH632" s="19"/>
      <c r="AI632" s="20"/>
      <c r="AJ632" s="21"/>
      <c r="AK632" s="21"/>
      <c r="AM632" s="19"/>
      <c r="AN632" s="18"/>
      <c r="AO632" s="2"/>
      <c r="AP632" s="18"/>
      <c r="AQ632" s="118"/>
      <c r="AS632" s="2"/>
      <c r="AT632" s="19"/>
      <c r="AU632" s="20"/>
      <c r="AV632" s="21"/>
      <c r="AW632" s="21"/>
    </row>
    <row r="633" spans="1:49" x14ac:dyDescent="0.25">
      <c r="A633" s="1">
        <f t="shared" si="251"/>
        <v>607</v>
      </c>
      <c r="B633" s="19">
        <f t="shared" si="252"/>
        <v>581.69058280258412</v>
      </c>
      <c r="C633" s="18">
        <f t="shared" si="266"/>
        <v>9.3860210905329655</v>
      </c>
      <c r="D633" s="2">
        <f t="shared" si="245"/>
        <v>0.96275492774450599</v>
      </c>
      <c r="E633" s="18">
        <f t="shared" si="253"/>
        <v>9.4020670059953737</v>
      </c>
      <c r="F633" s="21">
        <f t="shared" si="246"/>
        <v>6.4773047372701775</v>
      </c>
      <c r="G633" s="1">
        <f t="shared" si="247"/>
        <v>0</v>
      </c>
      <c r="H633" s="2">
        <f t="shared" si="243"/>
        <v>1350.1825510112396</v>
      </c>
      <c r="I633" s="19">
        <f t="shared" si="269"/>
        <v>584.4946108273765</v>
      </c>
      <c r="J633" s="20">
        <f t="shared" si="248"/>
        <v>0.90840450238801496</v>
      </c>
      <c r="K633" s="21">
        <f t="shared" si="249"/>
        <v>564.62444458786592</v>
      </c>
      <c r="L633" s="21">
        <f t="shared" si="244"/>
        <v>5.1816076566170866</v>
      </c>
      <c r="M633" s="2">
        <f t="shared" si="254"/>
        <v>446.87644921833055</v>
      </c>
      <c r="N633" s="19">
        <f t="shared" si="267"/>
        <v>344.0433057813471</v>
      </c>
      <c r="O633" s="1">
        <f t="shared" si="255"/>
        <v>607</v>
      </c>
      <c r="P633" s="19">
        <f t="shared" si="256"/>
        <v>902.79296635397736</v>
      </c>
      <c r="Q633" s="18">
        <f t="shared" si="257"/>
        <v>10.970835150131887</v>
      </c>
      <c r="R633" s="2">
        <f t="shared" si="258"/>
        <v>0.97125590643314652</v>
      </c>
      <c r="S633" s="18">
        <f t="shared" si="259"/>
        <v>10.987022748572439</v>
      </c>
      <c r="T633" s="18">
        <f t="shared" si="260"/>
        <v>8.8048726146187768</v>
      </c>
      <c r="U633" s="1">
        <f t="shared" si="250"/>
        <v>0</v>
      </c>
      <c r="V633" s="2">
        <f t="shared" si="261"/>
        <v>2094.2566248923067</v>
      </c>
      <c r="W633" s="19">
        <f t="shared" si="262"/>
        <v>906.60459952047904</v>
      </c>
      <c r="X633" s="20"/>
      <c r="Y633" s="2">
        <f t="shared" si="263"/>
        <v>886.80851857836706</v>
      </c>
      <c r="Z633" s="21">
        <f t="shared" si="264"/>
        <v>7.0758381309849305</v>
      </c>
      <c r="AA633" s="2">
        <f t="shared" si="265"/>
        <v>705.33841640266473</v>
      </c>
      <c r="AB633" s="19">
        <f t="shared" si="268"/>
        <v>95.876235369978474</v>
      </c>
      <c r="AC633" s="2"/>
      <c r="AD633" s="18"/>
      <c r="AE633" s="118"/>
      <c r="AG633" s="2"/>
      <c r="AH633" s="19"/>
      <c r="AI633" s="20"/>
      <c r="AJ633" s="21"/>
      <c r="AK633" s="21"/>
      <c r="AM633" s="19"/>
      <c r="AN633" s="18"/>
      <c r="AO633" s="2"/>
      <c r="AP633" s="18"/>
      <c r="AQ633" s="118"/>
      <c r="AS633" s="2"/>
      <c r="AT633" s="19"/>
      <c r="AU633" s="20"/>
      <c r="AV633" s="21"/>
      <c r="AW633" s="21"/>
    </row>
    <row r="634" spans="1:49" x14ac:dyDescent="0.25">
      <c r="A634" s="1">
        <f t="shared" si="251"/>
        <v>608</v>
      </c>
      <c r="B634" s="19">
        <f t="shared" si="252"/>
        <v>584.4946108273765</v>
      </c>
      <c r="C634" s="18">
        <f t="shared" si="266"/>
        <v>9.4020670059953737</v>
      </c>
      <c r="D634" s="2">
        <f t="shared" si="245"/>
        <v>0.9628475280224259</v>
      </c>
      <c r="E634" s="18">
        <f t="shared" si="253"/>
        <v>9.4181144647957478</v>
      </c>
      <c r="F634" s="21">
        <f t="shared" si="246"/>
        <v>6.4991064506751384</v>
      </c>
      <c r="G634" s="1">
        <f t="shared" si="247"/>
        <v>0</v>
      </c>
      <c r="H634" s="2">
        <f t="shared" si="243"/>
        <v>1356.6816574619149</v>
      </c>
      <c r="I634" s="19">
        <f t="shared" si="269"/>
        <v>587.30807682333977</v>
      </c>
      <c r="J634" s="20">
        <f t="shared" si="248"/>
        <v>0.90834821895377482</v>
      </c>
      <c r="K634" s="21">
        <f t="shared" si="249"/>
        <v>567.43855768100821</v>
      </c>
      <c r="L634" s="21">
        <f t="shared" si="244"/>
        <v>5.1993106993607174</v>
      </c>
      <c r="M634" s="2">
        <f t="shared" si="254"/>
        <v>449.12723307086765</v>
      </c>
      <c r="N634" s="19">
        <f t="shared" si="267"/>
        <v>344.12206655548488</v>
      </c>
      <c r="O634" s="1">
        <f t="shared" si="255"/>
        <v>608</v>
      </c>
      <c r="P634" s="19">
        <f t="shared" si="256"/>
        <v>906.60459952047904</v>
      </c>
      <c r="Q634" s="18">
        <f t="shared" si="257"/>
        <v>10.987022748572439</v>
      </c>
      <c r="R634" s="2">
        <f t="shared" si="258"/>
        <v>0.9713377509708172</v>
      </c>
      <c r="S634" s="18">
        <f t="shared" si="259"/>
        <v>11.003211711088619</v>
      </c>
      <c r="T634" s="18">
        <f t="shared" si="260"/>
        <v>8.8304611772610571</v>
      </c>
      <c r="U634" s="1">
        <f t="shared" si="250"/>
        <v>0</v>
      </c>
      <c r="V634" s="2">
        <f t="shared" si="261"/>
        <v>2103.0870860695677</v>
      </c>
      <c r="W634" s="19">
        <f t="shared" si="262"/>
        <v>910.42730998682578</v>
      </c>
      <c r="X634" s="20"/>
      <c r="Y634" s="2">
        <f t="shared" si="263"/>
        <v>890.6321082681211</v>
      </c>
      <c r="Z634" s="21">
        <f t="shared" si="264"/>
        <v>7.0967054530602987</v>
      </c>
      <c r="AA634" s="2">
        <f t="shared" si="265"/>
        <v>708.41058326546136</v>
      </c>
      <c r="AB634" s="19">
        <f t="shared" si="268"/>
        <v>95.943634345372757</v>
      </c>
      <c r="AC634" s="2"/>
      <c r="AD634" s="18"/>
      <c r="AE634" s="118"/>
      <c r="AG634" s="2"/>
      <c r="AH634" s="19"/>
      <c r="AI634" s="20"/>
      <c r="AJ634" s="21"/>
      <c r="AK634" s="21"/>
      <c r="AM634" s="19"/>
      <c r="AN634" s="18"/>
      <c r="AO634" s="2"/>
      <c r="AP634" s="18"/>
      <c r="AQ634" s="118"/>
      <c r="AS634" s="2"/>
      <c r="AT634" s="19"/>
      <c r="AU634" s="20"/>
      <c r="AV634" s="21"/>
      <c r="AW634" s="21"/>
    </row>
    <row r="635" spans="1:49" x14ac:dyDescent="0.25">
      <c r="A635" s="1">
        <f t="shared" si="251"/>
        <v>609</v>
      </c>
      <c r="B635" s="19">
        <f t="shared" si="252"/>
        <v>587.30807682333977</v>
      </c>
      <c r="C635" s="18">
        <f t="shared" si="266"/>
        <v>9.4181144647957478</v>
      </c>
      <c r="D635" s="2">
        <f t="shared" si="245"/>
        <v>0.96294000345706188</v>
      </c>
      <c r="E635" s="18">
        <f t="shared" si="253"/>
        <v>9.4341634648533663</v>
      </c>
      <c r="F635" s="21">
        <f t="shared" si="246"/>
        <v>6.5209464074459342</v>
      </c>
      <c r="G635" s="1">
        <f t="shared" si="247"/>
        <v>0</v>
      </c>
      <c r="H635" s="2">
        <f t="shared" si="243"/>
        <v>1363.2026038693609</v>
      </c>
      <c r="I635" s="19">
        <f t="shared" si="269"/>
        <v>590.13099734604373</v>
      </c>
      <c r="J635" s="20">
        <f t="shared" si="248"/>
        <v>0.9082919786076854</v>
      </c>
      <c r="K635" s="21">
        <f t="shared" si="249"/>
        <v>570.26212747543229</v>
      </c>
      <c r="L635" s="21">
        <f t="shared" si="244"/>
        <v>5.2170456365291988</v>
      </c>
      <c r="M635" s="2">
        <f t="shared" si="254"/>
        <v>451.38569438538246</v>
      </c>
      <c r="N635" s="19">
        <f t="shared" si="267"/>
        <v>344.2006931296952</v>
      </c>
      <c r="O635" s="1">
        <f t="shared" si="255"/>
        <v>609</v>
      </c>
      <c r="P635" s="19">
        <f t="shared" si="256"/>
        <v>910.42730998682578</v>
      </c>
      <c r="Q635" s="18">
        <f t="shared" si="257"/>
        <v>11.003211711088619</v>
      </c>
      <c r="R635" s="2">
        <f t="shared" si="258"/>
        <v>0.97141949537357442</v>
      </c>
      <c r="S635" s="18">
        <f t="shared" si="259"/>
        <v>11.019402036011511</v>
      </c>
      <c r="T635" s="18">
        <f t="shared" si="260"/>
        <v>8.8560885445369824</v>
      </c>
      <c r="U635" s="1">
        <f t="shared" si="250"/>
        <v>0</v>
      </c>
      <c r="V635" s="2">
        <f t="shared" si="261"/>
        <v>2111.9431746141045</v>
      </c>
      <c r="W635" s="19">
        <f t="shared" si="262"/>
        <v>914.26111455156035</v>
      </c>
      <c r="X635" s="20"/>
      <c r="Y635" s="2">
        <f t="shared" si="263"/>
        <v>894.46679460790563</v>
      </c>
      <c r="Z635" s="21">
        <f t="shared" si="264"/>
        <v>7.1176052597096202</v>
      </c>
      <c r="AA635" s="2">
        <f t="shared" si="265"/>
        <v>711.49179766360407</v>
      </c>
      <c r="AB635" s="19">
        <f t="shared" si="268"/>
        <v>96.010934157039671</v>
      </c>
      <c r="AC635" s="2"/>
      <c r="AD635" s="18"/>
      <c r="AE635" s="118"/>
      <c r="AG635" s="2"/>
      <c r="AH635" s="19"/>
      <c r="AI635" s="20"/>
      <c r="AJ635" s="21"/>
      <c r="AK635" s="21"/>
      <c r="AM635" s="19"/>
      <c r="AN635" s="18"/>
      <c r="AO635" s="2"/>
      <c r="AP635" s="18"/>
      <c r="AQ635" s="118"/>
      <c r="AS635" s="2"/>
      <c r="AT635" s="19"/>
      <c r="AU635" s="20"/>
      <c r="AV635" s="21"/>
      <c r="AW635" s="21"/>
    </row>
    <row r="636" spans="1:49" x14ac:dyDescent="0.25">
      <c r="A636" s="1">
        <f t="shared" si="251"/>
        <v>610</v>
      </c>
      <c r="B636" s="19">
        <f t="shared" si="252"/>
        <v>590.13099734604373</v>
      </c>
      <c r="C636" s="18">
        <f t="shared" si="266"/>
        <v>9.4341634648533663</v>
      </c>
      <c r="D636" s="2">
        <f t="shared" si="245"/>
        <v>0.96303235434684065</v>
      </c>
      <c r="E636" s="18">
        <f t="shared" si="253"/>
        <v>9.45021400409248</v>
      </c>
      <c r="F636" s="21">
        <f t="shared" si="246"/>
        <v>6.5428246136653385</v>
      </c>
      <c r="G636" s="1">
        <f t="shared" si="247"/>
        <v>0</v>
      </c>
      <c r="H636" s="2">
        <f t="shared" si="243"/>
        <v>1369.7454284830264</v>
      </c>
      <c r="I636" s="19">
        <f t="shared" si="269"/>
        <v>592.96338895369104</v>
      </c>
      <c r="J636" s="20">
        <f t="shared" si="248"/>
        <v>0.90823578135723337</v>
      </c>
      <c r="K636" s="21">
        <f t="shared" si="249"/>
        <v>573.09517053314937</v>
      </c>
      <c r="L636" s="21">
        <f t="shared" si="244"/>
        <v>5.2348124745223243</v>
      </c>
      <c r="M636" s="2">
        <f t="shared" si="254"/>
        <v>453.65184697175579</v>
      </c>
      <c r="N636" s="19">
        <f t="shared" si="267"/>
        <v>344.27918594770136</v>
      </c>
      <c r="O636" s="1">
        <f t="shared" si="255"/>
        <v>610</v>
      </c>
      <c r="P636" s="19">
        <f t="shared" si="256"/>
        <v>914.26111455156035</v>
      </c>
      <c r="Q636" s="18">
        <f t="shared" si="257"/>
        <v>11.019402036011511</v>
      </c>
      <c r="R636" s="2">
        <f t="shared" si="258"/>
        <v>0.97150113987634779</v>
      </c>
      <c r="S636" s="18">
        <f t="shared" si="259"/>
        <v>11.035593721676117</v>
      </c>
      <c r="T636" s="18">
        <f t="shared" si="260"/>
        <v>8.8817547217694024</v>
      </c>
      <c r="U636" s="1">
        <f t="shared" si="250"/>
        <v>0</v>
      </c>
      <c r="V636" s="2">
        <f t="shared" si="261"/>
        <v>2120.824929335874</v>
      </c>
      <c r="W636" s="19">
        <f t="shared" si="262"/>
        <v>918.10603001552988</v>
      </c>
      <c r="X636" s="20"/>
      <c r="Y636" s="2">
        <f t="shared" si="263"/>
        <v>898.31259440243173</v>
      </c>
      <c r="Z636" s="21">
        <f t="shared" si="264"/>
        <v>7.1385375565365132</v>
      </c>
      <c r="AA636" s="2">
        <f t="shared" si="265"/>
        <v>714.58207366210468</v>
      </c>
      <c r="AB636" s="19">
        <f t="shared" si="268"/>
        <v>96.078135088040042</v>
      </c>
      <c r="AC636" s="2"/>
      <c r="AD636" s="18"/>
      <c r="AE636" s="118"/>
      <c r="AG636" s="2"/>
      <c r="AH636" s="19"/>
      <c r="AI636" s="20"/>
      <c r="AJ636" s="21"/>
      <c r="AK636" s="21"/>
      <c r="AM636" s="19"/>
      <c r="AN636" s="18"/>
      <c r="AO636" s="2"/>
      <c r="AP636" s="18"/>
      <c r="AQ636" s="118"/>
      <c r="AS636" s="2"/>
      <c r="AT636" s="19"/>
      <c r="AU636" s="20"/>
      <c r="AV636" s="21"/>
      <c r="AW636" s="21"/>
    </row>
    <row r="637" spans="1:49" x14ac:dyDescent="0.25">
      <c r="A637" s="1">
        <f t="shared" si="251"/>
        <v>611</v>
      </c>
      <c r="B637" s="19">
        <f t="shared" si="252"/>
        <v>592.96338895369104</v>
      </c>
      <c r="C637" s="18">
        <f t="shared" si="266"/>
        <v>9.45021400409248</v>
      </c>
      <c r="D637" s="2">
        <f t="shared" si="245"/>
        <v>0.96312458098945974</v>
      </c>
      <c r="E637" s="18">
        <f t="shared" si="253"/>
        <v>9.4662660804423044</v>
      </c>
      <c r="F637" s="21">
        <f t="shared" si="246"/>
        <v>6.5647410754072686</v>
      </c>
      <c r="G637" s="1">
        <f t="shared" si="247"/>
        <v>0</v>
      </c>
      <c r="H637" s="2">
        <f t="shared" si="243"/>
        <v>1376.3101695584335</v>
      </c>
      <c r="I637" s="19">
        <f t="shared" si="269"/>
        <v>595.80526820711407</v>
      </c>
      <c r="J637" s="20">
        <f t="shared" si="248"/>
        <v>0.90817962720928591</v>
      </c>
      <c r="K637" s="21">
        <f t="shared" si="249"/>
        <v>575.93770341880077</v>
      </c>
      <c r="L637" s="21">
        <f t="shared" si="244"/>
        <v>5.2526112197306061</v>
      </c>
      <c r="M637" s="2">
        <f t="shared" si="254"/>
        <v>455.92570464263486</v>
      </c>
      <c r="N637" s="19">
        <f t="shared" si="267"/>
        <v>344.35754545104879</v>
      </c>
      <c r="O637" s="1">
        <f t="shared" si="255"/>
        <v>611</v>
      </c>
      <c r="P637" s="19">
        <f t="shared" si="256"/>
        <v>918.10603001552988</v>
      </c>
      <c r="Q637" s="18">
        <f t="shared" si="257"/>
        <v>11.035593721676117</v>
      </c>
      <c r="R637" s="2">
        <f t="shared" si="258"/>
        <v>0.9715826847133382</v>
      </c>
      <c r="S637" s="18">
        <f t="shared" si="259"/>
        <v>11.051786766421339</v>
      </c>
      <c r="T637" s="18">
        <f t="shared" si="260"/>
        <v>8.9074597142745819</v>
      </c>
      <c r="U637" s="1">
        <f t="shared" si="250"/>
        <v>0</v>
      </c>
      <c r="V637" s="2">
        <f t="shared" si="261"/>
        <v>2129.7323890501484</v>
      </c>
      <c r="W637" s="19">
        <f t="shared" si="262"/>
        <v>921.96207318188237</v>
      </c>
      <c r="X637" s="20"/>
      <c r="Y637" s="2">
        <f t="shared" si="263"/>
        <v>902.16952445871266</v>
      </c>
      <c r="Z637" s="21">
        <f t="shared" si="264"/>
        <v>7.159502349137651</v>
      </c>
      <c r="AA637" s="2">
        <f t="shared" si="265"/>
        <v>717.68142532839806</v>
      </c>
      <c r="AB637" s="19">
        <f t="shared" si="268"/>
        <v>96.145237420235631</v>
      </c>
      <c r="AC637" s="2"/>
      <c r="AD637" s="18"/>
      <c r="AE637" s="118"/>
      <c r="AG637" s="2"/>
      <c r="AH637" s="19"/>
      <c r="AI637" s="20"/>
      <c r="AJ637" s="21"/>
      <c r="AK637" s="21"/>
      <c r="AM637" s="19"/>
      <c r="AN637" s="18"/>
      <c r="AO637" s="2"/>
      <c r="AP637" s="18"/>
      <c r="AQ637" s="118"/>
      <c r="AS637" s="2"/>
      <c r="AT637" s="19"/>
      <c r="AU637" s="20"/>
      <c r="AV637" s="21"/>
      <c r="AW637" s="21"/>
    </row>
    <row r="638" spans="1:49" x14ac:dyDescent="0.25">
      <c r="A638" s="1">
        <f t="shared" si="251"/>
        <v>612</v>
      </c>
      <c r="B638" s="19">
        <f t="shared" si="252"/>
        <v>595.80526820711407</v>
      </c>
      <c r="C638" s="18">
        <f t="shared" si="266"/>
        <v>9.4662660804423044</v>
      </c>
      <c r="D638" s="2">
        <f t="shared" si="245"/>
        <v>0.96321668368188473</v>
      </c>
      <c r="E638" s="18">
        <f t="shared" si="253"/>
        <v>9.4823196918370023</v>
      </c>
      <c r="F638" s="21">
        <f t="shared" si="246"/>
        <v>6.586695798736816</v>
      </c>
      <c r="G638" s="1">
        <f t="shared" si="247"/>
        <v>0</v>
      </c>
      <c r="H638" s="2">
        <f t="shared" si="243"/>
        <v>1382.8968653571703</v>
      </c>
      <c r="I638" s="19">
        <f t="shared" si="269"/>
        <v>598.65665166977067</v>
      </c>
      <c r="J638" s="20">
        <f t="shared" si="248"/>
        <v>0.90812351617010045</v>
      </c>
      <c r="K638" s="21">
        <f t="shared" si="249"/>
        <v>578.78974269965386</v>
      </c>
      <c r="L638" s="21">
        <f t="shared" si="244"/>
        <v>5.2704418785353058</v>
      </c>
      <c r="M638" s="2">
        <f t="shared" si="254"/>
        <v>458.20728121342938</v>
      </c>
      <c r="N638" s="19">
        <f t="shared" si="267"/>
        <v>344.43577207911892</v>
      </c>
      <c r="O638" s="1">
        <f t="shared" si="255"/>
        <v>612</v>
      </c>
      <c r="P638" s="19">
        <f t="shared" si="256"/>
        <v>921.96207318188237</v>
      </c>
      <c r="Q638" s="18">
        <f t="shared" si="257"/>
        <v>11.051786766421339</v>
      </c>
      <c r="R638" s="2">
        <f t="shared" si="258"/>
        <v>0.97166413011802111</v>
      </c>
      <c r="S638" s="18">
        <f t="shared" si="259"/>
        <v>11.067981168589972</v>
      </c>
      <c r="T638" s="18">
        <f t="shared" si="260"/>
        <v>8.9332035273622363</v>
      </c>
      <c r="U638" s="1">
        <f t="shared" si="250"/>
        <v>0</v>
      </c>
      <c r="V638" s="2">
        <f t="shared" si="261"/>
        <v>2138.6655925775108</v>
      </c>
      <c r="W638" s="19">
        <f t="shared" si="262"/>
        <v>925.82926085606528</v>
      </c>
      <c r="X638" s="20"/>
      <c r="Y638" s="2">
        <f t="shared" si="263"/>
        <v>906.03760158606053</v>
      </c>
      <c r="Z638" s="21">
        <f t="shared" si="264"/>
        <v>7.1804996431028068</v>
      </c>
      <c r="AA638" s="2">
        <f t="shared" si="265"/>
        <v>720.78986673233862</v>
      </c>
      <c r="AB638" s="19">
        <f t="shared" si="268"/>
        <v>96.212241434295805</v>
      </c>
      <c r="AC638" s="2"/>
      <c r="AD638" s="18"/>
      <c r="AE638" s="118"/>
      <c r="AG638" s="2"/>
      <c r="AH638" s="19"/>
      <c r="AI638" s="20"/>
      <c r="AJ638" s="21"/>
      <c r="AK638" s="21"/>
      <c r="AM638" s="19"/>
      <c r="AN638" s="18"/>
      <c r="AO638" s="2"/>
      <c r="AP638" s="18"/>
      <c r="AQ638" s="118"/>
      <c r="AS638" s="2"/>
      <c r="AT638" s="19"/>
      <c r="AU638" s="20"/>
      <c r="AV638" s="21"/>
      <c r="AW638" s="21"/>
    </row>
    <row r="639" spans="1:49" x14ac:dyDescent="0.25">
      <c r="A639" s="1">
        <f t="shared" si="251"/>
        <v>613</v>
      </c>
      <c r="B639" s="19">
        <f t="shared" si="252"/>
        <v>598.65665166977067</v>
      </c>
      <c r="C639" s="18">
        <f t="shared" si="266"/>
        <v>9.4823196918370023</v>
      </c>
      <c r="D639" s="2">
        <f t="shared" si="245"/>
        <v>0.96330866272034821</v>
      </c>
      <c r="E639" s="18">
        <f t="shared" si="253"/>
        <v>9.4983748362156746</v>
      </c>
      <c r="F639" s="21">
        <f t="shared" si="246"/>
        <v>6.6086887897102606</v>
      </c>
      <c r="G639" s="1">
        <f t="shared" si="247"/>
        <v>0</v>
      </c>
      <c r="H639" s="2">
        <f t="shared" si="243"/>
        <v>1389.5055541468805</v>
      </c>
      <c r="I639" s="19">
        <f t="shared" si="269"/>
        <v>601.51755590774042</v>
      </c>
      <c r="J639" s="20">
        <f t="shared" si="248"/>
        <v>0.90806744824532781</v>
      </c>
      <c r="K639" s="21">
        <f t="shared" si="249"/>
        <v>581.65130494559844</v>
      </c>
      <c r="L639" s="21">
        <f t="shared" si="244"/>
        <v>5.2883044573084543</v>
      </c>
      <c r="M639" s="2">
        <f t="shared" si="254"/>
        <v>460.49659050230753</v>
      </c>
      <c r="N639" s="19">
        <f t="shared" si="267"/>
        <v>344.51386626914342</v>
      </c>
      <c r="O639" s="1">
        <f t="shared" si="255"/>
        <v>613</v>
      </c>
      <c r="P639" s="19">
        <f t="shared" si="256"/>
        <v>925.82926085606528</v>
      </c>
      <c r="Q639" s="18">
        <f t="shared" si="257"/>
        <v>11.067981168589972</v>
      </c>
      <c r="R639" s="2">
        <f t="shared" si="258"/>
        <v>0.97174547632314778</v>
      </c>
      <c r="S639" s="18">
        <f t="shared" si="259"/>
        <v>11.084176926528691</v>
      </c>
      <c r="T639" s="18">
        <f t="shared" si="260"/>
        <v>8.9589861663355315</v>
      </c>
      <c r="U639" s="1">
        <f t="shared" si="250"/>
        <v>0</v>
      </c>
      <c r="V639" s="2">
        <f t="shared" si="261"/>
        <v>2147.6245787438461</v>
      </c>
      <c r="W639" s="19">
        <f t="shared" si="262"/>
        <v>929.7076098458208</v>
      </c>
      <c r="X639" s="20"/>
      <c r="Y639" s="2">
        <f t="shared" si="263"/>
        <v>909.91684259608382</v>
      </c>
      <c r="Z639" s="21">
        <f t="shared" si="264"/>
        <v>7.2015294440148461</v>
      </c>
      <c r="AA639" s="2">
        <f t="shared" si="265"/>
        <v>723.90741194619784</v>
      </c>
      <c r="AB639" s="19">
        <f t="shared" si="268"/>
        <v>96.279147409704308</v>
      </c>
      <c r="AC639" s="2"/>
      <c r="AD639" s="18"/>
      <c r="AE639" s="118"/>
      <c r="AG639" s="2"/>
      <c r="AH639" s="19"/>
      <c r="AI639" s="20"/>
      <c r="AJ639" s="21"/>
      <c r="AK639" s="21"/>
      <c r="AM639" s="19"/>
      <c r="AN639" s="18"/>
      <c r="AO639" s="2"/>
      <c r="AP639" s="18"/>
      <c r="AQ639" s="118"/>
      <c r="AS639" s="2"/>
      <c r="AT639" s="19"/>
      <c r="AU639" s="20"/>
      <c r="AV639" s="21"/>
      <c r="AW639" s="21"/>
    </row>
    <row r="640" spans="1:49" x14ac:dyDescent="0.25">
      <c r="A640" s="1">
        <f t="shared" si="251"/>
        <v>614</v>
      </c>
      <c r="B640" s="19">
        <f t="shared" si="252"/>
        <v>601.51755590774042</v>
      </c>
      <c r="C640" s="18">
        <f t="shared" si="266"/>
        <v>9.4983748362156746</v>
      </c>
      <c r="D640" s="2">
        <f t="shared" si="245"/>
        <v>0.96340051840034946</v>
      </c>
      <c r="E640" s="18">
        <f t="shared" si="253"/>
        <v>9.5144315115223463</v>
      </c>
      <c r="F640" s="21">
        <f t="shared" si="246"/>
        <v>6.6307200543751144</v>
      </c>
      <c r="G640" s="1">
        <f t="shared" si="247"/>
        <v>0</v>
      </c>
      <c r="H640" s="2">
        <f t="shared" si="243"/>
        <v>1396.1362742012554</v>
      </c>
      <c r="I640" s="19">
        <f t="shared" si="269"/>
        <v>604.38799748972099</v>
      </c>
      <c r="J640" s="20">
        <f t="shared" si="248"/>
        <v>0.9080114234400215</v>
      </c>
      <c r="K640" s="21">
        <f t="shared" si="249"/>
        <v>584.52240672914286</v>
      </c>
      <c r="L640" s="21">
        <f t="shared" si="244"/>
        <v>5.3061989624128936</v>
      </c>
      <c r="M640" s="2">
        <f t="shared" si="254"/>
        <v>462.7936463301919</v>
      </c>
      <c r="N640" s="19">
        <f t="shared" si="267"/>
        <v>344.5918284562182</v>
      </c>
      <c r="O640" s="1">
        <f t="shared" si="255"/>
        <v>614</v>
      </c>
      <c r="P640" s="19">
        <f t="shared" si="256"/>
        <v>929.7076098458208</v>
      </c>
      <c r="Q640" s="18">
        <f t="shared" si="257"/>
        <v>11.084176926528691</v>
      </c>
      <c r="R640" s="2">
        <f t="shared" si="258"/>
        <v>0.97182672356074817</v>
      </c>
      <c r="S640" s="18">
        <f t="shared" si="259"/>
        <v>11.100374038588036</v>
      </c>
      <c r="T640" s="18">
        <f t="shared" si="260"/>
        <v>8.9848076364911051</v>
      </c>
      <c r="U640" s="1">
        <f t="shared" si="250"/>
        <v>0</v>
      </c>
      <c r="V640" s="2">
        <f t="shared" si="261"/>
        <v>2156.6093863803371</v>
      </c>
      <c r="W640" s="19">
        <f t="shared" si="262"/>
        <v>933.5971369611849</v>
      </c>
      <c r="X640" s="20"/>
      <c r="Y640" s="2">
        <f t="shared" si="263"/>
        <v>913.80726430268453</v>
      </c>
      <c r="Z640" s="21">
        <f t="shared" si="264"/>
        <v>7.2225917574497585</v>
      </c>
      <c r="AA640" s="2">
        <f t="shared" si="265"/>
        <v>727.03407504466099</v>
      </c>
      <c r="AB640" s="19">
        <f t="shared" si="268"/>
        <v>96.345955624765821</v>
      </c>
      <c r="AC640" s="2"/>
      <c r="AD640" s="18"/>
      <c r="AE640" s="118"/>
      <c r="AG640" s="2"/>
      <c r="AH640" s="19"/>
      <c r="AI640" s="20"/>
      <c r="AJ640" s="21"/>
      <c r="AK640" s="21"/>
      <c r="AM640" s="19"/>
      <c r="AN640" s="18"/>
      <c r="AO640" s="2"/>
      <c r="AP640" s="18"/>
      <c r="AQ640" s="118"/>
      <c r="AS640" s="2"/>
      <c r="AT640" s="19"/>
      <c r="AU640" s="20"/>
      <c r="AV640" s="21"/>
      <c r="AW640" s="21"/>
    </row>
    <row r="641" spans="1:49" x14ac:dyDescent="0.25">
      <c r="A641" s="1">
        <f t="shared" si="251"/>
        <v>615</v>
      </c>
      <c r="B641" s="19">
        <f t="shared" si="252"/>
        <v>604.38799748972099</v>
      </c>
      <c r="C641" s="18">
        <f t="shared" si="266"/>
        <v>9.5144315115223463</v>
      </c>
      <c r="D641" s="2">
        <f t="shared" si="245"/>
        <v>0.96349225101665192</v>
      </c>
      <c r="E641" s="18">
        <f t="shared" si="253"/>
        <v>9.5304897157059578</v>
      </c>
      <c r="F641" s="21">
        <f t="shared" si="246"/>
        <v>6.6527895987701404</v>
      </c>
      <c r="G641" s="1">
        <f t="shared" si="247"/>
        <v>0</v>
      </c>
      <c r="H641" s="2">
        <f t="shared" si="243"/>
        <v>1402.7890638000256</v>
      </c>
      <c r="I641" s="19">
        <f t="shared" si="269"/>
        <v>607.26799298702406</v>
      </c>
      <c r="J641" s="20">
        <f t="shared" si="248"/>
        <v>0.9079554417586424</v>
      </c>
      <c r="K641" s="21">
        <f t="shared" si="249"/>
        <v>587.40306462541037</v>
      </c>
      <c r="L641" s="21">
        <f t="shared" si="244"/>
        <v>5.3241254002022975</v>
      </c>
      <c r="M641" s="2">
        <f t="shared" si="254"/>
        <v>465.09846252075567</v>
      </c>
      <c r="N641" s="19">
        <f t="shared" si="267"/>
        <v>344.66965907331712</v>
      </c>
      <c r="O641" s="1">
        <f t="shared" si="255"/>
        <v>615</v>
      </c>
      <c r="P641" s="19">
        <f t="shared" si="256"/>
        <v>933.5971369611849</v>
      </c>
      <c r="Q641" s="18">
        <f t="shared" si="257"/>
        <v>11.100374038588036</v>
      </c>
      <c r="R641" s="2">
        <f t="shared" si="258"/>
        <v>0.97190787206213247</v>
      </c>
      <c r="S641" s="18">
        <f t="shared" si="259"/>
        <v>11.116572503122406</v>
      </c>
      <c r="T641" s="18">
        <f t="shared" si="260"/>
        <v>9.0106679431191079</v>
      </c>
      <c r="U641" s="1">
        <f t="shared" si="250"/>
        <v>0</v>
      </c>
      <c r="V641" s="2">
        <f t="shared" si="261"/>
        <v>2165.6200543234563</v>
      </c>
      <c r="W641" s="19">
        <f t="shared" si="262"/>
        <v>937.4978590144832</v>
      </c>
      <c r="X641" s="20"/>
      <c r="Y641" s="2">
        <f t="shared" si="263"/>
        <v>917.70888352205509</v>
      </c>
      <c r="Z641" s="21">
        <f t="shared" si="264"/>
        <v>7.2436865889766882</v>
      </c>
      <c r="AA641" s="2">
        <f t="shared" si="265"/>
        <v>730.1698701048241</v>
      </c>
      <c r="AB641" s="19">
        <f t="shared" si="268"/>
        <v>96.412666356612618</v>
      </c>
      <c r="AC641" s="2"/>
      <c r="AD641" s="18"/>
      <c r="AE641" s="118"/>
      <c r="AG641" s="2"/>
      <c r="AH641" s="19"/>
      <c r="AI641" s="20"/>
      <c r="AJ641" s="21"/>
      <c r="AK641" s="21"/>
      <c r="AM641" s="19"/>
      <c r="AN641" s="18"/>
      <c r="AO641" s="2"/>
      <c r="AP641" s="18"/>
      <c r="AQ641" s="118"/>
      <c r="AS641" s="2"/>
      <c r="AT641" s="19"/>
      <c r="AU641" s="20"/>
      <c r="AV641" s="21"/>
      <c r="AW641" s="21"/>
    </row>
    <row r="642" spans="1:49" x14ac:dyDescent="0.25">
      <c r="A642" s="1">
        <f t="shared" si="251"/>
        <v>616</v>
      </c>
      <c r="B642" s="19">
        <f t="shared" si="252"/>
        <v>607.26799298702406</v>
      </c>
      <c r="C642" s="18">
        <f t="shared" si="266"/>
        <v>9.5304897157059578</v>
      </c>
      <c r="D642" s="2">
        <f t="shared" si="245"/>
        <v>0.96358386086328385</v>
      </c>
      <c r="E642" s="18">
        <f t="shared" si="253"/>
        <v>9.5465494467203467</v>
      </c>
      <c r="F642" s="21">
        <f t="shared" si="246"/>
        <v>6.6748974289253811</v>
      </c>
      <c r="G642" s="1">
        <f t="shared" si="247"/>
        <v>0</v>
      </c>
      <c r="H642" s="2">
        <f t="shared" si="243"/>
        <v>1409.4639612289509</v>
      </c>
      <c r="I642" s="19">
        <f t="shared" si="269"/>
        <v>610.15755897357178</v>
      </c>
      <c r="J642" s="20">
        <f t="shared" si="248"/>
        <v>0.90789950320506618</v>
      </c>
      <c r="K642" s="21">
        <f t="shared" si="249"/>
        <v>590.29329521213504</v>
      </c>
      <c r="L642" s="21">
        <f t="shared" si="244"/>
        <v>5.3420837770211991</v>
      </c>
      <c r="M642" s="2">
        <f t="shared" si="254"/>
        <v>467.41105290041855</v>
      </c>
      <c r="N642" s="19">
        <f t="shared" si="267"/>
        <v>344.74735855130587</v>
      </c>
      <c r="O642" s="1">
        <f t="shared" si="255"/>
        <v>616</v>
      </c>
      <c r="P642" s="19">
        <f t="shared" si="256"/>
        <v>937.4978590144832</v>
      </c>
      <c r="Q642" s="18">
        <f t="shared" si="257"/>
        <v>11.116572503122406</v>
      </c>
      <c r="R642" s="2">
        <f t="shared" si="258"/>
        <v>0.97198892205789422</v>
      </c>
      <c r="S642" s="18">
        <f t="shared" si="259"/>
        <v>11.132772318490037</v>
      </c>
      <c r="T642" s="18">
        <f t="shared" si="260"/>
        <v>9.0365670915031782</v>
      </c>
      <c r="U642" s="1">
        <f t="shared" si="250"/>
        <v>0</v>
      </c>
      <c r="V642" s="2">
        <f t="shared" si="261"/>
        <v>2174.6566214149593</v>
      </c>
      <c r="W642" s="19">
        <f t="shared" si="262"/>
        <v>941.40979282032868</v>
      </c>
      <c r="X642" s="20"/>
      <c r="Y642" s="2">
        <f t="shared" si="263"/>
        <v>921.62171707267601</v>
      </c>
      <c r="Z642" s="21">
        <f t="shared" si="264"/>
        <v>7.2648139441579209</v>
      </c>
      <c r="AA642" s="2">
        <f t="shared" si="265"/>
        <v>733.31481120619117</v>
      </c>
      <c r="AB642" s="19">
        <f t="shared" si="268"/>
        <v>96.479279881211085</v>
      </c>
      <c r="AC642" s="2"/>
      <c r="AD642" s="18"/>
      <c r="AE642" s="118"/>
      <c r="AG642" s="2"/>
      <c r="AH642" s="19"/>
      <c r="AI642" s="20"/>
      <c r="AJ642" s="21"/>
      <c r="AK642" s="21"/>
      <c r="AM642" s="19"/>
      <c r="AN642" s="18"/>
      <c r="AO642" s="2"/>
      <c r="AP642" s="18"/>
      <c r="AQ642" s="118"/>
      <c r="AS642" s="2"/>
      <c r="AT642" s="19"/>
      <c r="AU642" s="20"/>
      <c r="AV642" s="21"/>
      <c r="AW642" s="21"/>
    </row>
    <row r="643" spans="1:49" x14ac:dyDescent="0.25">
      <c r="A643" s="1">
        <f t="shared" si="251"/>
        <v>617</v>
      </c>
      <c r="B643" s="19">
        <f t="shared" si="252"/>
        <v>610.15755897357178</v>
      </c>
      <c r="C643" s="18">
        <f t="shared" si="266"/>
        <v>9.5465494467203467</v>
      </c>
      <c r="D643" s="2">
        <f t="shared" si="245"/>
        <v>0.96367534823353573</v>
      </c>
      <c r="E643" s="18">
        <f t="shared" si="253"/>
        <v>9.5626107025242391</v>
      </c>
      <c r="F643" s="21">
        <f t="shared" si="246"/>
        <v>6.6970435508621868</v>
      </c>
      <c r="G643" s="1">
        <f t="shared" si="247"/>
        <v>0</v>
      </c>
      <c r="H643" s="2">
        <f t="shared" si="243"/>
        <v>1416.1610047798131</v>
      </c>
      <c r="I643" s="19">
        <f t="shared" si="269"/>
        <v>613.05671202589315</v>
      </c>
      <c r="J643" s="20">
        <f t="shared" si="248"/>
        <v>0.90784360778258877</v>
      </c>
      <c r="K643" s="21">
        <f t="shared" si="249"/>
        <v>593.19311506965835</v>
      </c>
      <c r="L643" s="21">
        <f t="shared" si="244"/>
        <v>5.3600740992050238</v>
      </c>
      <c r="M643" s="2">
        <f t="shared" si="254"/>
        <v>469.73143129834278</v>
      </c>
      <c r="N643" s="19">
        <f t="shared" si="267"/>
        <v>344.82492731895542</v>
      </c>
      <c r="O643" s="1">
        <f t="shared" si="255"/>
        <v>617</v>
      </c>
      <c r="P643" s="19">
        <f t="shared" si="256"/>
        <v>941.40979282032868</v>
      </c>
      <c r="Q643" s="18">
        <f t="shared" si="257"/>
        <v>11.132772318490037</v>
      </c>
      <c r="R643" s="2">
        <f t="shared" si="258"/>
        <v>0.97206987377791121</v>
      </c>
      <c r="S643" s="18">
        <f t="shared" si="259"/>
        <v>11.148973483053002</v>
      </c>
      <c r="T643" s="18">
        <f t="shared" si="260"/>
        <v>9.0625050869205026</v>
      </c>
      <c r="U643" s="1">
        <f t="shared" si="250"/>
        <v>0</v>
      </c>
      <c r="V643" s="2">
        <f t="shared" si="261"/>
        <v>2183.7191265018796</v>
      </c>
      <c r="W643" s="19">
        <f t="shared" si="262"/>
        <v>945.33295519561887</v>
      </c>
      <c r="X643" s="20"/>
      <c r="Y643" s="2">
        <f t="shared" si="263"/>
        <v>925.54578177531255</v>
      </c>
      <c r="Z643" s="21">
        <f t="shared" si="264"/>
        <v>7.2859738285489319</v>
      </c>
      <c r="AA643" s="2">
        <f t="shared" si="265"/>
        <v>736.46891243067125</v>
      </c>
      <c r="AB643" s="19">
        <f t="shared" si="268"/>
        <v>96.545796473368227</v>
      </c>
      <c r="AC643" s="2"/>
      <c r="AD643" s="18"/>
      <c r="AE643" s="118"/>
      <c r="AG643" s="2"/>
      <c r="AH643" s="19"/>
      <c r="AI643" s="20"/>
      <c r="AJ643" s="21"/>
      <c r="AK643" s="21"/>
      <c r="AM643" s="19"/>
      <c r="AN643" s="18"/>
      <c r="AO643" s="2"/>
      <c r="AP643" s="18"/>
      <c r="AQ643" s="118"/>
      <c r="AS643" s="2"/>
      <c r="AT643" s="19"/>
      <c r="AU643" s="20"/>
      <c r="AV643" s="21"/>
      <c r="AW643" s="21"/>
    </row>
    <row r="644" spans="1:49" x14ac:dyDescent="0.25">
      <c r="A644" s="1">
        <f t="shared" si="251"/>
        <v>618</v>
      </c>
      <c r="B644" s="19">
        <f t="shared" si="252"/>
        <v>613.05671202589315</v>
      </c>
      <c r="C644" s="18">
        <f t="shared" si="266"/>
        <v>9.5626107025242391</v>
      </c>
      <c r="D644" s="2">
        <f t="shared" si="245"/>
        <v>0.96376671341996034</v>
      </c>
      <c r="E644" s="18">
        <f t="shared" si="253"/>
        <v>9.5786734810812391</v>
      </c>
      <c r="F644" s="21">
        <f t="shared" si="246"/>
        <v>6.7192279705932512</v>
      </c>
      <c r="G644" s="1">
        <f t="shared" si="247"/>
        <v>0</v>
      </c>
      <c r="H644" s="2">
        <f t="shared" si="243"/>
        <v>1422.8802327504065</v>
      </c>
      <c r="I644" s="19">
        <f t="shared" si="269"/>
        <v>615.96546872311967</v>
      </c>
      <c r="J644" s="20">
        <f t="shared" si="248"/>
        <v>0.90778775549393353</v>
      </c>
      <c r="K644" s="21">
        <f t="shared" si="249"/>
        <v>596.10254078092521</v>
      </c>
      <c r="L644" s="21">
        <f t="shared" si="244"/>
        <v>5.3780963730801199</v>
      </c>
      <c r="M644" s="2">
        <f t="shared" si="254"/>
        <v>472.05961154642944</v>
      </c>
      <c r="N644" s="19">
        <f t="shared" si="267"/>
        <v>344.90236580295561</v>
      </c>
      <c r="O644" s="1">
        <f t="shared" si="255"/>
        <v>618</v>
      </c>
      <c r="P644" s="19">
        <f t="shared" si="256"/>
        <v>945.33295519561887</v>
      </c>
      <c r="Q644" s="18">
        <f t="shared" si="257"/>
        <v>11.148973483053002</v>
      </c>
      <c r="R644" s="2">
        <f t="shared" si="258"/>
        <v>0.97215072745134856</v>
      </c>
      <c r="S644" s="18">
        <f t="shared" si="259"/>
        <v>11.165175995177192</v>
      </c>
      <c r="T644" s="18">
        <f t="shared" si="260"/>
        <v>9.088481934641802</v>
      </c>
      <c r="U644" s="1">
        <f t="shared" si="250"/>
        <v>0</v>
      </c>
      <c r="V644" s="2">
        <f t="shared" si="261"/>
        <v>2192.8076084365216</v>
      </c>
      <c r="W644" s="19">
        <f t="shared" si="262"/>
        <v>949.2673629595331</v>
      </c>
      <c r="X644" s="20"/>
      <c r="Y644" s="2">
        <f t="shared" si="263"/>
        <v>929.48109445301247</v>
      </c>
      <c r="Z644" s="21">
        <f t="shared" si="264"/>
        <v>7.3071662476983876</v>
      </c>
      <c r="AA644" s="2">
        <f t="shared" si="265"/>
        <v>739.63218786257528</v>
      </c>
      <c r="AB644" s="19">
        <f t="shared" si="268"/>
        <v>96.612216406738142</v>
      </c>
      <c r="AC644" s="2"/>
      <c r="AD644" s="18"/>
      <c r="AE644" s="118"/>
      <c r="AG644" s="2"/>
      <c r="AH644" s="19"/>
      <c r="AI644" s="20"/>
      <c r="AJ644" s="21"/>
      <c r="AK644" s="21"/>
      <c r="AM644" s="19"/>
      <c r="AN644" s="18"/>
      <c r="AO644" s="2"/>
      <c r="AP644" s="18"/>
      <c r="AQ644" s="118"/>
      <c r="AS644" s="2"/>
      <c r="AT644" s="19"/>
      <c r="AU644" s="20"/>
      <c r="AV644" s="21"/>
      <c r="AW644" s="21"/>
    </row>
    <row r="645" spans="1:49" x14ac:dyDescent="0.25">
      <c r="A645" s="1">
        <f t="shared" si="251"/>
        <v>619</v>
      </c>
      <c r="B645" s="19">
        <f t="shared" si="252"/>
        <v>615.96546872311967</v>
      </c>
      <c r="C645" s="18">
        <f t="shared" si="266"/>
        <v>9.5786734810812391</v>
      </c>
      <c r="D645" s="2">
        <f t="shared" si="245"/>
        <v>0.9638579567143718</v>
      </c>
      <c r="E645" s="18">
        <f t="shared" si="253"/>
        <v>9.5947377803598126</v>
      </c>
      <c r="F645" s="21">
        <f t="shared" si="246"/>
        <v>6.7414506941226264</v>
      </c>
      <c r="G645" s="1">
        <f t="shared" si="247"/>
        <v>0</v>
      </c>
      <c r="H645" s="2">
        <f t="shared" si="243"/>
        <v>1429.6216834445293</v>
      </c>
      <c r="I645" s="19">
        <f t="shared" si="269"/>
        <v>618.88384564698231</v>
      </c>
      <c r="J645" s="20">
        <f t="shared" si="248"/>
        <v>0.90773194634125676</v>
      </c>
      <c r="K645" s="21">
        <f t="shared" si="249"/>
        <v>599.02158893148032</v>
      </c>
      <c r="L645" s="21">
        <f t="shared" si="244"/>
        <v>5.3961506049637817</v>
      </c>
      <c r="M645" s="2">
        <f t="shared" si="254"/>
        <v>474.39560747931421</v>
      </c>
      <c r="N645" s="19">
        <f t="shared" si="267"/>
        <v>344.97967442792856</v>
      </c>
      <c r="O645" s="1">
        <f t="shared" si="255"/>
        <v>619</v>
      </c>
      <c r="P645" s="19">
        <f t="shared" si="256"/>
        <v>949.2673629595331</v>
      </c>
      <c r="Q645" s="18">
        <f t="shared" si="257"/>
        <v>11.165175995177192</v>
      </c>
      <c r="R645" s="2">
        <f t="shared" si="258"/>
        <v>0.97223148330666076</v>
      </c>
      <c r="S645" s="18">
        <f t="shared" si="259"/>
        <v>11.181379853232302</v>
      </c>
      <c r="T645" s="18">
        <f t="shared" si="260"/>
        <v>9.114497639931372</v>
      </c>
      <c r="U645" s="1">
        <f t="shared" si="250"/>
        <v>0</v>
      </c>
      <c r="V645" s="2">
        <f t="shared" si="261"/>
        <v>2201.922106076453</v>
      </c>
      <c r="W645" s="19">
        <f t="shared" si="262"/>
        <v>953.21303293352946</v>
      </c>
      <c r="X645" s="20"/>
      <c r="Y645" s="2">
        <f t="shared" si="263"/>
        <v>933.42767193110274</v>
      </c>
      <c r="Z645" s="21">
        <f t="shared" si="264"/>
        <v>7.3283912071481776</v>
      </c>
      <c r="AA645" s="2">
        <f t="shared" si="265"/>
        <v>742.80465158861341</v>
      </c>
      <c r="AB645" s="19">
        <f t="shared" si="268"/>
        <v>96.67853995382842</v>
      </c>
      <c r="AC645" s="2"/>
      <c r="AD645" s="18"/>
      <c r="AE645" s="118"/>
      <c r="AG645" s="2"/>
      <c r="AH645" s="19"/>
      <c r="AI645" s="20"/>
      <c r="AJ645" s="21"/>
      <c r="AK645" s="21"/>
      <c r="AM645" s="19"/>
      <c r="AN645" s="18"/>
      <c r="AO645" s="2"/>
      <c r="AP645" s="18"/>
      <c r="AQ645" s="118"/>
      <c r="AS645" s="2"/>
      <c r="AT645" s="19"/>
      <c r="AU645" s="20"/>
      <c r="AV645" s="21"/>
      <c r="AW645" s="21"/>
    </row>
    <row r="646" spans="1:49" x14ac:dyDescent="0.25">
      <c r="A646" s="1">
        <f t="shared" si="251"/>
        <v>620</v>
      </c>
      <c r="B646" s="19">
        <f t="shared" si="252"/>
        <v>618.88384564698231</v>
      </c>
      <c r="C646" s="18">
        <f t="shared" si="266"/>
        <v>9.5947377803598126</v>
      </c>
      <c r="D646" s="2">
        <f t="shared" si="245"/>
        <v>0.96394907840784416</v>
      </c>
      <c r="E646" s="18">
        <f t="shared" si="253"/>
        <v>9.6108035983332769</v>
      </c>
      <c r="F646" s="21">
        <f t="shared" si="246"/>
        <v>6.763711727445755</v>
      </c>
      <c r="G646" s="1">
        <f t="shared" si="247"/>
        <v>0</v>
      </c>
      <c r="H646" s="2">
        <f t="shared" si="243"/>
        <v>1436.385395171975</v>
      </c>
      <c r="I646" s="19">
        <f t="shared" si="269"/>
        <v>621.81185938180738</v>
      </c>
      <c r="J646" s="20">
        <f t="shared" si="248"/>
        <v>0.90767618032615371</v>
      </c>
      <c r="K646" s="21">
        <f t="shared" si="249"/>
        <v>601.95027610946431</v>
      </c>
      <c r="L646" s="21">
        <f t="shared" si="244"/>
        <v>5.4142368011642743</v>
      </c>
      <c r="M646" s="2">
        <f t="shared" si="254"/>
        <v>476.73943293436366</v>
      </c>
      <c r="N646" s="19">
        <f t="shared" si="267"/>
        <v>345.05685361644197</v>
      </c>
      <c r="O646" s="1">
        <f t="shared" si="255"/>
        <v>620</v>
      </c>
      <c r="P646" s="19">
        <f t="shared" si="256"/>
        <v>953.21303293352946</v>
      </c>
      <c r="Q646" s="18">
        <f t="shared" si="257"/>
        <v>11.181379853232302</v>
      </c>
      <c r="R646" s="2">
        <f t="shared" si="258"/>
        <v>0.97231214157159385</v>
      </c>
      <c r="S646" s="18">
        <f t="shared" si="259"/>
        <v>11.197585055591828</v>
      </c>
      <c r="T646" s="18">
        <f t="shared" si="260"/>
        <v>9.1405522080470796</v>
      </c>
      <c r="U646" s="1">
        <f t="shared" si="250"/>
        <v>0</v>
      </c>
      <c r="V646" s="2">
        <f t="shared" si="261"/>
        <v>2211.0626582845002</v>
      </c>
      <c r="W646" s="19">
        <f t="shared" si="262"/>
        <v>957.16998194134203</v>
      </c>
      <c r="X646" s="20"/>
      <c r="Y646" s="2">
        <f t="shared" si="263"/>
        <v>937.38553103718709</v>
      </c>
      <c r="Z646" s="21">
        <f t="shared" si="264"/>
        <v>7.3496487124334076</v>
      </c>
      <c r="AA646" s="2">
        <f t="shared" si="265"/>
        <v>745.98631769789199</v>
      </c>
      <c r="AB646" s="19">
        <f t="shared" si="268"/>
        <v>96.744767386006515</v>
      </c>
      <c r="AC646" s="2"/>
      <c r="AD646" s="18"/>
      <c r="AE646" s="118"/>
      <c r="AG646" s="2"/>
      <c r="AH646" s="19"/>
      <c r="AI646" s="20"/>
      <c r="AJ646" s="21"/>
      <c r="AK646" s="21"/>
      <c r="AM646" s="19"/>
      <c r="AN646" s="18"/>
      <c r="AO646" s="2"/>
      <c r="AP646" s="18"/>
      <c r="AQ646" s="118"/>
      <c r="AS646" s="2"/>
      <c r="AT646" s="19"/>
      <c r="AU646" s="20"/>
      <c r="AV646" s="21"/>
      <c r="AW646" s="21"/>
    </row>
    <row r="647" spans="1:49" x14ac:dyDescent="0.25">
      <c r="A647" s="1">
        <f t="shared" si="251"/>
        <v>621</v>
      </c>
      <c r="B647" s="19">
        <f t="shared" si="252"/>
        <v>621.81185938180738</v>
      </c>
      <c r="C647" s="18">
        <f t="shared" si="266"/>
        <v>9.6108035983332769</v>
      </c>
      <c r="D647" s="2">
        <f t="shared" si="245"/>
        <v>0.96404007879071152</v>
      </c>
      <c r="E647" s="18">
        <f t="shared" si="253"/>
        <v>9.6268709329797879</v>
      </c>
      <c r="F647" s="21">
        <f t="shared" si="246"/>
        <v>6.7860110765495074</v>
      </c>
      <c r="G647" s="1">
        <f t="shared" si="247"/>
        <v>0</v>
      </c>
      <c r="H647" s="2">
        <f t="shared" si="243"/>
        <v>1443.1714062485246</v>
      </c>
      <c r="I647" s="19">
        <f t="shared" si="269"/>
        <v>624.74952651451281</v>
      </c>
      <c r="J647" s="20">
        <f t="shared" si="248"/>
        <v>0.90762045744966524</v>
      </c>
      <c r="K647" s="21">
        <f t="shared" si="249"/>
        <v>604.8886189056102</v>
      </c>
      <c r="L647" s="21">
        <f t="shared" si="244"/>
        <v>5.4323549679808787</v>
      </c>
      <c r="M647" s="2">
        <f t="shared" si="254"/>
        <v>479.09110175167143</v>
      </c>
      <c r="N647" s="19">
        <f t="shared" si="267"/>
        <v>345.13390378902233</v>
      </c>
      <c r="O647" s="1">
        <f t="shared" si="255"/>
        <v>621</v>
      </c>
      <c r="P647" s="19">
        <f t="shared" si="256"/>
        <v>957.16998194134203</v>
      </c>
      <c r="Q647" s="18">
        <f t="shared" si="257"/>
        <v>11.197585055591828</v>
      </c>
      <c r="R647" s="2">
        <f t="shared" si="258"/>
        <v>0.97239270247318699</v>
      </c>
      <c r="S647" s="18">
        <f t="shared" si="259"/>
        <v>11.213791600633048</v>
      </c>
      <c r="T647" s="18">
        <f t="shared" si="260"/>
        <v>9.166645644240397</v>
      </c>
      <c r="U647" s="1">
        <f t="shared" si="250"/>
        <v>0</v>
      </c>
      <c r="V647" s="2">
        <f t="shared" si="261"/>
        <v>2220.2293039287406</v>
      </c>
      <c r="W647" s="19">
        <f t="shared" si="262"/>
        <v>961.13822680897863</v>
      </c>
      <c r="X647" s="20"/>
      <c r="Y647" s="2">
        <f t="shared" si="263"/>
        <v>941.35468860114315</v>
      </c>
      <c r="Z647" s="21">
        <f t="shared" si="264"/>
        <v>7.3709387690824517</v>
      </c>
      <c r="AA647" s="2">
        <f t="shared" si="265"/>
        <v>749.17720028191036</v>
      </c>
      <c r="AB647" s="19">
        <f t="shared" si="268"/>
        <v>96.810898973506056</v>
      </c>
      <c r="AC647" s="2"/>
      <c r="AD647" s="18"/>
      <c r="AE647" s="118"/>
      <c r="AG647" s="2"/>
      <c r="AH647" s="19"/>
      <c r="AI647" s="20"/>
      <c r="AJ647" s="21"/>
      <c r="AK647" s="21"/>
      <c r="AM647" s="19"/>
      <c r="AN647" s="18"/>
      <c r="AO647" s="2"/>
      <c r="AP647" s="18"/>
      <c r="AQ647" s="118"/>
      <c r="AS647" s="2"/>
      <c r="AT647" s="19"/>
      <c r="AU647" s="20"/>
      <c r="AV647" s="21"/>
      <c r="AW647" s="21"/>
    </row>
    <row r="648" spans="1:49" x14ac:dyDescent="0.25">
      <c r="A648" s="1">
        <f t="shared" si="251"/>
        <v>622</v>
      </c>
      <c r="B648" s="19">
        <f t="shared" si="252"/>
        <v>624.74952651451281</v>
      </c>
      <c r="C648" s="18">
        <f t="shared" si="266"/>
        <v>9.6268709329797879</v>
      </c>
      <c r="D648" s="2">
        <f t="shared" si="245"/>
        <v>0.96413095815256677</v>
      </c>
      <c r="E648" s="18">
        <f t="shared" si="253"/>
        <v>9.6429397822823315</v>
      </c>
      <c r="F648" s="21">
        <f t="shared" si="246"/>
        <v>6.808348747412194</v>
      </c>
      <c r="G648" s="1">
        <f t="shared" si="247"/>
        <v>0</v>
      </c>
      <c r="H648" s="2">
        <f t="shared" si="243"/>
        <v>1449.9797549959367</v>
      </c>
      <c r="I648" s="19">
        <f t="shared" si="269"/>
        <v>627.6968636346046</v>
      </c>
      <c r="J648" s="20">
        <f t="shared" si="248"/>
        <v>0.90756477771228361</v>
      </c>
      <c r="K648" s="21">
        <f t="shared" si="249"/>
        <v>607.83663391323967</v>
      </c>
      <c r="L648" s="21">
        <f t="shared" si="244"/>
        <v>5.4505051117038992</v>
      </c>
      <c r="M648" s="2">
        <f t="shared" si="254"/>
        <v>481.45062777405406</v>
      </c>
      <c r="N648" s="19">
        <f t="shared" si="267"/>
        <v>345.21082536416782</v>
      </c>
      <c r="O648" s="1">
        <f t="shared" si="255"/>
        <v>622</v>
      </c>
      <c r="P648" s="19">
        <f t="shared" si="256"/>
        <v>961.13822680897863</v>
      </c>
      <c r="Q648" s="18">
        <f t="shared" si="257"/>
        <v>11.213791600633048</v>
      </c>
      <c r="R648" s="2">
        <f t="shared" si="258"/>
        <v>0.97247316623777547</v>
      </c>
      <c r="S648" s="18">
        <f t="shared" si="259"/>
        <v>11.229999486737011</v>
      </c>
      <c r="T648" s="18">
        <f t="shared" si="260"/>
        <v>9.1927779537564156</v>
      </c>
      <c r="U648" s="1">
        <f t="shared" si="250"/>
        <v>0</v>
      </c>
      <c r="V648" s="2">
        <f t="shared" si="261"/>
        <v>2229.422081882497</v>
      </c>
      <c r="W648" s="19">
        <f t="shared" si="262"/>
        <v>965.11778436471729</v>
      </c>
      <c r="X648" s="20"/>
      <c r="Y648" s="2">
        <f t="shared" si="263"/>
        <v>945.33516145511965</v>
      </c>
      <c r="Z648" s="21">
        <f t="shared" si="264"/>
        <v>7.3922613826169448</v>
      </c>
      <c r="AA648" s="2">
        <f t="shared" si="265"/>
        <v>752.37731343455835</v>
      </c>
      <c r="AB648" s="19">
        <f t="shared" si="268"/>
        <v>96.876934985433152</v>
      </c>
      <c r="AC648" s="2"/>
      <c r="AD648" s="18"/>
      <c r="AE648" s="118"/>
      <c r="AG648" s="2"/>
      <c r="AH648" s="19"/>
      <c r="AI648" s="20"/>
      <c r="AJ648" s="21"/>
      <c r="AK648" s="21"/>
      <c r="AM648" s="19"/>
      <c r="AN648" s="18"/>
      <c r="AO648" s="2"/>
      <c r="AP648" s="18"/>
      <c r="AQ648" s="118"/>
      <c r="AS648" s="2"/>
      <c r="AT648" s="19"/>
      <c r="AU648" s="20"/>
      <c r="AV648" s="21"/>
      <c r="AW648" s="21"/>
    </row>
    <row r="649" spans="1:49" x14ac:dyDescent="0.25">
      <c r="A649" s="1">
        <f t="shared" si="251"/>
        <v>623</v>
      </c>
      <c r="B649" s="19">
        <f t="shared" si="252"/>
        <v>627.6968636346046</v>
      </c>
      <c r="C649" s="18">
        <f t="shared" si="266"/>
        <v>9.6429397822823315</v>
      </c>
      <c r="D649" s="2">
        <f t="shared" si="245"/>
        <v>0.9642217167822611</v>
      </c>
      <c r="E649" s="18">
        <f t="shared" si="253"/>
        <v>9.6590101442287022</v>
      </c>
      <c r="F649" s="21">
        <f t="shared" si="246"/>
        <v>6.8307247460035994</v>
      </c>
      <c r="G649" s="1">
        <f t="shared" si="247"/>
        <v>0</v>
      </c>
      <c r="H649" s="2">
        <f t="shared" si="243"/>
        <v>1456.8104797419403</v>
      </c>
      <c r="I649" s="19">
        <f t="shared" si="269"/>
        <v>630.65388733417331</v>
      </c>
      <c r="J649" s="20">
        <f t="shared" si="248"/>
        <v>0.90750914111395853</v>
      </c>
      <c r="K649" s="21">
        <f t="shared" si="249"/>
        <v>610.79433772825928</v>
      </c>
      <c r="L649" s="21">
        <f t="shared" si="244"/>
        <v>5.4686872386147032</v>
      </c>
      <c r="M649" s="2">
        <f t="shared" si="254"/>
        <v>483.81802484704741</v>
      </c>
      <c r="N649" s="19">
        <f t="shared" si="267"/>
        <v>345.28761875836159</v>
      </c>
      <c r="O649" s="1">
        <f t="shared" si="255"/>
        <v>623</v>
      </c>
      <c r="P649" s="19">
        <f t="shared" si="256"/>
        <v>965.11778436471729</v>
      </c>
      <c r="Q649" s="18">
        <f t="shared" si="257"/>
        <v>11.229999486737011</v>
      </c>
      <c r="R649" s="2">
        <f t="shared" si="258"/>
        <v>0.97255353309099235</v>
      </c>
      <c r="S649" s="18">
        <f t="shared" si="259"/>
        <v>11.246208712288528</v>
      </c>
      <c r="T649" s="18">
        <f t="shared" si="260"/>
        <v>9.2189491418338516</v>
      </c>
      <c r="U649" s="1">
        <f t="shared" si="250"/>
        <v>0</v>
      </c>
      <c r="V649" s="2">
        <f t="shared" si="261"/>
        <v>2238.6410310243309</v>
      </c>
      <c r="W649" s="19">
        <f t="shared" si="262"/>
        <v>969.10867143910423</v>
      </c>
      <c r="X649" s="20"/>
      <c r="Y649" s="2">
        <f t="shared" si="263"/>
        <v>949.3269664335337</v>
      </c>
      <c r="Z649" s="21">
        <f t="shared" si="264"/>
        <v>7.4136165585518059</v>
      </c>
      <c r="AA649" s="2">
        <f t="shared" si="265"/>
        <v>755.58667125211321</v>
      </c>
      <c r="AB649" s="19">
        <f t="shared" si="268"/>
        <v>96.942875689772634</v>
      </c>
      <c r="AC649" s="2"/>
      <c r="AD649" s="18"/>
      <c r="AE649" s="118"/>
      <c r="AG649" s="2"/>
      <c r="AH649" s="19"/>
      <c r="AI649" s="20"/>
      <c r="AJ649" s="21"/>
      <c r="AK649" s="21"/>
      <c r="AM649" s="19"/>
      <c r="AN649" s="18"/>
      <c r="AO649" s="2"/>
      <c r="AP649" s="18"/>
      <c r="AQ649" s="118"/>
      <c r="AS649" s="2"/>
      <c r="AT649" s="19"/>
      <c r="AU649" s="20"/>
      <c r="AV649" s="21"/>
      <c r="AW649" s="21"/>
    </row>
    <row r="650" spans="1:49" x14ac:dyDescent="0.25">
      <c r="A650" s="1">
        <f t="shared" si="251"/>
        <v>624</v>
      </c>
      <c r="B650" s="19">
        <f t="shared" si="252"/>
        <v>630.65388733417331</v>
      </c>
      <c r="C650" s="18">
        <f t="shared" si="266"/>
        <v>9.6590101442287022</v>
      </c>
      <c r="D650" s="2">
        <f t="shared" si="245"/>
        <v>0.96431235496790324</v>
      </c>
      <c r="E650" s="18">
        <f t="shared" si="253"/>
        <v>9.6750820168115013</v>
      </c>
      <c r="F650" s="21">
        <f t="shared" si="246"/>
        <v>6.853139078285011</v>
      </c>
      <c r="G650" s="1">
        <f t="shared" si="247"/>
        <v>0</v>
      </c>
      <c r="H650" s="2">
        <f t="shared" si="243"/>
        <v>1463.6636188202253</v>
      </c>
      <c r="I650" s="19">
        <f t="shared" si="269"/>
        <v>633.62061420788973</v>
      </c>
      <c r="J650" s="20">
        <f t="shared" si="248"/>
        <v>0.90745354765410202</v>
      </c>
      <c r="K650" s="21">
        <f t="shared" si="249"/>
        <v>613.76174694915665</v>
      </c>
      <c r="L650" s="21">
        <f t="shared" si="244"/>
        <v>5.4869013549857488</v>
      </c>
      <c r="M650" s="2">
        <f t="shared" si="254"/>
        <v>486.19330681890273</v>
      </c>
      <c r="N650" s="19">
        <f t="shared" si="267"/>
        <v>345.36428438608431</v>
      </c>
      <c r="O650" s="1">
        <f t="shared" si="255"/>
        <v>624</v>
      </c>
      <c r="P650" s="19">
        <f t="shared" si="256"/>
        <v>969.10867143910423</v>
      </c>
      <c r="Q650" s="18">
        <f t="shared" si="257"/>
        <v>11.246208712288528</v>
      </c>
      <c r="R650" s="2">
        <f t="shared" si="258"/>
        <v>0.97263380325777127</v>
      </c>
      <c r="S650" s="18">
        <f t="shared" si="259"/>
        <v>11.262419275676157</v>
      </c>
      <c r="T650" s="18">
        <f t="shared" si="260"/>
        <v>9.2451592137050742</v>
      </c>
      <c r="U650" s="1">
        <f t="shared" si="250"/>
        <v>0</v>
      </c>
      <c r="V650" s="2">
        <f t="shared" si="261"/>
        <v>2247.8861902380359</v>
      </c>
      <c r="W650" s="19">
        <f t="shared" si="262"/>
        <v>973.11090486495061</v>
      </c>
      <c r="X650" s="20"/>
      <c r="Y650" s="2">
        <f t="shared" si="263"/>
        <v>953.33012037306798</v>
      </c>
      <c r="Z650" s="21">
        <f t="shared" si="264"/>
        <v>7.4350043023952583</v>
      </c>
      <c r="AA650" s="2">
        <f t="shared" si="265"/>
        <v>758.80528783323666</v>
      </c>
      <c r="AB650" s="19">
        <f t="shared" si="268"/>
        <v>97.008721353394208</v>
      </c>
      <c r="AC650" s="2"/>
      <c r="AD650" s="18"/>
      <c r="AE650" s="118"/>
      <c r="AG650" s="2"/>
      <c r="AH650" s="19"/>
      <c r="AI650" s="20"/>
      <c r="AJ650" s="21"/>
      <c r="AK650" s="21"/>
      <c r="AM650" s="19"/>
      <c r="AN650" s="18"/>
      <c r="AO650" s="2"/>
      <c r="AP650" s="18"/>
      <c r="AQ650" s="118"/>
      <c r="AS650" s="2"/>
      <c r="AT650" s="19"/>
      <c r="AU650" s="20"/>
      <c r="AV650" s="21"/>
      <c r="AW650" s="21"/>
    </row>
    <row r="651" spans="1:49" x14ac:dyDescent="0.25">
      <c r="A651" s="1">
        <f t="shared" si="251"/>
        <v>625</v>
      </c>
      <c r="B651" s="19">
        <f t="shared" si="252"/>
        <v>633.62061420788973</v>
      </c>
      <c r="C651" s="18">
        <f t="shared" si="266"/>
        <v>9.6750820168115013</v>
      </c>
      <c r="D651" s="2">
        <f t="shared" si="245"/>
        <v>0.96440287299685978</v>
      </c>
      <c r="E651" s="18">
        <f t="shared" si="253"/>
        <v>9.6911553980281155</v>
      </c>
      <c r="F651" s="21">
        <f t="shared" si="246"/>
        <v>6.8755917502092423</v>
      </c>
      <c r="G651" s="1">
        <f t="shared" si="247"/>
        <v>0</v>
      </c>
      <c r="H651" s="2">
        <f t="shared" si="243"/>
        <v>1470.5392105704345</v>
      </c>
      <c r="I651" s="19">
        <f t="shared" si="269"/>
        <v>636.59706085300195</v>
      </c>
      <c r="J651" s="20">
        <f t="shared" si="248"/>
        <v>0.90739799733159632</v>
      </c>
      <c r="K651" s="21">
        <f t="shared" si="249"/>
        <v>616.73887817699722</v>
      </c>
      <c r="L651" s="21">
        <f t="shared" si="244"/>
        <v>5.5051474670806044</v>
      </c>
      <c r="M651" s="2">
        <f t="shared" si="254"/>
        <v>488.57648754058266</v>
      </c>
      <c r="N651" s="19">
        <f t="shared" si="267"/>
        <v>345.44082265982718</v>
      </c>
      <c r="O651" s="1">
        <f t="shared" si="255"/>
        <v>625</v>
      </c>
      <c r="P651" s="19">
        <f t="shared" si="256"/>
        <v>973.11090486495061</v>
      </c>
      <c r="Q651" s="18">
        <f t="shared" si="257"/>
        <v>11.262419275676157</v>
      </c>
      <c r="R651" s="2">
        <f t="shared" si="258"/>
        <v>0.9727139769623474</v>
      </c>
      <c r="S651" s="18">
        <f t="shared" si="259"/>
        <v>11.278631175292196</v>
      </c>
      <c r="T651" s="18">
        <f t="shared" si="260"/>
        <v>9.2714081745961199</v>
      </c>
      <c r="U651" s="1">
        <f t="shared" si="250"/>
        <v>0</v>
      </c>
      <c r="V651" s="2">
        <f t="shared" si="261"/>
        <v>2257.1575984126321</v>
      </c>
      <c r="W651" s="19">
        <f t="shared" si="262"/>
        <v>977.12450147732989</v>
      </c>
      <c r="X651" s="20"/>
      <c r="Y651" s="2">
        <f t="shared" si="263"/>
        <v>957.34464011266812</v>
      </c>
      <c r="Z651" s="21">
        <f t="shared" si="264"/>
        <v>7.4564246196488524</v>
      </c>
      <c r="AA651" s="2">
        <f t="shared" si="265"/>
        <v>762.03317727897206</v>
      </c>
      <c r="AB651" s="19">
        <f t="shared" si="268"/>
        <v>97.074472242058661</v>
      </c>
      <c r="AC651" s="2"/>
      <c r="AD651" s="18"/>
      <c r="AE651" s="118"/>
      <c r="AG651" s="2"/>
      <c r="AH651" s="19"/>
      <c r="AI651" s="20"/>
      <c r="AJ651" s="21"/>
      <c r="AK651" s="21"/>
      <c r="AM651" s="19"/>
      <c r="AN651" s="18"/>
      <c r="AO651" s="2"/>
      <c r="AP651" s="18"/>
      <c r="AQ651" s="118"/>
      <c r="AS651" s="2"/>
      <c r="AT651" s="19"/>
      <c r="AU651" s="20"/>
      <c r="AV651" s="21"/>
      <c r="AW651" s="21"/>
    </row>
    <row r="652" spans="1:49" x14ac:dyDescent="0.25">
      <c r="A652" s="1">
        <f t="shared" si="251"/>
        <v>626</v>
      </c>
      <c r="B652" s="19">
        <f t="shared" si="252"/>
        <v>636.59706085300195</v>
      </c>
      <c r="C652" s="18">
        <f t="shared" si="266"/>
        <v>9.6911553980281155</v>
      </c>
      <c r="D652" s="2">
        <f t="shared" si="245"/>
        <v>0.96449327115575367</v>
      </c>
      <c r="E652" s="18">
        <f t="shared" si="253"/>
        <v>9.707230285880712</v>
      </c>
      <c r="F652" s="21">
        <f t="shared" si="246"/>
        <v>6.8980827677206591</v>
      </c>
      <c r="G652" s="1">
        <f t="shared" si="247"/>
        <v>0</v>
      </c>
      <c r="H652" s="2">
        <f t="shared" si="243"/>
        <v>1477.4372933381551</v>
      </c>
      <c r="I652" s="19">
        <f t="shared" si="269"/>
        <v>639.58324386933123</v>
      </c>
      <c r="J652" s="20">
        <f t="shared" si="248"/>
        <v>0.90734249014479773</v>
      </c>
      <c r="K652" s="21">
        <f t="shared" si="249"/>
        <v>619.72574801542021</v>
      </c>
      <c r="L652" s="21">
        <f t="shared" si="244"/>
        <v>5.5234255811539894</v>
      </c>
      <c r="M652" s="2">
        <f t="shared" si="254"/>
        <v>490.96758086575755</v>
      </c>
      <c r="N652" s="19">
        <f t="shared" si="267"/>
        <v>345.5172339901045</v>
      </c>
      <c r="O652" s="1">
        <f t="shared" si="255"/>
        <v>626</v>
      </c>
      <c r="P652" s="19">
        <f t="shared" si="256"/>
        <v>977.12450147732989</v>
      </c>
      <c r="Q652" s="18">
        <f t="shared" si="257"/>
        <v>11.278631175292196</v>
      </c>
      <c r="R652" s="2">
        <f t="shared" si="258"/>
        <v>0.97279405442826117</v>
      </c>
      <c r="S652" s="18">
        <f t="shared" si="259"/>
        <v>11.294844409532667</v>
      </c>
      <c r="T652" s="18">
        <f t="shared" si="260"/>
        <v>9.2976960297267102</v>
      </c>
      <c r="U652" s="1">
        <f t="shared" si="250"/>
        <v>0</v>
      </c>
      <c r="V652" s="2">
        <f t="shared" si="261"/>
        <v>2266.455294442359</v>
      </c>
      <c r="W652" s="19">
        <f t="shared" si="262"/>
        <v>981.14947811357524</v>
      </c>
      <c r="X652" s="20"/>
      <c r="Y652" s="2">
        <f t="shared" si="263"/>
        <v>961.3705424935398</v>
      </c>
      <c r="Z652" s="21">
        <f t="shared" si="264"/>
        <v>7.4778775158074762</v>
      </c>
      <c r="AA652" s="2">
        <f t="shared" si="265"/>
        <v>765.27035369274154</v>
      </c>
      <c r="AB652" s="19">
        <f t="shared" si="268"/>
        <v>97.140128620423937</v>
      </c>
      <c r="AC652" s="2"/>
      <c r="AD652" s="18"/>
      <c r="AE652" s="118"/>
      <c r="AG652" s="2"/>
      <c r="AH652" s="19"/>
      <c r="AI652" s="20"/>
      <c r="AJ652" s="21"/>
      <c r="AK652" s="21"/>
      <c r="AM652" s="19"/>
      <c r="AN652" s="18"/>
      <c r="AO652" s="2"/>
      <c r="AP652" s="18"/>
      <c r="AQ652" s="118"/>
      <c r="AS652" s="2"/>
      <c r="AT652" s="19"/>
      <c r="AU652" s="20"/>
      <c r="AV652" s="21"/>
      <c r="AW652" s="21"/>
    </row>
    <row r="653" spans="1:49" x14ac:dyDescent="0.25">
      <c r="A653" s="1">
        <f t="shared" si="251"/>
        <v>627</v>
      </c>
      <c r="B653" s="19">
        <f t="shared" si="252"/>
        <v>639.58324386933123</v>
      </c>
      <c r="C653" s="18">
        <f t="shared" si="266"/>
        <v>9.707230285880712</v>
      </c>
      <c r="D653" s="2">
        <f t="shared" si="245"/>
        <v>0.96458354973046434</v>
      </c>
      <c r="E653" s="18">
        <f t="shared" si="253"/>
        <v>9.7233066783762201</v>
      </c>
      <c r="F653" s="21">
        <f t="shared" si="246"/>
        <v>6.92061213675521</v>
      </c>
      <c r="G653" s="1">
        <f t="shared" si="247"/>
        <v>0</v>
      </c>
      <c r="H653" s="2">
        <f t="shared" si="243"/>
        <v>1484.3579054749102</v>
      </c>
      <c r="I653" s="19">
        <f t="shared" si="269"/>
        <v>642.57917985926849</v>
      </c>
      <c r="J653" s="20">
        <f t="shared" si="248"/>
        <v>0.9072870260915431</v>
      </c>
      <c r="K653" s="21">
        <f t="shared" si="249"/>
        <v>622.72237307063517</v>
      </c>
      <c r="L653" s="21">
        <f t="shared" si="244"/>
        <v>5.5417357034517849</v>
      </c>
      <c r="M653" s="2">
        <f t="shared" si="254"/>
        <v>493.36660065080162</v>
      </c>
      <c r="N653" s="19">
        <f t="shared" si="267"/>
        <v>345.59351878546619</v>
      </c>
      <c r="O653" s="1">
        <f t="shared" si="255"/>
        <v>627</v>
      </c>
      <c r="P653" s="19">
        <f t="shared" si="256"/>
        <v>981.14947811357524</v>
      </c>
      <c r="Q653" s="18">
        <f t="shared" si="257"/>
        <v>11.294844409532667</v>
      </c>
      <c r="R653" s="2">
        <f t="shared" si="258"/>
        <v>0.97287403587835908</v>
      </c>
      <c r="S653" s="18">
        <f t="shared" si="259"/>
        <v>11.311058976797305</v>
      </c>
      <c r="T653" s="18">
        <f t="shared" si="260"/>
        <v>9.3240227843102712</v>
      </c>
      <c r="U653" s="1">
        <f t="shared" si="250"/>
        <v>0</v>
      </c>
      <c r="V653" s="2">
        <f t="shared" si="261"/>
        <v>2275.7793172266693</v>
      </c>
      <c r="W653" s="19">
        <f t="shared" si="262"/>
        <v>985.18585161327667</v>
      </c>
      <c r="X653" s="20"/>
      <c r="Y653" s="2">
        <f t="shared" si="263"/>
        <v>965.40784435914611</v>
      </c>
      <c r="Z653" s="21">
        <f t="shared" si="264"/>
        <v>7.4993629963593706</v>
      </c>
      <c r="AA653" s="2">
        <f t="shared" si="265"/>
        <v>768.51683118034305</v>
      </c>
      <c r="AB653" s="19">
        <f t="shared" si="268"/>
        <v>97.205690752051211</v>
      </c>
      <c r="AC653" s="2"/>
      <c r="AD653" s="18"/>
      <c r="AE653" s="118"/>
      <c r="AG653" s="2"/>
      <c r="AH653" s="19"/>
      <c r="AI653" s="20"/>
      <c r="AJ653" s="21"/>
      <c r="AK653" s="21"/>
      <c r="AM653" s="19"/>
      <c r="AN653" s="18"/>
      <c r="AO653" s="2"/>
      <c r="AP653" s="18"/>
      <c r="AQ653" s="118"/>
      <c r="AS653" s="2"/>
      <c r="AT653" s="19"/>
      <c r="AU653" s="20"/>
      <c r="AV653" s="21"/>
      <c r="AW653" s="21"/>
    </row>
    <row r="654" spans="1:49" x14ac:dyDescent="0.25">
      <c r="A654" s="1">
        <f t="shared" si="251"/>
        <v>628</v>
      </c>
      <c r="B654" s="19">
        <f t="shared" si="252"/>
        <v>642.57917985926849</v>
      </c>
      <c r="C654" s="18">
        <f t="shared" si="266"/>
        <v>9.7233066783762201</v>
      </c>
      <c r="D654" s="2">
        <f t="shared" si="245"/>
        <v>0.96467370900612703</v>
      </c>
      <c r="E654" s="18">
        <f t="shared" si="253"/>
        <v>9.7393845735263227</v>
      </c>
      <c r="F654" s="21">
        <f t="shared" si="246"/>
        <v>6.9431798632404487</v>
      </c>
      <c r="G654" s="1">
        <f t="shared" si="247"/>
        <v>0</v>
      </c>
      <c r="H654" s="2">
        <f t="shared" si="243"/>
        <v>1491.3010853381506</v>
      </c>
      <c r="I654" s="19">
        <f t="shared" si="269"/>
        <v>645.58488542777081</v>
      </c>
      <c r="J654" s="20">
        <f t="shared" si="248"/>
        <v>0.90723160516915591</v>
      </c>
      <c r="K654" s="21">
        <f t="shared" si="249"/>
        <v>625.72876995141826</v>
      </c>
      <c r="L654" s="21">
        <f t="shared" si="244"/>
        <v>5.5600778402110729</v>
      </c>
      <c r="M654" s="2">
        <f t="shared" si="254"/>
        <v>495.77356075478912</v>
      </c>
      <c r="N654" s="19">
        <f t="shared" si="267"/>
        <v>345.66967745251043</v>
      </c>
      <c r="O654" s="1">
        <f t="shared" si="255"/>
        <v>628</v>
      </c>
      <c r="P654" s="19">
        <f t="shared" si="256"/>
        <v>985.18585161327667</v>
      </c>
      <c r="Q654" s="18">
        <f t="shared" si="257"/>
        <v>11.311058976797305</v>
      </c>
      <c r="R654" s="2">
        <f t="shared" si="258"/>
        <v>0.97295392153479676</v>
      </c>
      <c r="S654" s="18">
        <f t="shared" si="259"/>
        <v>11.327274875489552</v>
      </c>
      <c r="T654" s="18">
        <f t="shared" si="260"/>
        <v>9.3503884435539426</v>
      </c>
      <c r="U654" s="1">
        <f t="shared" si="250"/>
        <v>0</v>
      </c>
      <c r="V654" s="2">
        <f t="shared" si="261"/>
        <v>2285.1297056702233</v>
      </c>
      <c r="W654" s="19">
        <f t="shared" si="262"/>
        <v>989.23363881827845</v>
      </c>
      <c r="X654" s="20"/>
      <c r="Y654" s="2">
        <f t="shared" si="263"/>
        <v>969.45656255520498</v>
      </c>
      <c r="Z654" s="21">
        <f t="shared" si="264"/>
        <v>7.520881066786159</v>
      </c>
      <c r="AA654" s="2">
        <f t="shared" si="265"/>
        <v>771.77262384994742</v>
      </c>
      <c r="AB654" s="19">
        <f t="shared" si="268"/>
        <v>97.271158899410921</v>
      </c>
      <c r="AC654" s="2"/>
      <c r="AD654" s="18"/>
      <c r="AE654" s="118"/>
      <c r="AG654" s="2"/>
      <c r="AH654" s="19"/>
      <c r="AI654" s="20"/>
      <c r="AJ654" s="21"/>
      <c r="AK654" s="21"/>
      <c r="AM654" s="19"/>
      <c r="AN654" s="18"/>
      <c r="AO654" s="2"/>
      <c r="AP654" s="18"/>
      <c r="AQ654" s="118"/>
      <c r="AS654" s="2"/>
      <c r="AT654" s="19"/>
      <c r="AU654" s="20"/>
      <c r="AV654" s="21"/>
      <c r="AW654" s="21"/>
    </row>
    <row r="655" spans="1:49" x14ac:dyDescent="0.25">
      <c r="A655" s="1">
        <f t="shared" si="251"/>
        <v>629</v>
      </c>
      <c r="B655" s="19">
        <f t="shared" si="252"/>
        <v>645.58488542777081</v>
      </c>
      <c r="C655" s="18">
        <f t="shared" si="266"/>
        <v>9.7393845735263227</v>
      </c>
      <c r="D655" s="2">
        <f t="shared" si="245"/>
        <v>0.96476374926713315</v>
      </c>
      <c r="E655" s="18">
        <f t="shared" si="253"/>
        <v>9.7554639693474421</v>
      </c>
      <c r="F655" s="21">
        <f t="shared" si="246"/>
        <v>6.9657859530955646</v>
      </c>
      <c r="G655" s="1">
        <f t="shared" si="247"/>
        <v>0</v>
      </c>
      <c r="H655" s="2">
        <f t="shared" si="243"/>
        <v>1498.2668712912462</v>
      </c>
      <c r="I655" s="19">
        <f t="shared" si="269"/>
        <v>648.60037718235765</v>
      </c>
      <c r="J655" s="20">
        <f t="shared" si="248"/>
        <v>0.90717622737445114</v>
      </c>
      <c r="K655" s="21">
        <f t="shared" si="249"/>
        <v>628.74495526910869</v>
      </c>
      <c r="L655" s="21">
        <f t="shared" si="244"/>
        <v>5.5784519976601645</v>
      </c>
      <c r="M655" s="2">
        <f t="shared" si="254"/>
        <v>498.18847503949047</v>
      </c>
      <c r="N655" s="19">
        <f t="shared" si="267"/>
        <v>345.7457103958958</v>
      </c>
      <c r="O655" s="1">
        <f t="shared" si="255"/>
        <v>629</v>
      </c>
      <c r="P655" s="19">
        <f t="shared" si="256"/>
        <v>989.23363881827845</v>
      </c>
      <c r="Q655" s="18">
        <f t="shared" si="257"/>
        <v>11.327274875489552</v>
      </c>
      <c r="R655" s="2">
        <f t="shared" si="258"/>
        <v>0.97303371161904051</v>
      </c>
      <c r="S655" s="18">
        <f t="shared" si="259"/>
        <v>11.343492104016535</v>
      </c>
      <c r="T655" s="18">
        <f t="shared" si="260"/>
        <v>9.3767930126585917</v>
      </c>
      <c r="U655" s="1">
        <f t="shared" si="250"/>
        <v>0</v>
      </c>
      <c r="V655" s="2">
        <f t="shared" si="261"/>
        <v>2294.506498682882</v>
      </c>
      <c r="W655" s="19">
        <f t="shared" si="262"/>
        <v>993.29285657267621</v>
      </c>
      <c r="X655" s="20"/>
      <c r="Y655" s="2">
        <f t="shared" si="263"/>
        <v>973.51671392968615</v>
      </c>
      <c r="Z655" s="21">
        <f t="shared" si="264"/>
        <v>7.5424317325628447</v>
      </c>
      <c r="AA655" s="2">
        <f t="shared" si="265"/>
        <v>775.03774581209586</v>
      </c>
      <c r="AB655" s="19">
        <f t="shared" si="268"/>
        <v>97.336533323888759</v>
      </c>
      <c r="AC655" s="2"/>
      <c r="AD655" s="18"/>
      <c r="AE655" s="118"/>
      <c r="AG655" s="2"/>
      <c r="AH655" s="19"/>
      <c r="AI655" s="20"/>
      <c r="AJ655" s="21"/>
      <c r="AK655" s="21"/>
      <c r="AM655" s="19"/>
      <c r="AN655" s="18"/>
      <c r="AO655" s="2"/>
      <c r="AP655" s="18"/>
      <c r="AQ655" s="118"/>
      <c r="AS655" s="2"/>
      <c r="AT655" s="19"/>
      <c r="AU655" s="20"/>
      <c r="AV655" s="21"/>
      <c r="AW655" s="21"/>
    </row>
    <row r="656" spans="1:49" x14ac:dyDescent="0.25">
      <c r="A656" s="1">
        <f t="shared" si="251"/>
        <v>630</v>
      </c>
      <c r="B656" s="19">
        <f t="shared" si="252"/>
        <v>648.60037718235765</v>
      </c>
      <c r="C656" s="18">
        <f t="shared" si="266"/>
        <v>9.7554639693474421</v>
      </c>
      <c r="D656" s="2">
        <f t="shared" si="245"/>
        <v>0.96485367079712914</v>
      </c>
      <c r="E656" s="18">
        <f t="shared" si="253"/>
        <v>9.7715448638607274</v>
      </c>
      <c r="F656" s="21">
        <f t="shared" si="246"/>
        <v>6.9884304122314038</v>
      </c>
      <c r="G656" s="1">
        <f t="shared" si="247"/>
        <v>0</v>
      </c>
      <c r="H656" s="2">
        <f t="shared" si="243"/>
        <v>1505.2553017034775</v>
      </c>
      <c r="I656" s="19">
        <f t="shared" si="269"/>
        <v>651.62567173310708</v>
      </c>
      <c r="J656" s="20">
        <f t="shared" si="248"/>
        <v>0.90712089270374141</v>
      </c>
      <c r="K656" s="21">
        <f t="shared" si="249"/>
        <v>631.77094563760488</v>
      </c>
      <c r="L656" s="21">
        <f t="shared" si="244"/>
        <v>5.5968581820186181</v>
      </c>
      <c r="M656" s="2">
        <f t="shared" si="254"/>
        <v>500.61135736936865</v>
      </c>
      <c r="N656" s="19">
        <f t="shared" si="267"/>
        <v>345.82161801835377</v>
      </c>
      <c r="O656" s="1">
        <f t="shared" si="255"/>
        <v>630</v>
      </c>
      <c r="P656" s="19">
        <f t="shared" si="256"/>
        <v>993.29285657267621</v>
      </c>
      <c r="Q656" s="18">
        <f t="shared" si="257"/>
        <v>11.343492104016535</v>
      </c>
      <c r="R656" s="2">
        <f t="shared" si="258"/>
        <v>0.97311340635187027</v>
      </c>
      <c r="S656" s="18">
        <f t="shared" si="259"/>
        <v>11.359710660789066</v>
      </c>
      <c r="T656" s="18">
        <f t="shared" si="260"/>
        <v>9.4032364968188507</v>
      </c>
      <c r="U656" s="1">
        <f t="shared" si="250"/>
        <v>0</v>
      </c>
      <c r="V656" s="2">
        <f t="shared" si="261"/>
        <v>2303.9097351797009</v>
      </c>
      <c r="W656" s="19">
        <f t="shared" si="262"/>
        <v>997.3635217228142</v>
      </c>
      <c r="X656" s="20"/>
      <c r="Y656" s="2">
        <f t="shared" si="263"/>
        <v>977.58831533280875</v>
      </c>
      <c r="Z656" s="21">
        <f t="shared" si="264"/>
        <v>7.5640149991578545</v>
      </c>
      <c r="AA656" s="2">
        <f t="shared" si="265"/>
        <v>778.31221117969665</v>
      </c>
      <c r="AB656" s="19">
        <f t="shared" si="268"/>
        <v>97.401814285791588</v>
      </c>
      <c r="AC656" s="2"/>
      <c r="AD656" s="18"/>
      <c r="AE656" s="118"/>
      <c r="AG656" s="2"/>
      <c r="AH656" s="19"/>
      <c r="AI656" s="20"/>
      <c r="AJ656" s="21"/>
      <c r="AK656" s="21"/>
      <c r="AM656" s="19"/>
      <c r="AN656" s="18"/>
      <c r="AO656" s="2"/>
      <c r="AP656" s="18"/>
      <c r="AQ656" s="118"/>
      <c r="AS656" s="2"/>
      <c r="AT656" s="19"/>
      <c r="AU656" s="20"/>
      <c r="AV656" s="21"/>
      <c r="AW656" s="21"/>
    </row>
    <row r="657" spans="1:49" x14ac:dyDescent="0.25">
      <c r="A657" s="1">
        <f t="shared" si="251"/>
        <v>631</v>
      </c>
      <c r="B657" s="19">
        <f t="shared" si="252"/>
        <v>651.62567173310708</v>
      </c>
      <c r="C657" s="18">
        <f t="shared" si="266"/>
        <v>9.7715448638607274</v>
      </c>
      <c r="D657" s="2">
        <f t="shared" si="245"/>
        <v>0.96494347387901691</v>
      </c>
      <c r="E657" s="18">
        <f t="shared" si="253"/>
        <v>9.787627255092044</v>
      </c>
      <c r="F657" s="21">
        <f t="shared" si="246"/>
        <v>7.0111132465504999</v>
      </c>
      <c r="G657" s="1">
        <f t="shared" si="247"/>
        <v>0</v>
      </c>
      <c r="H657" s="2">
        <f t="shared" si="243"/>
        <v>1512.2664149500279</v>
      </c>
      <c r="I657" s="19">
        <f t="shared" si="269"/>
        <v>654.66078569265278</v>
      </c>
      <c r="J657" s="20">
        <f t="shared" si="248"/>
        <v>0.90706560115284152</v>
      </c>
      <c r="K657" s="21">
        <f t="shared" si="249"/>
        <v>634.80675767336129</v>
      </c>
      <c r="L657" s="21">
        <f t="shared" si="244"/>
        <v>5.6152963994972707</v>
      </c>
      <c r="M657" s="2">
        <f t="shared" si="254"/>
        <v>503.04222161157526</v>
      </c>
      <c r="N657" s="19">
        <f t="shared" si="267"/>
        <v>345.89740072070066</v>
      </c>
      <c r="O657" s="1">
        <f t="shared" si="255"/>
        <v>631</v>
      </c>
      <c r="P657" s="19">
        <f t="shared" si="256"/>
        <v>997.3635217228142</v>
      </c>
      <c r="Q657" s="18">
        <f t="shared" si="257"/>
        <v>11.359710660789066</v>
      </c>
      <c r="R657" s="2">
        <f t="shared" si="258"/>
        <v>0.97319300595338087</v>
      </c>
      <c r="S657" s="18">
        <f t="shared" si="259"/>
        <v>11.375930544221623</v>
      </c>
      <c r="T657" s="18">
        <f t="shared" si="260"/>
        <v>9.4297189012231115</v>
      </c>
      <c r="U657" s="1">
        <f t="shared" si="250"/>
        <v>0</v>
      </c>
      <c r="V657" s="2">
        <f t="shared" si="261"/>
        <v>2313.339454080924</v>
      </c>
      <c r="W657" s="19">
        <f t="shared" si="262"/>
        <v>1001.4456511172831</v>
      </c>
      <c r="X657" s="20"/>
      <c r="Y657" s="2">
        <f t="shared" si="263"/>
        <v>981.67138361703837</v>
      </c>
      <c r="Z657" s="21">
        <f t="shared" si="264"/>
        <v>7.5856308720330334</v>
      </c>
      <c r="AA657" s="2">
        <f t="shared" si="265"/>
        <v>781.59603406802262</v>
      </c>
      <c r="AB657" s="19">
        <f t="shared" si="268"/>
        <v>97.467002044353379</v>
      </c>
      <c r="AC657" s="2"/>
      <c r="AD657" s="18"/>
      <c r="AE657" s="118"/>
      <c r="AG657" s="2"/>
      <c r="AH657" s="19"/>
      <c r="AI657" s="20"/>
      <c r="AJ657" s="21"/>
      <c r="AK657" s="21"/>
      <c r="AM657" s="19"/>
      <c r="AN657" s="18"/>
      <c r="AO657" s="2"/>
      <c r="AP657" s="18"/>
      <c r="AQ657" s="118"/>
      <c r="AS657" s="2"/>
      <c r="AT657" s="19"/>
      <c r="AU657" s="20"/>
      <c r="AV657" s="21"/>
      <c r="AW657" s="21"/>
    </row>
    <row r="658" spans="1:49" x14ac:dyDescent="0.25">
      <c r="A658" s="1">
        <f t="shared" si="251"/>
        <v>632</v>
      </c>
      <c r="B658" s="19">
        <f t="shared" si="252"/>
        <v>654.66078569265278</v>
      </c>
      <c r="C658" s="18">
        <f t="shared" si="266"/>
        <v>9.787627255092044</v>
      </c>
      <c r="D658" s="2">
        <f t="shared" si="245"/>
        <v>0.96503315879495366</v>
      </c>
      <c r="E658" s="18">
        <f t="shared" si="253"/>
        <v>9.8037111410719593</v>
      </c>
      <c r="F658" s="21">
        <f t="shared" si="246"/>
        <v>7.0338344619470963</v>
      </c>
      <c r="G658" s="1">
        <f t="shared" si="247"/>
        <v>0</v>
      </c>
      <c r="H658" s="2">
        <f t="shared" si="243"/>
        <v>1519.3002494119751</v>
      </c>
      <c r="I658" s="19">
        <f t="shared" si="269"/>
        <v>657.70573567617964</v>
      </c>
      <c r="J658" s="20">
        <f t="shared" si="248"/>
        <v>0.90701035271707564</v>
      </c>
      <c r="K658" s="21">
        <f t="shared" si="249"/>
        <v>637.8524079953844</v>
      </c>
      <c r="L658" s="21">
        <f t="shared" si="244"/>
        <v>5.6337666562982678</v>
      </c>
      <c r="M658" s="2">
        <f t="shared" si="254"/>
        <v>505.48108163594679</v>
      </c>
      <c r="N658" s="19">
        <f t="shared" si="267"/>
        <v>345.97305890184992</v>
      </c>
      <c r="O658" s="1">
        <f t="shared" si="255"/>
        <v>632</v>
      </c>
      <c r="P658" s="19">
        <f t="shared" si="256"/>
        <v>1001.4456511172831</v>
      </c>
      <c r="Q658" s="18">
        <f t="shared" si="257"/>
        <v>11.375930544221623</v>
      </c>
      <c r="R658" s="2">
        <f t="shared" si="258"/>
        <v>0.97327251064298459</v>
      </c>
      <c r="S658" s="18">
        <f t="shared" si="259"/>
        <v>11.392151752732339</v>
      </c>
      <c r="T658" s="18">
        <f t="shared" si="260"/>
        <v>9.4562402310535489</v>
      </c>
      <c r="U658" s="1">
        <f t="shared" si="250"/>
        <v>0</v>
      </c>
      <c r="V658" s="2">
        <f t="shared" si="261"/>
        <v>2322.7956943119775</v>
      </c>
      <c r="W658" s="19">
        <f t="shared" si="262"/>
        <v>1005.5392616069166</v>
      </c>
      <c r="X658" s="20"/>
      <c r="Y658" s="2">
        <f t="shared" si="263"/>
        <v>985.76593563708457</v>
      </c>
      <c r="Z658" s="21">
        <f t="shared" si="264"/>
        <v>7.6072793566436721</v>
      </c>
      <c r="AA658" s="2">
        <f t="shared" si="265"/>
        <v>784.88922859470824</v>
      </c>
      <c r="AB658" s="19">
        <f t="shared" si="268"/>
        <v>97.532096857741067</v>
      </c>
      <c r="AC658" s="2"/>
      <c r="AD658" s="18"/>
      <c r="AE658" s="118"/>
      <c r="AG658" s="2"/>
      <c r="AH658" s="19"/>
      <c r="AI658" s="20"/>
      <c r="AJ658" s="21"/>
      <c r="AK658" s="21"/>
      <c r="AM658" s="19"/>
      <c r="AN658" s="18"/>
      <c r="AO658" s="2"/>
      <c r="AP658" s="18"/>
      <c r="AQ658" s="118"/>
      <c r="AS658" s="2"/>
      <c r="AT658" s="19"/>
      <c r="AU658" s="20"/>
      <c r="AV658" s="21"/>
      <c r="AW658" s="21"/>
    </row>
    <row r="659" spans="1:49" x14ac:dyDescent="0.25">
      <c r="A659" s="1">
        <f t="shared" si="251"/>
        <v>633</v>
      </c>
      <c r="B659" s="19">
        <f t="shared" si="252"/>
        <v>657.70573567617964</v>
      </c>
      <c r="C659" s="18">
        <f t="shared" si="266"/>
        <v>9.8037111410719593</v>
      </c>
      <c r="D659" s="2">
        <f t="shared" si="245"/>
        <v>0.96512272582635117</v>
      </c>
      <c r="E659" s="18">
        <f t="shared" si="253"/>
        <v>9.819796519835732</v>
      </c>
      <c r="F659" s="21">
        <f t="shared" si="246"/>
        <v>7.0565940643071752</v>
      </c>
      <c r="G659" s="1">
        <f t="shared" si="247"/>
        <v>0</v>
      </c>
      <c r="H659" s="2">
        <f t="shared" si="243"/>
        <v>1526.3568434762822</v>
      </c>
      <c r="I659" s="19">
        <f t="shared" si="269"/>
        <v>660.76053830142087</v>
      </c>
      <c r="J659" s="20">
        <f t="shared" si="248"/>
        <v>0.90695514739128069</v>
      </c>
      <c r="K659" s="21">
        <f t="shared" si="249"/>
        <v>640.90791322522944</v>
      </c>
      <c r="L659" s="21">
        <f t="shared" si="244"/>
        <v>5.6522689586150854</v>
      </c>
      <c r="M659" s="2">
        <f t="shared" si="254"/>
        <v>507.92795131500094</v>
      </c>
      <c r="N659" s="19">
        <f t="shared" si="267"/>
        <v>346.04859295882403</v>
      </c>
      <c r="O659" s="1">
        <f t="shared" si="255"/>
        <v>633</v>
      </c>
      <c r="P659" s="19">
        <f t="shared" si="256"/>
        <v>1005.5392616069166</v>
      </c>
      <c r="Q659" s="18">
        <f t="shared" si="257"/>
        <v>11.392151752732339</v>
      </c>
      <c r="R659" s="2">
        <f t="shared" si="258"/>
        <v>0.97335192063941367</v>
      </c>
      <c r="S659" s="18">
        <f t="shared" si="259"/>
        <v>11.408374284742996</v>
      </c>
      <c r="T659" s="18">
        <f t="shared" si="260"/>
        <v>9.4828004914861417</v>
      </c>
      <c r="U659" s="1">
        <f t="shared" si="250"/>
        <v>0</v>
      </c>
      <c r="V659" s="2">
        <f t="shared" si="261"/>
        <v>2332.2784948034637</v>
      </c>
      <c r="W659" s="19">
        <f t="shared" si="262"/>
        <v>1009.6443700447894</v>
      </c>
      <c r="X659" s="20"/>
      <c r="Y659" s="2">
        <f t="shared" si="263"/>
        <v>989.8719882498981</v>
      </c>
      <c r="Z659" s="21">
        <f t="shared" si="264"/>
        <v>7.6289604584385202</v>
      </c>
      <c r="AA659" s="2">
        <f t="shared" si="265"/>
        <v>788.19180887974653</v>
      </c>
      <c r="AB659" s="19">
        <f t="shared" si="268"/>
        <v>97.597098983060349</v>
      </c>
      <c r="AC659" s="2"/>
      <c r="AD659" s="18"/>
      <c r="AE659" s="118"/>
      <c r="AG659" s="2"/>
      <c r="AH659" s="19"/>
      <c r="AI659" s="20"/>
      <c r="AJ659" s="21"/>
      <c r="AK659" s="21"/>
      <c r="AM659" s="19"/>
      <c r="AN659" s="18"/>
      <c r="AO659" s="2"/>
      <c r="AP659" s="18"/>
      <c r="AQ659" s="118"/>
      <c r="AS659" s="2"/>
      <c r="AT659" s="19"/>
      <c r="AU659" s="20"/>
      <c r="AV659" s="21"/>
      <c r="AW659" s="21"/>
    </row>
    <row r="660" spans="1:49" x14ac:dyDescent="0.25">
      <c r="A660" s="1">
        <f t="shared" si="251"/>
        <v>634</v>
      </c>
      <c r="B660" s="19">
        <f t="shared" si="252"/>
        <v>660.76053830142087</v>
      </c>
      <c r="C660" s="18">
        <f t="shared" si="266"/>
        <v>9.819796519835732</v>
      </c>
      <c r="D660" s="2">
        <f t="shared" si="245"/>
        <v>0.96521217525387648</v>
      </c>
      <c r="E660" s="18">
        <f t="shared" si="253"/>
        <v>9.8358833894232962</v>
      </c>
      <c r="F660" s="21">
        <f t="shared" si="246"/>
        <v>7.079392059508482</v>
      </c>
      <c r="G660" s="1">
        <f t="shared" si="247"/>
        <v>0</v>
      </c>
      <c r="H660" s="2">
        <f t="shared" si="243"/>
        <v>1533.4362355357907</v>
      </c>
      <c r="I660" s="19">
        <f t="shared" si="269"/>
        <v>663.82521018865395</v>
      </c>
      <c r="J660" s="20">
        <f t="shared" si="248"/>
        <v>0.90689998516981329</v>
      </c>
      <c r="K660" s="21">
        <f t="shared" si="249"/>
        <v>643.97328998699663</v>
      </c>
      <c r="L660" s="21">
        <f t="shared" si="244"/>
        <v>5.6708033126325565</v>
      </c>
      <c r="M660" s="2">
        <f t="shared" si="254"/>
        <v>510.38284452393276</v>
      </c>
      <c r="N660" s="19">
        <f t="shared" si="267"/>
        <v>346.12400328676631</v>
      </c>
      <c r="O660" s="1">
        <f t="shared" si="255"/>
        <v>634</v>
      </c>
      <c r="P660" s="19">
        <f t="shared" si="256"/>
        <v>1009.6443700447894</v>
      </c>
      <c r="Q660" s="18">
        <f t="shared" si="257"/>
        <v>11.408374284742996</v>
      </c>
      <c r="R660" s="2">
        <f t="shared" si="258"/>
        <v>0.97343123616072236</v>
      </c>
      <c r="S660" s="18">
        <f t="shared" si="259"/>
        <v>11.424598138679007</v>
      </c>
      <c r="T660" s="18">
        <f t="shared" si="260"/>
        <v>9.509399687690685</v>
      </c>
      <c r="U660" s="1">
        <f t="shared" si="250"/>
        <v>0</v>
      </c>
      <c r="V660" s="2">
        <f t="shared" si="261"/>
        <v>2341.7878944911545</v>
      </c>
      <c r="W660" s="19">
        <f t="shared" si="262"/>
        <v>1013.760993286214</v>
      </c>
      <c r="X660" s="20"/>
      <c r="Y660" s="2">
        <f t="shared" si="263"/>
        <v>993.98955831466822</v>
      </c>
      <c r="Z660" s="21">
        <f t="shared" si="264"/>
        <v>7.6506741828598113</v>
      </c>
      <c r="AA660" s="2">
        <f t="shared" si="265"/>
        <v>791.50378904548666</v>
      </c>
      <c r="AB660" s="19">
        <f t="shared" si="268"/>
        <v>97.662008676361495</v>
      </c>
      <c r="AC660" s="2"/>
      <c r="AD660" s="18"/>
      <c r="AE660" s="118"/>
      <c r="AG660" s="2"/>
      <c r="AH660" s="19"/>
      <c r="AI660" s="20"/>
      <c r="AJ660" s="21"/>
      <c r="AK660" s="21"/>
      <c r="AM660" s="19"/>
      <c r="AN660" s="18"/>
      <c r="AO660" s="2"/>
      <c r="AP660" s="18"/>
      <c r="AQ660" s="118"/>
      <c r="AS660" s="2"/>
      <c r="AT660" s="19"/>
      <c r="AU660" s="20"/>
      <c r="AV660" s="21"/>
      <c r="AW660" s="21"/>
    </row>
    <row r="661" spans="1:49" x14ac:dyDescent="0.25">
      <c r="A661" s="1">
        <f t="shared" si="251"/>
        <v>635</v>
      </c>
      <c r="B661" s="19">
        <f t="shared" si="252"/>
        <v>663.82521018865395</v>
      </c>
      <c r="C661" s="18">
        <f t="shared" si="266"/>
        <v>9.8358833894232962</v>
      </c>
      <c r="D661" s="2">
        <f t="shared" si="245"/>
        <v>0.96530150735745135</v>
      </c>
      <c r="E661" s="18">
        <f t="shared" si="253"/>
        <v>9.8519717478792543</v>
      </c>
      <c r="F661" s="21">
        <f t="shared" si="246"/>
        <v>7.1022284534205466</v>
      </c>
      <c r="G661" s="1">
        <f t="shared" si="247"/>
        <v>0</v>
      </c>
      <c r="H661" s="2">
        <f t="shared" si="243"/>
        <v>1540.5384639892113</v>
      </c>
      <c r="I661" s="19">
        <f t="shared" si="269"/>
        <v>666.89976796069755</v>
      </c>
      <c r="J661" s="20">
        <f t="shared" si="248"/>
        <v>0.90684486604655445</v>
      </c>
      <c r="K661" s="21">
        <f t="shared" si="249"/>
        <v>647.04855490732768</v>
      </c>
      <c r="L661" s="21">
        <f t="shared" si="244"/>
        <v>5.6893697245269008</v>
      </c>
      <c r="M661" s="2">
        <f t="shared" si="254"/>
        <v>512.84577514061107</v>
      </c>
      <c r="N661" s="19">
        <f t="shared" si="267"/>
        <v>346.19929027895284</v>
      </c>
      <c r="O661" s="1">
        <f t="shared" si="255"/>
        <v>635</v>
      </c>
      <c r="P661" s="19">
        <f t="shared" si="256"/>
        <v>1013.760993286214</v>
      </c>
      <c r="Q661" s="18">
        <f t="shared" si="257"/>
        <v>11.424598138679007</v>
      </c>
      <c r="R661" s="2">
        <f t="shared" si="258"/>
        <v>0.97351045742428799</v>
      </c>
      <c r="S661" s="18">
        <f t="shared" si="259"/>
        <v>11.440823312969412</v>
      </c>
      <c r="T661" s="18">
        <f t="shared" si="260"/>
        <v>9.5360378248308066</v>
      </c>
      <c r="U661" s="1">
        <f t="shared" si="250"/>
        <v>0</v>
      </c>
      <c r="V661" s="2">
        <f t="shared" si="261"/>
        <v>2351.3239323159851</v>
      </c>
      <c r="W661" s="19">
        <f t="shared" si="262"/>
        <v>1017.8891481887381</v>
      </c>
      <c r="X661" s="20"/>
      <c r="Y661" s="2">
        <f t="shared" si="263"/>
        <v>998.11866269281995</v>
      </c>
      <c r="Z661" s="21">
        <f t="shared" si="264"/>
        <v>7.67242053534327</v>
      </c>
      <c r="AA661" s="2">
        <f t="shared" si="265"/>
        <v>794.82518321663088</v>
      </c>
      <c r="AB661" s="19">
        <f t="shared" si="268"/>
        <v>97.726826192645092</v>
      </c>
      <c r="AC661" s="2"/>
      <c r="AD661" s="18"/>
      <c r="AE661" s="118"/>
      <c r="AG661" s="2"/>
      <c r="AH661" s="19"/>
      <c r="AI661" s="20"/>
      <c r="AJ661" s="21"/>
      <c r="AK661" s="21"/>
      <c r="AM661" s="19"/>
      <c r="AN661" s="18"/>
      <c r="AO661" s="2"/>
      <c r="AP661" s="18"/>
      <c r="AQ661" s="118"/>
      <c r="AS661" s="2"/>
      <c r="AT661" s="19"/>
      <c r="AU661" s="20"/>
      <c r="AV661" s="21"/>
      <c r="AW661" s="21"/>
    </row>
    <row r="662" spans="1:49" x14ac:dyDescent="0.25">
      <c r="A662" s="1">
        <f t="shared" si="251"/>
        <v>636</v>
      </c>
      <c r="B662" s="19">
        <f t="shared" si="252"/>
        <v>666.89976796069755</v>
      </c>
      <c r="C662" s="18">
        <f t="shared" si="266"/>
        <v>9.8519717478792543</v>
      </c>
      <c r="D662" s="2">
        <f t="shared" si="245"/>
        <v>0.96539072241625279</v>
      </c>
      <c r="E662" s="18">
        <f t="shared" si="253"/>
        <v>9.8680615932528593</v>
      </c>
      <c r="F662" s="21">
        <f t="shared" si="246"/>
        <v>7.1251032519047177</v>
      </c>
      <c r="G662" s="1">
        <f t="shared" si="247"/>
        <v>0</v>
      </c>
      <c r="H662" s="2">
        <f t="shared" si="243"/>
        <v>1547.663567241116</v>
      </c>
      <c r="I662" s="19">
        <f t="shared" si="269"/>
        <v>669.98422824290731</v>
      </c>
      <c r="J662" s="20">
        <f t="shared" si="248"/>
        <v>0.90678979001491433</v>
      </c>
      <c r="K662" s="21">
        <f t="shared" si="249"/>
        <v>650.13372461540246</v>
      </c>
      <c r="L662" s="21">
        <f t="shared" si="244"/>
        <v>5.7079682004657464</v>
      </c>
      <c r="M662" s="2">
        <f t="shared" si="254"/>
        <v>515.3167570455746</v>
      </c>
      <c r="N662" s="19">
        <f t="shared" si="267"/>
        <v>346.27445432680418</v>
      </c>
      <c r="O662" s="1">
        <f t="shared" si="255"/>
        <v>636</v>
      </c>
      <c r="P662" s="19">
        <f t="shared" si="256"/>
        <v>1017.8891481887381</v>
      </c>
      <c r="Q662" s="18">
        <f t="shared" si="257"/>
        <v>11.440823312969412</v>
      </c>
      <c r="R662" s="2">
        <f t="shared" si="258"/>
        <v>0.97358958464681489</v>
      </c>
      <c r="S662" s="18">
        <f t="shared" si="259"/>
        <v>11.457049806046859</v>
      </c>
      <c r="T662" s="18">
        <f t="shared" si="260"/>
        <v>9.5627149080639775</v>
      </c>
      <c r="U662" s="1">
        <f t="shared" si="250"/>
        <v>0</v>
      </c>
      <c r="V662" s="2">
        <f t="shared" si="261"/>
        <v>2360.8866472240488</v>
      </c>
      <c r="W662" s="19">
        <f t="shared" si="262"/>
        <v>1022.0288516121424</v>
      </c>
      <c r="X662" s="20"/>
      <c r="Y662" s="2">
        <f t="shared" si="263"/>
        <v>1002.2593182480117</v>
      </c>
      <c r="Z662" s="21">
        <f t="shared" si="264"/>
        <v>7.6941995213181276</v>
      </c>
      <c r="AA662" s="2">
        <f t="shared" si="265"/>
        <v>798.15600552023182</v>
      </c>
      <c r="AB662" s="19">
        <f t="shared" si="268"/>
        <v>97.791551785867739</v>
      </c>
      <c r="AC662" s="2"/>
      <c r="AD662" s="18"/>
      <c r="AE662" s="118"/>
      <c r="AG662" s="2"/>
      <c r="AH662" s="19"/>
      <c r="AI662" s="20"/>
      <c r="AJ662" s="21"/>
      <c r="AK662" s="21"/>
      <c r="AM662" s="19"/>
      <c r="AN662" s="18"/>
      <c r="AO662" s="2"/>
      <c r="AP662" s="18"/>
      <c r="AQ662" s="118"/>
      <c r="AS662" s="2"/>
      <c r="AT662" s="19"/>
      <c r="AU662" s="20"/>
      <c r="AV662" s="21"/>
      <c r="AW662" s="21"/>
    </row>
    <row r="663" spans="1:49" x14ac:dyDescent="0.25">
      <c r="A663" s="1">
        <f t="shared" si="251"/>
        <v>637</v>
      </c>
      <c r="B663" s="19">
        <f t="shared" si="252"/>
        <v>669.98422824290731</v>
      </c>
      <c r="C663" s="18">
        <f t="shared" si="266"/>
        <v>9.8680615932528593</v>
      </c>
      <c r="D663" s="2">
        <f t="shared" si="245"/>
        <v>0.96547982070871219</v>
      </c>
      <c r="E663" s="18">
        <f t="shared" si="253"/>
        <v>9.8841529235980037</v>
      </c>
      <c r="F663" s="21">
        <f t="shared" si="246"/>
        <v>7.1480164608141781</v>
      </c>
      <c r="G663" s="1">
        <f t="shared" si="247"/>
        <v>0</v>
      </c>
      <c r="H663" s="2">
        <f t="shared" si="243"/>
        <v>1554.8115837019302</v>
      </c>
      <c r="I663" s="19">
        <f t="shared" si="269"/>
        <v>673.07860766317322</v>
      </c>
      <c r="J663" s="20">
        <f t="shared" si="248"/>
        <v>0.90673475706783846</v>
      </c>
      <c r="K663" s="21">
        <f t="shared" si="249"/>
        <v>653.22881574293501</v>
      </c>
      <c r="L663" s="21">
        <f t="shared" si="244"/>
        <v>5.726598746608162</v>
      </c>
      <c r="M663" s="2">
        <f t="shared" si="254"/>
        <v>517.79580412202836</v>
      </c>
      <c r="N663" s="19">
        <f t="shared" si="267"/>
        <v>346.34949581989679</v>
      </c>
      <c r="O663" s="1">
        <f t="shared" si="255"/>
        <v>637</v>
      </c>
      <c r="P663" s="19">
        <f t="shared" si="256"/>
        <v>1022.0288516121424</v>
      </c>
      <c r="Q663" s="18">
        <f t="shared" si="257"/>
        <v>11.457049806046859</v>
      </c>
      <c r="R663" s="2">
        <f t="shared" si="258"/>
        <v>0.97366861804433547</v>
      </c>
      <c r="S663" s="18">
        <f t="shared" si="259"/>
        <v>11.473277616347598</v>
      </c>
      <c r="T663" s="18">
        <f t="shared" si="260"/>
        <v>9.5894309425415489</v>
      </c>
      <c r="U663" s="1">
        <f t="shared" si="250"/>
        <v>0</v>
      </c>
      <c r="V663" s="2">
        <f t="shared" si="261"/>
        <v>2370.4760781665905</v>
      </c>
      <c r="W663" s="19">
        <f t="shared" si="262"/>
        <v>1026.1801204184374</v>
      </c>
      <c r="X663" s="20"/>
      <c r="Y663" s="2">
        <f t="shared" si="263"/>
        <v>1006.4115418461322</v>
      </c>
      <c r="Z663" s="21">
        <f t="shared" si="264"/>
        <v>7.7160111462071583</v>
      </c>
      <c r="AA663" s="2">
        <f t="shared" si="265"/>
        <v>801.4962700856895</v>
      </c>
      <c r="AB663" s="19">
        <f t="shared" si="268"/>
        <v>97.856185708947706</v>
      </c>
      <c r="AC663" s="2"/>
      <c r="AD663" s="18"/>
      <c r="AE663" s="118"/>
      <c r="AG663" s="2"/>
      <c r="AH663" s="19"/>
      <c r="AI663" s="20"/>
      <c r="AJ663" s="21"/>
      <c r="AK663" s="21"/>
      <c r="AM663" s="19"/>
      <c r="AN663" s="18"/>
      <c r="AO663" s="2"/>
      <c r="AP663" s="18"/>
      <c r="AQ663" s="118"/>
      <c r="AS663" s="2"/>
      <c r="AT663" s="19"/>
      <c r="AU663" s="20"/>
      <c r="AV663" s="21"/>
      <c r="AW663" s="21"/>
    </row>
    <row r="664" spans="1:49" x14ac:dyDescent="0.25">
      <c r="A664" s="1">
        <f t="shared" si="251"/>
        <v>638</v>
      </c>
      <c r="B664" s="19">
        <f t="shared" si="252"/>
        <v>673.07860766317322</v>
      </c>
      <c r="C664" s="18">
        <f t="shared" si="266"/>
        <v>9.8841529235980037</v>
      </c>
      <c r="D664" s="2">
        <f t="shared" si="245"/>
        <v>0.96556880251251653</v>
      </c>
      <c r="E664" s="18">
        <f t="shared" si="253"/>
        <v>9.9002457369732131</v>
      </c>
      <c r="F664" s="21">
        <f t="shared" si="246"/>
        <v>7.1709680859939846</v>
      </c>
      <c r="G664" s="1">
        <f t="shared" si="247"/>
        <v>0</v>
      </c>
      <c r="H664" s="2">
        <f t="shared" si="243"/>
        <v>1561.9825517879242</v>
      </c>
      <c r="I664" s="19">
        <f t="shared" si="269"/>
        <v>676.18292285191524</v>
      </c>
      <c r="J664" s="20">
        <f t="shared" si="248"/>
        <v>0.90667976719781163</v>
      </c>
      <c r="K664" s="21">
        <f t="shared" si="249"/>
        <v>656.33384492417042</v>
      </c>
      <c r="L664" s="21">
        <f t="shared" si="244"/>
        <v>5.7452613691046803</v>
      </c>
      <c r="M664" s="2">
        <f t="shared" si="254"/>
        <v>520.28293025583991</v>
      </c>
      <c r="N664" s="19">
        <f t="shared" si="267"/>
        <v>346.42441514597476</v>
      </c>
      <c r="O664" s="1">
        <f t="shared" si="255"/>
        <v>638</v>
      </c>
      <c r="P664" s="19">
        <f t="shared" si="256"/>
        <v>1026.1801204184374</v>
      </c>
      <c r="Q664" s="18">
        <f t="shared" si="257"/>
        <v>11.473277616347598</v>
      </c>
      <c r="R664" s="2">
        <f t="shared" si="258"/>
        <v>0.97374755783221245</v>
      </c>
      <c r="S664" s="18">
        <f t="shared" si="259"/>
        <v>11.489506742311468</v>
      </c>
      <c r="T664" s="18">
        <f t="shared" si="260"/>
        <v>9.6161859334087332</v>
      </c>
      <c r="U664" s="1">
        <f t="shared" si="250"/>
        <v>0</v>
      </c>
      <c r="V664" s="2">
        <f t="shared" si="261"/>
        <v>2380.0922640999993</v>
      </c>
      <c r="W664" s="19">
        <f t="shared" si="262"/>
        <v>1030.3429714718611</v>
      </c>
      <c r="X664" s="20"/>
      <c r="Y664" s="2">
        <f t="shared" si="263"/>
        <v>1010.5753503552982</v>
      </c>
      <c r="Z664" s="21">
        <f t="shared" si="264"/>
        <v>7.7378554154266661</v>
      </c>
      <c r="AA664" s="2">
        <f t="shared" si="265"/>
        <v>804.84599104474864</v>
      </c>
      <c r="AB664" s="19">
        <f t="shared" si="268"/>
        <v>97.920728213770587</v>
      </c>
      <c r="AC664" s="2"/>
      <c r="AD664" s="18"/>
      <c r="AE664" s="118"/>
      <c r="AG664" s="2"/>
      <c r="AH664" s="19"/>
      <c r="AI664" s="20"/>
      <c r="AJ664" s="21"/>
      <c r="AK664" s="21"/>
      <c r="AM664" s="19"/>
      <c r="AN664" s="18"/>
      <c r="AO664" s="2"/>
      <c r="AP664" s="18"/>
      <c r="AQ664" s="118"/>
      <c r="AS664" s="2"/>
      <c r="AT664" s="19"/>
      <c r="AU664" s="20"/>
      <c r="AV664" s="21"/>
      <c r="AW664" s="21"/>
    </row>
    <row r="665" spans="1:49" x14ac:dyDescent="0.25">
      <c r="A665" s="1">
        <f t="shared" si="251"/>
        <v>639</v>
      </c>
      <c r="B665" s="19">
        <f t="shared" si="252"/>
        <v>676.18292285191524</v>
      </c>
      <c r="C665" s="18">
        <f t="shared" si="266"/>
        <v>9.9002457369732131</v>
      </c>
      <c r="D665" s="2">
        <f t="shared" si="245"/>
        <v>0.96565766810460785</v>
      </c>
      <c r="E665" s="18">
        <f t="shared" si="253"/>
        <v>9.9163400314416226</v>
      </c>
      <c r="F665" s="21">
        <f t="shared" si="246"/>
        <v>7.1939581332810612</v>
      </c>
      <c r="G665" s="1">
        <f t="shared" si="247"/>
        <v>0</v>
      </c>
      <c r="H665" s="2">
        <f t="shared" si="243"/>
        <v>1569.1765099212053</v>
      </c>
      <c r="I665" s="19">
        <f t="shared" si="269"/>
        <v>679.29719044208014</v>
      </c>
      <c r="J665" s="20">
        <f t="shared" si="248"/>
        <v>0.90662482039686465</v>
      </c>
      <c r="K665" s="21">
        <f t="shared" si="249"/>
        <v>659.44882879588113</v>
      </c>
      <c r="L665" s="21">
        <f t="shared" si="244"/>
        <v>5.763956074097309</v>
      </c>
      <c r="M665" s="2">
        <f t="shared" si="254"/>
        <v>522.77814933553577</v>
      </c>
      <c r="N665" s="19">
        <f t="shared" si="267"/>
        <v>346.49921269096114</v>
      </c>
      <c r="O665" s="1">
        <f t="shared" si="255"/>
        <v>639</v>
      </c>
      <c r="P665" s="19">
        <f t="shared" si="256"/>
        <v>1030.3429714718611</v>
      </c>
      <c r="Q665" s="18">
        <f t="shared" si="257"/>
        <v>11.489506742311468</v>
      </c>
      <c r="R665" s="2">
        <f t="shared" si="258"/>
        <v>0.973826404225141</v>
      </c>
      <c r="S665" s="18">
        <f t="shared" si="259"/>
        <v>11.505737182381887</v>
      </c>
      <c r="T665" s="18">
        <f t="shared" si="260"/>
        <v>9.6429798858046656</v>
      </c>
      <c r="U665" s="1">
        <f t="shared" si="250"/>
        <v>0</v>
      </c>
      <c r="V665" s="2">
        <f t="shared" si="261"/>
        <v>2389.7352439858041</v>
      </c>
      <c r="W665" s="19">
        <f t="shared" si="262"/>
        <v>1034.5174216388762</v>
      </c>
      <c r="X665" s="20"/>
      <c r="Y665" s="2">
        <f t="shared" si="263"/>
        <v>1014.7507606458515</v>
      </c>
      <c r="Z665" s="21">
        <f t="shared" si="264"/>
        <v>7.7597323343865314</v>
      </c>
      <c r="AA665" s="2">
        <f t="shared" si="265"/>
        <v>808.20518253149601</v>
      </c>
      <c r="AB665" s="19">
        <f t="shared" si="268"/>
        <v>97.985179551194875</v>
      </c>
      <c r="AC665" s="2"/>
      <c r="AD665" s="18"/>
      <c r="AE665" s="118"/>
      <c r="AG665" s="2"/>
      <c r="AH665" s="19"/>
      <c r="AI665" s="20"/>
      <c r="AJ665" s="21"/>
      <c r="AK665" s="21"/>
      <c r="AM665" s="19"/>
      <c r="AN665" s="18"/>
      <c r="AO665" s="2"/>
      <c r="AP665" s="18"/>
      <c r="AQ665" s="118"/>
      <c r="AS665" s="2"/>
      <c r="AT665" s="19"/>
      <c r="AU665" s="20"/>
      <c r="AV665" s="21"/>
      <c r="AW665" s="21"/>
    </row>
    <row r="666" spans="1:49" x14ac:dyDescent="0.25">
      <c r="A666" s="1">
        <f t="shared" si="251"/>
        <v>640</v>
      </c>
      <c r="B666" s="19">
        <f t="shared" si="252"/>
        <v>679.29719044208014</v>
      </c>
      <c r="C666" s="18">
        <f t="shared" si="266"/>
        <v>9.9163400314416226</v>
      </c>
      <c r="D666" s="2">
        <f t="shared" si="245"/>
        <v>0.96574641776118397</v>
      </c>
      <c r="E666" s="18">
        <f t="shared" si="253"/>
        <v>9.9324358050709751</v>
      </c>
      <c r="F666" s="21">
        <f t="shared" si="246"/>
        <v>7.2169866085042731</v>
      </c>
      <c r="G666" s="1">
        <f t="shared" si="247"/>
        <v>0</v>
      </c>
      <c r="H666" s="2">
        <f t="shared" ref="H666:H729" si="270">(B666*2.31)+F666-G666</f>
        <v>1576.3934965297096</v>
      </c>
      <c r="I666" s="19">
        <f t="shared" si="269"/>
        <v>682.4214270691383</v>
      </c>
      <c r="J666" s="20">
        <f t="shared" si="248"/>
        <v>0.9065699166565776</v>
      </c>
      <c r="K666" s="21">
        <f t="shared" si="249"/>
        <v>662.57378399736342</v>
      </c>
      <c r="L666" s="21">
        <f t="shared" ref="L666:L729" si="271">($C$11*((0.4085*E666/$C$5^2))^2)/64.4</f>
        <v>5.7826828677195907</v>
      </c>
      <c r="M666" s="2">
        <f t="shared" si="254"/>
        <v>525.28147525229747</v>
      </c>
      <c r="N666" s="19">
        <f t="shared" si="267"/>
        <v>346.57388883896931</v>
      </c>
      <c r="O666" s="1">
        <f t="shared" si="255"/>
        <v>640</v>
      </c>
      <c r="P666" s="19">
        <f t="shared" si="256"/>
        <v>1034.5174216388762</v>
      </c>
      <c r="Q666" s="18">
        <f t="shared" si="257"/>
        <v>11.505737182381887</v>
      </c>
      <c r="R666" s="2">
        <f t="shared" si="258"/>
        <v>0.97390515743715145</v>
      </c>
      <c r="S666" s="18">
        <f t="shared" si="259"/>
        <v>11.521968935005839</v>
      </c>
      <c r="T666" s="18">
        <f t="shared" si="260"/>
        <v>9.669812804862369</v>
      </c>
      <c r="U666" s="1">
        <f t="shared" si="250"/>
        <v>0</v>
      </c>
      <c r="V666" s="2">
        <f t="shared" si="261"/>
        <v>2399.4050567906665</v>
      </c>
      <c r="W666" s="19">
        <f t="shared" si="262"/>
        <v>1038.7034877881674</v>
      </c>
      <c r="X666" s="20"/>
      <c r="Y666" s="2">
        <f t="shared" si="263"/>
        <v>1018.9377895903569</v>
      </c>
      <c r="Z666" s="21">
        <f t="shared" si="264"/>
        <v>7.7816419084902027</v>
      </c>
      <c r="AA666" s="2">
        <f t="shared" si="265"/>
        <v>811.57385868235758</v>
      </c>
      <c r="AB666" s="19">
        <f t="shared" si="268"/>
        <v>98.049539971057527</v>
      </c>
      <c r="AC666" s="2"/>
      <c r="AD666" s="18"/>
      <c r="AE666" s="118"/>
      <c r="AG666" s="2"/>
      <c r="AH666" s="19"/>
      <c r="AI666" s="20"/>
      <c r="AJ666" s="21"/>
      <c r="AK666" s="21"/>
      <c r="AM666" s="19"/>
      <c r="AN666" s="18"/>
      <c r="AO666" s="2"/>
      <c r="AP666" s="18"/>
      <c r="AQ666" s="118"/>
      <c r="AS666" s="2"/>
      <c r="AT666" s="19"/>
      <c r="AU666" s="20"/>
      <c r="AV666" s="21"/>
      <c r="AW666" s="21"/>
    </row>
    <row r="667" spans="1:49" x14ac:dyDescent="0.25">
      <c r="A667" s="1">
        <f t="shared" si="251"/>
        <v>641</v>
      </c>
      <c r="B667" s="19">
        <f t="shared" si="252"/>
        <v>682.4214270691383</v>
      </c>
      <c r="C667" s="18">
        <f t="shared" si="266"/>
        <v>9.9324358050709751</v>
      </c>
      <c r="D667" s="2">
        <f t="shared" ref="D667:D730" si="272">$C$17*I666^$C$18</f>
        <v>0.96583505175769779</v>
      </c>
      <c r="E667" s="18">
        <f t="shared" si="253"/>
        <v>9.9485330559336038</v>
      </c>
      <c r="F667" s="21">
        <f t="shared" ref="F667:F730" si="273">(($C$7*($C$16/12)*(E667)^1.852)/($C$5^4.871)+L667)-G667</f>
        <v>7.2400535174844114</v>
      </c>
      <c r="G667" s="1">
        <f t="shared" ref="G667:G730" si="274">$C$9*($C$16/12)/100</f>
        <v>0</v>
      </c>
      <c r="H667" s="2">
        <f t="shared" si="270"/>
        <v>1583.6335500471939</v>
      </c>
      <c r="I667" s="19">
        <f t="shared" si="269"/>
        <v>685.55564937107965</v>
      </c>
      <c r="J667" s="20">
        <f t="shared" ref="J667:J730" si="275">(1-1.27*0.05)*($D$26/((E667*60)/((A667/($C$16/12)+1))))</f>
        <v>0.90651505596808568</v>
      </c>
      <c r="K667" s="21">
        <f t="shared" ref="K667:K730" si="276">K666+(F667*0.433)</f>
        <v>665.70872717043414</v>
      </c>
      <c r="L667" s="21">
        <f t="shared" si="271"/>
        <v>5.8014417560965992</v>
      </c>
      <c r="M667" s="2">
        <f t="shared" si="254"/>
        <v>527.79292189995829</v>
      </c>
      <c r="N667" s="19">
        <f t="shared" si="267"/>
        <v>346.64844397231428</v>
      </c>
      <c r="O667" s="1">
        <f t="shared" si="255"/>
        <v>641</v>
      </c>
      <c r="P667" s="19">
        <f t="shared" si="256"/>
        <v>1038.7034877881674</v>
      </c>
      <c r="Q667" s="18">
        <f t="shared" si="257"/>
        <v>11.521968935005839</v>
      </c>
      <c r="R667" s="2">
        <f t="shared" si="258"/>
        <v>0.9739838176816108</v>
      </c>
      <c r="S667" s="18">
        <f t="shared" si="259"/>
        <v>11.538201998633866</v>
      </c>
      <c r="T667" s="18">
        <f t="shared" si="260"/>
        <v>9.696684695708818</v>
      </c>
      <c r="U667" s="1">
        <f t="shared" ref="U667:U730" si="277">$C$9*($C$16/12)/100</f>
        <v>0</v>
      </c>
      <c r="V667" s="2">
        <f t="shared" si="261"/>
        <v>2409.1017414863759</v>
      </c>
      <c r="W667" s="19">
        <f t="shared" si="262"/>
        <v>1042.9011867906388</v>
      </c>
      <c r="X667" s="20"/>
      <c r="Y667" s="2">
        <f t="shared" si="263"/>
        <v>1023.1364540635989</v>
      </c>
      <c r="Z667" s="21">
        <f t="shared" si="264"/>
        <v>7.8035841431347333</v>
      </c>
      <c r="AA667" s="2">
        <f t="shared" si="265"/>
        <v>814.95203363609551</v>
      </c>
      <c r="AB667" s="19">
        <f t="shared" si="268"/>
        <v>98.113809722179454</v>
      </c>
      <c r="AC667" s="2"/>
      <c r="AD667" s="18"/>
      <c r="AE667" s="118"/>
      <c r="AG667" s="2"/>
      <c r="AH667" s="19"/>
      <c r="AI667" s="20"/>
      <c r="AJ667" s="21"/>
      <c r="AK667" s="21"/>
      <c r="AM667" s="19"/>
      <c r="AN667" s="18"/>
      <c r="AO667" s="2"/>
      <c r="AP667" s="18"/>
      <c r="AQ667" s="118"/>
      <c r="AS667" s="2"/>
      <c r="AT667" s="19"/>
      <c r="AU667" s="20"/>
      <c r="AV667" s="21"/>
      <c r="AW667" s="21"/>
    </row>
    <row r="668" spans="1:49" x14ac:dyDescent="0.25">
      <c r="A668" s="1">
        <f t="shared" ref="A668:A731" si="278">A667+$C$16/12</f>
        <v>642</v>
      </c>
      <c r="B668" s="19">
        <f t="shared" ref="B668:B731" si="279">I667</f>
        <v>685.55564937107965</v>
      </c>
      <c r="C668" s="18">
        <f t="shared" si="266"/>
        <v>9.9485330559336038</v>
      </c>
      <c r="D668" s="2">
        <f t="shared" si="272"/>
        <v>0.96592357036885845</v>
      </c>
      <c r="E668" s="18">
        <f t="shared" ref="E668:E731" si="280">C668+D668/60</f>
        <v>9.9646317821064176</v>
      </c>
      <c r="F668" s="21">
        <f t="shared" si="273"/>
        <v>7.2631588660342317</v>
      </c>
      <c r="G668" s="1">
        <f t="shared" si="274"/>
        <v>0</v>
      </c>
      <c r="H668" s="2">
        <f t="shared" si="270"/>
        <v>1590.8967089132284</v>
      </c>
      <c r="I668" s="19">
        <f t="shared" si="269"/>
        <v>688.69987398841056</v>
      </c>
      <c r="J668" s="20">
        <f t="shared" si="275"/>
        <v>0.90646023832208444</v>
      </c>
      <c r="K668" s="21">
        <f t="shared" si="276"/>
        <v>668.85367495942694</v>
      </c>
      <c r="L668" s="21">
        <f t="shared" si="271"/>
        <v>5.8202327453449723</v>
      </c>
      <c r="M668" s="2">
        <f t="shared" ref="M668:M731" si="281">(L668/2.31)+M667</f>
        <v>530.31250317499939</v>
      </c>
      <c r="N668" s="19">
        <f t="shared" si="267"/>
        <v>346.72287847152376</v>
      </c>
      <c r="O668" s="1">
        <f t="shared" ref="O668:O731" si="282">O667+$C$16/12</f>
        <v>642</v>
      </c>
      <c r="P668" s="19">
        <f t="shared" ref="P668:P731" si="283">W667</f>
        <v>1042.9011867906388</v>
      </c>
      <c r="Q668" s="18">
        <f t="shared" ref="Q668:Q731" si="284">S667</f>
        <v>11.538201998633866</v>
      </c>
      <c r="R668" s="2">
        <f t="shared" ref="R668:R731" si="285">$C$17*W667^$C$18</f>
        <v>0.97406238517122512</v>
      </c>
      <c r="S668" s="18">
        <f t="shared" ref="S668:S731" si="286">Q668+R668/60</f>
        <v>11.554436371720053</v>
      </c>
      <c r="T668" s="18">
        <f t="shared" ref="T668:T731" si="287">(($C$7*($C$16/12)*(S668)^1.852)/($C$5^4.871)+Z668)-U668</f>
        <v>9.7235955634649152</v>
      </c>
      <c r="U668" s="1">
        <f t="shared" si="277"/>
        <v>0</v>
      </c>
      <c r="V668" s="2">
        <f t="shared" ref="V668:V731" si="288">(P668*2.31)+T668-U668</f>
        <v>2418.825337049841</v>
      </c>
      <c r="W668" s="19">
        <f t="shared" ref="W668:W731" si="289">V668/2.31</f>
        <v>1047.1105355194118</v>
      </c>
      <c r="X668" s="20"/>
      <c r="Y668" s="2">
        <f t="shared" ref="Y668:Y731" si="290">Y667+(T668*0.433)</f>
        <v>1027.3467709425793</v>
      </c>
      <c r="Z668" s="21">
        <f t="shared" ref="Z668:Z731" si="291">($C$11*((0.4085*S668/$C$5^2))^2)/64.4</f>
        <v>7.8255590437107845</v>
      </c>
      <c r="AA668" s="2">
        <f t="shared" ref="AA668:AA731" si="292">(Z668/2.31)+AA667</f>
        <v>818.3397215338058</v>
      </c>
      <c r="AB668" s="19">
        <f t="shared" si="268"/>
        <v>98.177989052371032</v>
      </c>
      <c r="AC668" s="2"/>
      <c r="AD668" s="18"/>
      <c r="AE668" s="118"/>
      <c r="AG668" s="2"/>
      <c r="AH668" s="19"/>
      <c r="AI668" s="20"/>
      <c r="AJ668" s="21"/>
      <c r="AK668" s="21"/>
      <c r="AM668" s="19"/>
      <c r="AN668" s="18"/>
      <c r="AO668" s="2"/>
      <c r="AP668" s="18"/>
      <c r="AQ668" s="118"/>
      <c r="AS668" s="2"/>
      <c r="AT668" s="19"/>
      <c r="AU668" s="20"/>
      <c r="AV668" s="21"/>
      <c r="AW668" s="21"/>
    </row>
    <row r="669" spans="1:49" x14ac:dyDescent="0.25">
      <c r="A669" s="1">
        <f t="shared" si="278"/>
        <v>643</v>
      </c>
      <c r="B669" s="19">
        <f t="shared" si="279"/>
        <v>688.69987398841056</v>
      </c>
      <c r="C669" s="18">
        <f t="shared" ref="C669:C732" si="293">E668</f>
        <v>9.9646317821064176</v>
      </c>
      <c r="D669" s="2">
        <f t="shared" si="272"/>
        <v>0.9660119738686318</v>
      </c>
      <c r="E669" s="18">
        <f t="shared" si="280"/>
        <v>9.9807319816708944</v>
      </c>
      <c r="F669" s="21">
        <f t="shared" si="273"/>
        <v>7.286302659958471</v>
      </c>
      <c r="G669" s="1">
        <f t="shared" si="274"/>
        <v>0</v>
      </c>
      <c r="H669" s="2">
        <f t="shared" si="270"/>
        <v>1598.1830115731868</v>
      </c>
      <c r="I669" s="19">
        <f t="shared" si="269"/>
        <v>691.8541175641501</v>
      </c>
      <c r="J669" s="20">
        <f t="shared" si="275"/>
        <v>0.90640546370883446</v>
      </c>
      <c r="K669" s="21">
        <f t="shared" si="276"/>
        <v>672.00864401118895</v>
      </c>
      <c r="L669" s="21">
        <f t="shared" si="271"/>
        <v>5.839055841572935</v>
      </c>
      <c r="M669" s="2">
        <f t="shared" si="281"/>
        <v>532.84023297654608</v>
      </c>
      <c r="N669" s="19">
        <f t="shared" ref="N669:N732" si="294">($C$16/12)/(0.4085*E668/$C$5^2)+N668</f>
        <v>346.7971927153493</v>
      </c>
      <c r="O669" s="1">
        <f t="shared" si="282"/>
        <v>643</v>
      </c>
      <c r="P669" s="19">
        <f t="shared" si="283"/>
        <v>1047.1105355194118</v>
      </c>
      <c r="Q669" s="18">
        <f t="shared" si="284"/>
        <v>11.554436371720053</v>
      </c>
      <c r="R669" s="2">
        <f t="shared" si="285"/>
        <v>0.9741408601180418</v>
      </c>
      <c r="S669" s="18">
        <f t="shared" si="286"/>
        <v>11.570672052722021</v>
      </c>
      <c r="T669" s="18">
        <f t="shared" si="287"/>
        <v>9.7505454132455327</v>
      </c>
      <c r="U669" s="1">
        <f t="shared" si="277"/>
        <v>0</v>
      </c>
      <c r="V669" s="2">
        <f t="shared" si="288"/>
        <v>2428.5758824630871</v>
      </c>
      <c r="W669" s="19">
        <f t="shared" si="289"/>
        <v>1051.3315508498213</v>
      </c>
      <c r="X669" s="20"/>
      <c r="Y669" s="2">
        <f t="shared" si="290"/>
        <v>1031.5687571065146</v>
      </c>
      <c r="Z669" s="21">
        <f t="shared" si="291"/>
        <v>7.8475666156026396</v>
      </c>
      <c r="AA669" s="2">
        <f t="shared" si="292"/>
        <v>821.73693651891517</v>
      </c>
      <c r="AB669" s="19">
        <f t="shared" ref="AB669:AB732" si="295">($C$16/12)/(0.4085*S668/$C$5^2)+AB668</f>
        <v>98.242078208437519</v>
      </c>
      <c r="AC669" s="2"/>
      <c r="AD669" s="18"/>
      <c r="AE669" s="118"/>
      <c r="AG669" s="2"/>
      <c r="AH669" s="19"/>
      <c r="AI669" s="20"/>
      <c r="AJ669" s="21"/>
      <c r="AK669" s="21"/>
      <c r="AM669" s="19"/>
      <c r="AN669" s="18"/>
      <c r="AO669" s="2"/>
      <c r="AP669" s="18"/>
      <c r="AQ669" s="118"/>
      <c r="AS669" s="2"/>
      <c r="AT669" s="19"/>
      <c r="AU669" s="20"/>
      <c r="AV669" s="21"/>
      <c r="AW669" s="21"/>
    </row>
    <row r="670" spans="1:49" x14ac:dyDescent="0.25">
      <c r="A670" s="1">
        <f t="shared" si="278"/>
        <v>644</v>
      </c>
      <c r="B670" s="19">
        <f t="shared" si="279"/>
        <v>691.8541175641501</v>
      </c>
      <c r="C670" s="18">
        <f t="shared" si="293"/>
        <v>9.9807319816708944</v>
      </c>
      <c r="D670" s="2">
        <f t="shared" si="272"/>
        <v>0.96610026253023928</v>
      </c>
      <c r="E670" s="18">
        <f t="shared" si="280"/>
        <v>9.9968336527130646</v>
      </c>
      <c r="F670" s="21">
        <f t="shared" si="273"/>
        <v>7.3094849050538944</v>
      </c>
      <c r="G670" s="1">
        <f t="shared" si="274"/>
        <v>0</v>
      </c>
      <c r="H670" s="2">
        <f t="shared" si="270"/>
        <v>1605.4924964782408</v>
      </c>
      <c r="I670" s="19">
        <f t="shared" si="269"/>
        <v>695.01839674382722</v>
      </c>
      <c r="J670" s="20">
        <f t="shared" si="275"/>
        <v>0.90635073211816553</v>
      </c>
      <c r="K670" s="21">
        <f t="shared" si="276"/>
        <v>675.17365097507729</v>
      </c>
      <c r="L670" s="21">
        <f t="shared" si="271"/>
        <v>5.8579110508803387</v>
      </c>
      <c r="M670" s="2">
        <f t="shared" si="281"/>
        <v>535.37612520636435</v>
      </c>
      <c r="N670" s="19">
        <f t="shared" si="294"/>
        <v>346.87138708077731</v>
      </c>
      <c r="O670" s="1">
        <f t="shared" si="282"/>
        <v>644</v>
      </c>
      <c r="P670" s="19">
        <f t="shared" si="283"/>
        <v>1051.3315508498213</v>
      </c>
      <c r="Q670" s="18">
        <f t="shared" si="284"/>
        <v>11.570672052722021</v>
      </c>
      <c r="R670" s="2">
        <f t="shared" si="285"/>
        <v>0.97421924273345128</v>
      </c>
      <c r="S670" s="18">
        <f t="shared" si="286"/>
        <v>11.586909040100911</v>
      </c>
      <c r="T670" s="18">
        <f t="shared" si="287"/>
        <v>9.7775342501595244</v>
      </c>
      <c r="U670" s="1">
        <f t="shared" si="277"/>
        <v>0</v>
      </c>
      <c r="V670" s="2">
        <f t="shared" si="288"/>
        <v>2438.3534167132466</v>
      </c>
      <c r="W670" s="19">
        <f t="shared" si="289"/>
        <v>1055.5642496594141</v>
      </c>
      <c r="X670" s="20"/>
      <c r="Y670" s="2">
        <f t="shared" si="290"/>
        <v>1035.8024294368336</v>
      </c>
      <c r="Z670" s="21">
        <f t="shared" si="291"/>
        <v>7.8696068641882428</v>
      </c>
      <c r="AA670" s="2">
        <f t="shared" si="292"/>
        <v>825.14369273717853</v>
      </c>
      <c r="AB670" s="19">
        <f t="shared" si="295"/>
        <v>98.306077436184466</v>
      </c>
      <c r="AC670" s="2"/>
      <c r="AD670" s="18"/>
      <c r="AE670" s="118"/>
      <c r="AG670" s="2"/>
      <c r="AH670" s="19"/>
      <c r="AI670" s="20"/>
      <c r="AJ670" s="21"/>
      <c r="AK670" s="21"/>
      <c r="AM670" s="19"/>
      <c r="AN670" s="18"/>
      <c r="AO670" s="2"/>
      <c r="AP670" s="18"/>
      <c r="AQ670" s="118"/>
      <c r="AS670" s="2"/>
      <c r="AT670" s="19"/>
      <c r="AU670" s="20"/>
      <c r="AV670" s="21"/>
      <c r="AW670" s="21"/>
    </row>
    <row r="671" spans="1:49" x14ac:dyDescent="0.25">
      <c r="A671" s="1">
        <f t="shared" si="278"/>
        <v>645</v>
      </c>
      <c r="B671" s="19">
        <f t="shared" si="279"/>
        <v>695.01839674382722</v>
      </c>
      <c r="C671" s="18">
        <f t="shared" si="293"/>
        <v>9.9968336527130646</v>
      </c>
      <c r="D671" s="2">
        <f t="shared" si="272"/>
        <v>0.96618843662616016</v>
      </c>
      <c r="E671" s="18">
        <f t="shared" si="280"/>
        <v>10.012936793323501</v>
      </c>
      <c r="F671" s="21">
        <f t="shared" si="273"/>
        <v>7.3327056071092951</v>
      </c>
      <c r="G671" s="1">
        <f t="shared" si="274"/>
        <v>0</v>
      </c>
      <c r="H671" s="2">
        <f t="shared" si="270"/>
        <v>1612.8252020853504</v>
      </c>
      <c r="I671" s="19">
        <f t="shared" si="269"/>
        <v>698.1927281754763</v>
      </c>
      <c r="J671" s="20">
        <f t="shared" si="275"/>
        <v>0.90629604353948234</v>
      </c>
      <c r="K671" s="21">
        <f t="shared" si="276"/>
        <v>678.34871250295566</v>
      </c>
      <c r="L671" s="21">
        <f t="shared" si="271"/>
        <v>5.8767983793586742</v>
      </c>
      <c r="M671" s="2">
        <f t="shared" si="281"/>
        <v>537.9201937688573</v>
      </c>
      <c r="N671" s="19">
        <f t="shared" si="294"/>
        <v>346.94546194303996</v>
      </c>
      <c r="O671" s="1">
        <f t="shared" si="282"/>
        <v>645</v>
      </c>
      <c r="P671" s="19">
        <f t="shared" si="283"/>
        <v>1055.5642496594141</v>
      </c>
      <c r="Q671" s="18">
        <f t="shared" si="284"/>
        <v>11.586909040100911</v>
      </c>
      <c r="R671" s="2">
        <f t="shared" si="285"/>
        <v>0.9742975332281899</v>
      </c>
      <c r="S671" s="18">
        <f t="shared" si="286"/>
        <v>11.603147332321381</v>
      </c>
      <c r="T671" s="18">
        <f t="shared" si="287"/>
        <v>9.8045620793097168</v>
      </c>
      <c r="U671" s="1">
        <f t="shared" si="277"/>
        <v>0</v>
      </c>
      <c r="V671" s="2">
        <f t="shared" si="288"/>
        <v>2448.1579787925562</v>
      </c>
      <c r="W671" s="19">
        <f t="shared" si="289"/>
        <v>1059.8086488279464</v>
      </c>
      <c r="X671" s="20"/>
      <c r="Y671" s="2">
        <f t="shared" si="290"/>
        <v>1040.0478048171747</v>
      </c>
      <c r="Z671" s="21">
        <f t="shared" si="291"/>
        <v>7.8916797948391819</v>
      </c>
      <c r="AA671" s="2">
        <f t="shared" si="292"/>
        <v>828.560004336676</v>
      </c>
      <c r="AB671" s="19">
        <f t="shared" si="295"/>
        <v>98.369986980423107</v>
      </c>
      <c r="AC671" s="2"/>
      <c r="AD671" s="18"/>
      <c r="AE671" s="118"/>
      <c r="AG671" s="2"/>
      <c r="AH671" s="19"/>
      <c r="AI671" s="20"/>
      <c r="AJ671" s="21"/>
      <c r="AK671" s="21"/>
      <c r="AM671" s="19"/>
      <c r="AN671" s="18"/>
      <c r="AO671" s="2"/>
      <c r="AP671" s="18"/>
      <c r="AQ671" s="118"/>
      <c r="AS671" s="2"/>
      <c r="AT671" s="19"/>
      <c r="AU671" s="20"/>
      <c r="AV671" s="21"/>
      <c r="AW671" s="21"/>
    </row>
    <row r="672" spans="1:49" x14ac:dyDescent="0.25">
      <c r="A672" s="1">
        <f t="shared" si="278"/>
        <v>646</v>
      </c>
      <c r="B672" s="19">
        <f t="shared" si="279"/>
        <v>698.1927281754763</v>
      </c>
      <c r="C672" s="18">
        <f t="shared" si="293"/>
        <v>10.012936793323501</v>
      </c>
      <c r="D672" s="2">
        <f t="shared" si="272"/>
        <v>0.96627649642813074</v>
      </c>
      <c r="E672" s="18">
        <f t="shared" si="280"/>
        <v>10.029041401597302</v>
      </c>
      <c r="F672" s="21">
        <f t="shared" si="273"/>
        <v>7.3559647719055246</v>
      </c>
      <c r="G672" s="1">
        <f t="shared" si="274"/>
        <v>0</v>
      </c>
      <c r="H672" s="2">
        <f t="shared" si="270"/>
        <v>1620.1811668572559</v>
      </c>
      <c r="I672" s="19">
        <f t="shared" si="269"/>
        <v>701.37712850963453</v>
      </c>
      <c r="J672" s="20">
        <f t="shared" si="275"/>
        <v>0.90624139796176928</v>
      </c>
      <c r="K672" s="21">
        <f t="shared" si="276"/>
        <v>681.53384524919079</v>
      </c>
      <c r="L672" s="21">
        <f t="shared" si="271"/>
        <v>5.8957178330910889</v>
      </c>
      <c r="M672" s="2">
        <f t="shared" si="281"/>
        <v>540.47245257106124</v>
      </c>
      <c r="N672" s="19">
        <f t="shared" si="294"/>
        <v>347.01941767562596</v>
      </c>
      <c r="O672" s="1">
        <f t="shared" si="282"/>
        <v>646</v>
      </c>
      <c r="P672" s="19">
        <f t="shared" si="283"/>
        <v>1059.8086488279464</v>
      </c>
      <c r="Q672" s="18">
        <f t="shared" si="284"/>
        <v>11.603147332321381</v>
      </c>
      <c r="R672" s="2">
        <f t="shared" si="285"/>
        <v>0.97437573181234127</v>
      </c>
      <c r="S672" s="18">
        <f t="shared" si="286"/>
        <v>11.619386927851586</v>
      </c>
      <c r="T672" s="18">
        <f t="shared" si="287"/>
        <v>9.8316289057929733</v>
      </c>
      <c r="U672" s="1">
        <f t="shared" si="277"/>
        <v>0</v>
      </c>
      <c r="V672" s="2">
        <f t="shared" si="288"/>
        <v>2457.9896076983491</v>
      </c>
      <c r="W672" s="19">
        <f t="shared" si="289"/>
        <v>1064.0647652373805</v>
      </c>
      <c r="X672" s="20"/>
      <c r="Y672" s="2">
        <f t="shared" si="290"/>
        <v>1044.3049001333829</v>
      </c>
      <c r="Z672" s="21">
        <f t="shared" si="291"/>
        <v>7.9137854129207383</v>
      </c>
      <c r="AA672" s="2">
        <f t="shared" si="292"/>
        <v>831.98588546781048</v>
      </c>
      <c r="AB672" s="19">
        <f t="shared" si="295"/>
        <v>98.433807084975655</v>
      </c>
      <c r="AC672" s="2"/>
      <c r="AD672" s="18"/>
      <c r="AE672" s="118"/>
      <c r="AG672" s="2"/>
      <c r="AH672" s="19"/>
      <c r="AI672" s="20"/>
      <c r="AJ672" s="21"/>
      <c r="AK672" s="21"/>
      <c r="AM672" s="19"/>
      <c r="AN672" s="18"/>
      <c r="AO672" s="2"/>
      <c r="AP672" s="18"/>
      <c r="AQ672" s="118"/>
      <c r="AS672" s="2"/>
      <c r="AT672" s="19"/>
      <c r="AU672" s="20"/>
      <c r="AV672" s="21"/>
      <c r="AW672" s="21"/>
    </row>
    <row r="673" spans="1:49" x14ac:dyDescent="0.25">
      <c r="A673" s="1">
        <f t="shared" si="278"/>
        <v>647</v>
      </c>
      <c r="B673" s="19">
        <f t="shared" si="279"/>
        <v>701.37712850963453</v>
      </c>
      <c r="C673" s="18">
        <f t="shared" si="293"/>
        <v>10.029041401597302</v>
      </c>
      <c r="D673" s="2">
        <f t="shared" si="272"/>
        <v>0.96636444220714501</v>
      </c>
      <c r="E673" s="18">
        <f t="shared" si="280"/>
        <v>10.045147475634089</v>
      </c>
      <c r="F673" s="21">
        <f t="shared" si="273"/>
        <v>7.3792624052155285</v>
      </c>
      <c r="G673" s="1">
        <f t="shared" si="274"/>
        <v>0</v>
      </c>
      <c r="H673" s="2">
        <f t="shared" si="270"/>
        <v>1627.5604292624714</v>
      </c>
      <c r="I673" s="19">
        <f t="shared" ref="I673:I736" si="296">H673/2.31</f>
        <v>704.57161439933827</v>
      </c>
      <c r="J673" s="20">
        <f t="shared" si="275"/>
        <v>0.90618679537359392</v>
      </c>
      <c r="K673" s="21">
        <f t="shared" si="276"/>
        <v>684.72906587064915</v>
      </c>
      <c r="L673" s="21">
        <f t="shared" si="271"/>
        <v>5.9146694181524335</v>
      </c>
      <c r="M673" s="2">
        <f t="shared" si="281"/>
        <v>543.03291552264238</v>
      </c>
      <c r="N673" s="19">
        <f t="shared" si="294"/>
        <v>347.09325465029133</v>
      </c>
      <c r="O673" s="1">
        <f t="shared" si="282"/>
        <v>647</v>
      </c>
      <c r="P673" s="19">
        <f t="shared" si="283"/>
        <v>1064.0647652373805</v>
      </c>
      <c r="Q673" s="18">
        <f t="shared" si="284"/>
        <v>11.619386927851586</v>
      </c>
      <c r="R673" s="2">
        <f t="shared" si="285"/>
        <v>0.97445383869533875</v>
      </c>
      <c r="S673" s="18">
        <f t="shared" si="286"/>
        <v>11.635627825163175</v>
      </c>
      <c r="T673" s="18">
        <f t="shared" si="287"/>
        <v>9.8587347347001533</v>
      </c>
      <c r="U673" s="1">
        <f t="shared" si="277"/>
        <v>0</v>
      </c>
      <c r="V673" s="2">
        <f t="shared" si="288"/>
        <v>2467.8483424330493</v>
      </c>
      <c r="W673" s="19">
        <f t="shared" si="289"/>
        <v>1068.3326157718827</v>
      </c>
      <c r="X673" s="20"/>
      <c r="Y673" s="2">
        <f t="shared" si="290"/>
        <v>1048.5737322735081</v>
      </c>
      <c r="Z673" s="21">
        <f t="shared" si="291"/>
        <v>7.9359237237918725</v>
      </c>
      <c r="AA673" s="2">
        <f t="shared" si="292"/>
        <v>835.42135028330483</v>
      </c>
      <c r="AB673" s="19">
        <f t="shared" si="295"/>
        <v>98.497537992680634</v>
      </c>
      <c r="AC673" s="2"/>
      <c r="AD673" s="18"/>
      <c r="AE673" s="118"/>
      <c r="AG673" s="2"/>
      <c r="AH673" s="19"/>
      <c r="AI673" s="20"/>
      <c r="AJ673" s="21"/>
      <c r="AK673" s="21"/>
      <c r="AM673" s="19"/>
      <c r="AN673" s="18"/>
      <c r="AO673" s="2"/>
      <c r="AP673" s="18"/>
      <c r="AQ673" s="118"/>
      <c r="AS673" s="2"/>
      <c r="AT673" s="19"/>
      <c r="AU673" s="20"/>
      <c r="AV673" s="21"/>
      <c r="AW673" s="21"/>
    </row>
    <row r="674" spans="1:49" x14ac:dyDescent="0.25">
      <c r="A674" s="1">
        <f t="shared" si="278"/>
        <v>648</v>
      </c>
      <c r="B674" s="19">
        <f t="shared" si="279"/>
        <v>704.57161439933827</v>
      </c>
      <c r="C674" s="18">
        <f t="shared" si="293"/>
        <v>10.045147475634089</v>
      </c>
      <c r="D674" s="2">
        <f t="shared" si="272"/>
        <v>0.96645227423345581</v>
      </c>
      <c r="E674" s="18">
        <f t="shared" si="280"/>
        <v>10.061255013537979</v>
      </c>
      <c r="F674" s="21">
        <f t="shared" si="273"/>
        <v>7.4025985128043512</v>
      </c>
      <c r="G674" s="1">
        <f t="shared" si="274"/>
        <v>0</v>
      </c>
      <c r="H674" s="2">
        <f t="shared" si="270"/>
        <v>1634.9630277752758</v>
      </c>
      <c r="I674" s="19">
        <f t="shared" si="296"/>
        <v>707.77620250011933</v>
      </c>
      <c r="J674" s="20">
        <f t="shared" si="275"/>
        <v>0.90613223576311341</v>
      </c>
      <c r="K674" s="21">
        <f t="shared" si="276"/>
        <v>687.93439102669345</v>
      </c>
      <c r="L674" s="21">
        <f t="shared" si="271"/>
        <v>5.933653140609267</v>
      </c>
      <c r="M674" s="2">
        <f t="shared" si="281"/>
        <v>545.60159653589312</v>
      </c>
      <c r="N674" s="19">
        <f t="shared" si="294"/>
        <v>347.16697323707001</v>
      </c>
      <c r="O674" s="1">
        <f t="shared" si="282"/>
        <v>648</v>
      </c>
      <c r="P674" s="19">
        <f t="shared" si="283"/>
        <v>1068.3326157718827</v>
      </c>
      <c r="Q674" s="18">
        <f t="shared" si="284"/>
        <v>11.635627825163175</v>
      </c>
      <c r="R674" s="2">
        <f t="shared" si="285"/>
        <v>0.97453185408596776</v>
      </c>
      <c r="S674" s="18">
        <f t="shared" si="286"/>
        <v>11.651870022731273</v>
      </c>
      <c r="T674" s="18">
        <f t="shared" si="287"/>
        <v>9.8858795711161704</v>
      </c>
      <c r="U674" s="1">
        <f t="shared" si="277"/>
        <v>0</v>
      </c>
      <c r="V674" s="2">
        <f t="shared" si="288"/>
        <v>2477.7342220041655</v>
      </c>
      <c r="W674" s="19">
        <f t="shared" si="289"/>
        <v>1072.6122173178205</v>
      </c>
      <c r="X674" s="20"/>
      <c r="Y674" s="2">
        <f t="shared" si="290"/>
        <v>1052.8543181278014</v>
      </c>
      <c r="Z674" s="21">
        <f t="shared" si="291"/>
        <v>7.9580947328052698</v>
      </c>
      <c r="AA674" s="2">
        <f t="shared" si="292"/>
        <v>838.86641293819889</v>
      </c>
      <c r="AB674" s="19">
        <f t="shared" si="295"/>
        <v>98.561179945398123</v>
      </c>
      <c r="AC674" s="2"/>
      <c r="AD674" s="18"/>
      <c r="AE674" s="118"/>
      <c r="AG674" s="2"/>
      <c r="AH674" s="19"/>
      <c r="AI674" s="20"/>
      <c r="AJ674" s="21"/>
      <c r="AK674" s="21"/>
      <c r="AM674" s="19"/>
      <c r="AN674" s="18"/>
      <c r="AO674" s="2"/>
      <c r="AP674" s="18"/>
      <c r="AQ674" s="118"/>
      <c r="AS674" s="2"/>
      <c r="AT674" s="19"/>
      <c r="AU674" s="20"/>
      <c r="AV674" s="21"/>
      <c r="AW674" s="21"/>
    </row>
    <row r="675" spans="1:49" x14ac:dyDescent="0.25">
      <c r="A675" s="1">
        <f t="shared" si="278"/>
        <v>649</v>
      </c>
      <c r="B675" s="19">
        <f t="shared" si="279"/>
        <v>707.77620250011933</v>
      </c>
      <c r="C675" s="18">
        <f t="shared" si="293"/>
        <v>10.061255013537979</v>
      </c>
      <c r="D675" s="2">
        <f t="shared" si="272"/>
        <v>0.96653999277657454</v>
      </c>
      <c r="E675" s="18">
        <f t="shared" si="280"/>
        <v>10.077364013417588</v>
      </c>
      <c r="F675" s="21">
        <f t="shared" si="273"/>
        <v>7.4259731004291805</v>
      </c>
      <c r="G675" s="1">
        <f t="shared" si="274"/>
        <v>0</v>
      </c>
      <c r="H675" s="2">
        <f t="shared" si="270"/>
        <v>1642.3890008757048</v>
      </c>
      <c r="I675" s="19">
        <f t="shared" si="296"/>
        <v>710.99090947000207</v>
      </c>
      <c r="J675" s="20">
        <f t="shared" si="275"/>
        <v>0.90607771911807722</v>
      </c>
      <c r="K675" s="21">
        <f t="shared" si="276"/>
        <v>691.1498373791793</v>
      </c>
      <c r="L675" s="21">
        <f t="shared" si="271"/>
        <v>5.9526690065198924</v>
      </c>
      <c r="M675" s="2">
        <f t="shared" si="281"/>
        <v>548.1785095257286</v>
      </c>
      <c r="N675" s="19">
        <f t="shared" si="294"/>
        <v>347.24057380428462</v>
      </c>
      <c r="O675" s="1">
        <f t="shared" si="282"/>
        <v>649</v>
      </c>
      <c r="P675" s="19">
        <f t="shared" si="283"/>
        <v>1072.6122173178205</v>
      </c>
      <c r="Q675" s="18">
        <f t="shared" si="284"/>
        <v>11.651870022731273</v>
      </c>
      <c r="R675" s="2">
        <f t="shared" si="285"/>
        <v>0.97460977819236783</v>
      </c>
      <c r="S675" s="18">
        <f t="shared" si="286"/>
        <v>11.668113519034479</v>
      </c>
      <c r="T675" s="18">
        <f t="shared" si="287"/>
        <v>9.9130634201199914</v>
      </c>
      <c r="U675" s="1">
        <f t="shared" si="277"/>
        <v>0</v>
      </c>
      <c r="V675" s="2">
        <f t="shared" si="288"/>
        <v>2487.6472854242857</v>
      </c>
      <c r="W675" s="19">
        <f t="shared" si="289"/>
        <v>1076.9035867637599</v>
      </c>
      <c r="X675" s="20"/>
      <c r="Y675" s="2">
        <f t="shared" si="290"/>
        <v>1057.1466745887135</v>
      </c>
      <c r="Z675" s="21">
        <f t="shared" si="291"/>
        <v>7.9802984453073309</v>
      </c>
      <c r="AA675" s="2">
        <f t="shared" si="292"/>
        <v>842.32108758984714</v>
      </c>
      <c r="AB675" s="19">
        <f t="shared" si="295"/>
        <v>98.624733184015</v>
      </c>
      <c r="AC675" s="2"/>
      <c r="AD675" s="18"/>
      <c r="AE675" s="118"/>
      <c r="AG675" s="2"/>
      <c r="AH675" s="19"/>
      <c r="AI675" s="20"/>
      <c r="AJ675" s="21"/>
      <c r="AK675" s="21"/>
      <c r="AM675" s="19"/>
      <c r="AN675" s="18"/>
      <c r="AO675" s="2"/>
      <c r="AP675" s="18"/>
      <c r="AQ675" s="118"/>
      <c r="AS675" s="2"/>
      <c r="AT675" s="19"/>
      <c r="AU675" s="20"/>
      <c r="AV675" s="21"/>
      <c r="AW675" s="21"/>
    </row>
    <row r="676" spans="1:49" x14ac:dyDescent="0.25">
      <c r="A676" s="1">
        <f t="shared" si="278"/>
        <v>650</v>
      </c>
      <c r="B676" s="19">
        <f t="shared" si="279"/>
        <v>710.99090947000207</v>
      </c>
      <c r="C676" s="18">
        <f t="shared" si="293"/>
        <v>10.077364013417588</v>
      </c>
      <c r="D676" s="2">
        <f t="shared" si="272"/>
        <v>0.96662759810527188</v>
      </c>
      <c r="E676" s="18">
        <f t="shared" si="280"/>
        <v>10.09347447338601</v>
      </c>
      <c r="F676" s="21">
        <f t="shared" si="273"/>
        <v>7.4493861738393568</v>
      </c>
      <c r="G676" s="1">
        <f t="shared" si="274"/>
        <v>0</v>
      </c>
      <c r="H676" s="2">
        <f t="shared" si="270"/>
        <v>1649.8383870495443</v>
      </c>
      <c r="I676" s="19">
        <f t="shared" si="296"/>
        <v>714.21575196949971</v>
      </c>
      <c r="J676" s="20">
        <f t="shared" si="275"/>
        <v>0.90602324542583379</v>
      </c>
      <c r="K676" s="21">
        <f t="shared" si="276"/>
        <v>694.37542159245174</v>
      </c>
      <c r="L676" s="21">
        <f t="shared" si="271"/>
        <v>5.9717170219343787</v>
      </c>
      <c r="M676" s="2">
        <f t="shared" si="281"/>
        <v>550.76366840968285</v>
      </c>
      <c r="N676" s="19">
        <f t="shared" si="294"/>
        <v>347.3140567185568</v>
      </c>
      <c r="O676" s="1">
        <f t="shared" si="282"/>
        <v>650</v>
      </c>
      <c r="P676" s="19">
        <f t="shared" si="283"/>
        <v>1076.9035867637599</v>
      </c>
      <c r="Q676" s="18">
        <f t="shared" si="284"/>
        <v>11.668113519034479</v>
      </c>
      <c r="R676" s="2">
        <f t="shared" si="285"/>
        <v>0.97468761122203429</v>
      </c>
      <c r="S676" s="18">
        <f t="shared" si="286"/>
        <v>11.684358312554847</v>
      </c>
      <c r="T676" s="18">
        <f t="shared" si="287"/>
        <v>9.9402862867846533</v>
      </c>
      <c r="U676" s="1">
        <f t="shared" si="277"/>
        <v>0</v>
      </c>
      <c r="V676" s="2">
        <f t="shared" si="288"/>
        <v>2497.5875717110703</v>
      </c>
      <c r="W676" s="19">
        <f t="shared" si="289"/>
        <v>1081.2067410004634</v>
      </c>
      <c r="X676" s="20"/>
      <c r="Y676" s="2">
        <f t="shared" si="290"/>
        <v>1061.4508185508912</v>
      </c>
      <c r="Z676" s="21">
        <f t="shared" si="291"/>
        <v>8.0025348666382072</v>
      </c>
      <c r="AA676" s="2">
        <f t="shared" si="292"/>
        <v>845.78538839791565</v>
      </c>
      <c r="AB676" s="19">
        <f t="shared" si="295"/>
        <v>98.688197948450082</v>
      </c>
      <c r="AC676" s="2"/>
      <c r="AD676" s="18"/>
      <c r="AE676" s="118"/>
      <c r="AG676" s="2"/>
      <c r="AH676" s="19"/>
      <c r="AI676" s="20"/>
      <c r="AJ676" s="21"/>
      <c r="AK676" s="21"/>
      <c r="AM676" s="19"/>
      <c r="AN676" s="18"/>
      <c r="AO676" s="2"/>
      <c r="AP676" s="18"/>
      <c r="AQ676" s="118"/>
      <c r="AS676" s="2"/>
      <c r="AT676" s="19"/>
      <c r="AU676" s="20"/>
      <c r="AV676" s="21"/>
      <c r="AW676" s="21"/>
    </row>
    <row r="677" spans="1:49" x14ac:dyDescent="0.25">
      <c r="A677" s="1">
        <f t="shared" si="278"/>
        <v>651</v>
      </c>
      <c r="B677" s="19">
        <f t="shared" si="279"/>
        <v>714.21575196949971</v>
      </c>
      <c r="C677" s="18">
        <f t="shared" si="293"/>
        <v>10.09347447338601</v>
      </c>
      <c r="D677" s="2">
        <f t="shared" si="272"/>
        <v>0.96671509048757853</v>
      </c>
      <c r="E677" s="18">
        <f t="shared" si="280"/>
        <v>10.109586391560804</v>
      </c>
      <c r="F677" s="21">
        <f t="shared" si="273"/>
        <v>7.4728377387764056</v>
      </c>
      <c r="G677" s="1">
        <f t="shared" si="274"/>
        <v>0</v>
      </c>
      <c r="H677" s="2">
        <f t="shared" si="270"/>
        <v>1657.3112247883207</v>
      </c>
      <c r="I677" s="19">
        <f t="shared" si="296"/>
        <v>717.45074666161065</v>
      </c>
      <c r="J677" s="20">
        <f t="shared" si="275"/>
        <v>0.90596881467333323</v>
      </c>
      <c r="K677" s="21">
        <f t="shared" si="276"/>
        <v>697.6111603333419</v>
      </c>
      <c r="L677" s="21">
        <f t="shared" si="271"/>
        <v>5.9907971928945853</v>
      </c>
      <c r="M677" s="2">
        <f t="shared" si="281"/>
        <v>553.35708710790561</v>
      </c>
      <c r="N677" s="19">
        <f t="shared" si="294"/>
        <v>347.38742234481759</v>
      </c>
      <c r="O677" s="1">
        <f t="shared" si="282"/>
        <v>651</v>
      </c>
      <c r="P677" s="19">
        <f t="shared" si="283"/>
        <v>1081.2067410004634</v>
      </c>
      <c r="Q677" s="18">
        <f t="shared" si="284"/>
        <v>11.684358312554847</v>
      </c>
      <c r="R677" s="2">
        <f t="shared" si="285"/>
        <v>0.97476535338182102</v>
      </c>
      <c r="S677" s="18">
        <f t="shared" si="286"/>
        <v>11.700604401777877</v>
      </c>
      <c r="T677" s="18">
        <f t="shared" si="287"/>
        <v>9.9675481761772673</v>
      </c>
      <c r="U677" s="1">
        <f t="shared" si="277"/>
        <v>0</v>
      </c>
      <c r="V677" s="2">
        <f t="shared" si="288"/>
        <v>2507.5551198872477</v>
      </c>
      <c r="W677" s="19">
        <f t="shared" si="289"/>
        <v>1085.5216969208864</v>
      </c>
      <c r="X677" s="20"/>
      <c r="Y677" s="2">
        <f t="shared" si="290"/>
        <v>1065.7667669111759</v>
      </c>
      <c r="Z677" s="21">
        <f t="shared" si="291"/>
        <v>8.024804002131793</v>
      </c>
      <c r="AA677" s="2">
        <f t="shared" si="292"/>
        <v>849.25932952437961</v>
      </c>
      <c r="AB677" s="19">
        <f t="shared" si="295"/>
        <v>98.751574477659361</v>
      </c>
      <c r="AC677" s="2"/>
      <c r="AD677" s="18"/>
      <c r="AE677" s="118"/>
      <c r="AG677" s="2"/>
      <c r="AH677" s="19"/>
      <c r="AI677" s="20"/>
      <c r="AJ677" s="21"/>
      <c r="AK677" s="21"/>
      <c r="AM677" s="19"/>
      <c r="AN677" s="18"/>
      <c r="AO677" s="2"/>
      <c r="AP677" s="18"/>
      <c r="AQ677" s="118"/>
      <c r="AS677" s="2"/>
      <c r="AT677" s="19"/>
      <c r="AU677" s="20"/>
      <c r="AV677" s="21"/>
      <c r="AW677" s="21"/>
    </row>
    <row r="678" spans="1:49" x14ac:dyDescent="0.25">
      <c r="A678" s="1">
        <f t="shared" si="278"/>
        <v>652</v>
      </c>
      <c r="B678" s="19">
        <f t="shared" si="279"/>
        <v>717.45074666161065</v>
      </c>
      <c r="C678" s="18">
        <f t="shared" si="293"/>
        <v>10.109586391560804</v>
      </c>
      <c r="D678" s="2">
        <f t="shared" si="272"/>
        <v>0.9668024701907858</v>
      </c>
      <c r="E678" s="18">
        <f t="shared" si="280"/>
        <v>10.125699766063983</v>
      </c>
      <c r="F678" s="21">
        <f t="shared" si="273"/>
        <v>7.4963278009740444</v>
      </c>
      <c r="G678" s="1">
        <f t="shared" si="274"/>
        <v>0</v>
      </c>
      <c r="H678" s="2">
        <f t="shared" si="270"/>
        <v>1664.8075525892948</v>
      </c>
      <c r="I678" s="19">
        <f t="shared" si="296"/>
        <v>720.69591021181589</v>
      </c>
      <c r="J678" s="20">
        <f t="shared" si="275"/>
        <v>0.90591442684713286</v>
      </c>
      <c r="K678" s="21">
        <f t="shared" si="276"/>
        <v>700.85707027116371</v>
      </c>
      <c r="L678" s="21">
        <f t="shared" si="271"/>
        <v>6.0099095254341801</v>
      </c>
      <c r="M678" s="2">
        <f t="shared" si="281"/>
        <v>555.95877954315847</v>
      </c>
      <c r="N678" s="19">
        <f t="shared" si="294"/>
        <v>347.46067104631794</v>
      </c>
      <c r="O678" s="1">
        <f t="shared" si="282"/>
        <v>652</v>
      </c>
      <c r="P678" s="19">
        <f t="shared" si="283"/>
        <v>1085.5216969208864</v>
      </c>
      <c r="Q678" s="18">
        <f t="shared" si="284"/>
        <v>11.700604401777877</v>
      </c>
      <c r="R678" s="2">
        <f t="shared" si="285"/>
        <v>0.97484300487794195</v>
      </c>
      <c r="S678" s="18">
        <f t="shared" si="286"/>
        <v>11.716851785192508</v>
      </c>
      <c r="T678" s="18">
        <f t="shared" si="287"/>
        <v>9.9948490933590541</v>
      </c>
      <c r="U678" s="1">
        <f t="shared" si="277"/>
        <v>0</v>
      </c>
      <c r="V678" s="2">
        <f t="shared" si="288"/>
        <v>2517.5499689806065</v>
      </c>
      <c r="W678" s="19">
        <f t="shared" si="289"/>
        <v>1089.8484714201759</v>
      </c>
      <c r="X678" s="20"/>
      <c r="Y678" s="2">
        <f t="shared" si="290"/>
        <v>1070.0945365686002</v>
      </c>
      <c r="Z678" s="21">
        <f t="shared" si="291"/>
        <v>8.0471058571157741</v>
      </c>
      <c r="AA678" s="2">
        <f t="shared" si="292"/>
        <v>852.74292513352066</v>
      </c>
      <c r="AB678" s="19">
        <f t="shared" si="295"/>
        <v>98.814863009641087</v>
      </c>
      <c r="AC678" s="2"/>
      <c r="AD678" s="18"/>
      <c r="AE678" s="118"/>
      <c r="AG678" s="2"/>
      <c r="AH678" s="19"/>
      <c r="AI678" s="20"/>
      <c r="AJ678" s="21"/>
      <c r="AK678" s="21"/>
      <c r="AM678" s="19"/>
      <c r="AN678" s="18"/>
      <c r="AO678" s="2"/>
      <c r="AP678" s="18"/>
      <c r="AQ678" s="118"/>
      <c r="AS678" s="2"/>
      <c r="AT678" s="19"/>
      <c r="AU678" s="20"/>
      <c r="AV678" s="21"/>
      <c r="AW678" s="21"/>
    </row>
    <row r="679" spans="1:49" x14ac:dyDescent="0.25">
      <c r="A679" s="1">
        <f t="shared" si="278"/>
        <v>653</v>
      </c>
      <c r="B679" s="19">
        <f t="shared" si="279"/>
        <v>720.69591021181589</v>
      </c>
      <c r="C679" s="18">
        <f t="shared" si="293"/>
        <v>10.125699766063983</v>
      </c>
      <c r="D679" s="2">
        <f t="shared" si="272"/>
        <v>0.9668897374814468</v>
      </c>
      <c r="E679" s="18">
        <f t="shared" si="280"/>
        <v>10.141814595022007</v>
      </c>
      <c r="F679" s="21">
        <f t="shared" si="273"/>
        <v>7.5198563661582334</v>
      </c>
      <c r="G679" s="1">
        <f t="shared" si="274"/>
        <v>0</v>
      </c>
      <c r="H679" s="2">
        <f t="shared" si="270"/>
        <v>1672.3274089554529</v>
      </c>
      <c r="I679" s="19">
        <f t="shared" si="296"/>
        <v>723.95125928807488</v>
      </c>
      <c r="J679" s="20">
        <f t="shared" si="275"/>
        <v>0.90586008193340128</v>
      </c>
      <c r="K679" s="21">
        <f t="shared" si="276"/>
        <v>704.11316807771027</v>
      </c>
      <c r="L679" s="21">
        <f t="shared" si="271"/>
        <v>6.0290540255786755</v>
      </c>
      <c r="M679" s="2">
        <f t="shared" si="281"/>
        <v>558.56875964081155</v>
      </c>
      <c r="N679" s="19">
        <f t="shared" si="294"/>
        <v>347.53380318463883</v>
      </c>
      <c r="O679" s="1">
        <f t="shared" si="282"/>
        <v>653</v>
      </c>
      <c r="P679" s="19">
        <f t="shared" si="283"/>
        <v>1089.8484714201759</v>
      </c>
      <c r="Q679" s="18">
        <f t="shared" si="284"/>
        <v>11.716851785192508</v>
      </c>
      <c r="R679" s="2">
        <f t="shared" si="285"/>
        <v>0.97492056591597376</v>
      </c>
      <c r="S679" s="18">
        <f t="shared" si="286"/>
        <v>11.733100461291109</v>
      </c>
      <c r="T679" s="18">
        <f t="shared" si="287"/>
        <v>10.02218904338535</v>
      </c>
      <c r="U679" s="1">
        <f t="shared" si="277"/>
        <v>0</v>
      </c>
      <c r="V679" s="2">
        <f t="shared" si="288"/>
        <v>2527.572158023992</v>
      </c>
      <c r="W679" s="19">
        <f t="shared" si="289"/>
        <v>1094.1870813956675</v>
      </c>
      <c r="X679" s="20"/>
      <c r="Y679" s="2">
        <f t="shared" si="290"/>
        <v>1074.434144424386</v>
      </c>
      <c r="Z679" s="21">
        <f t="shared" si="291"/>
        <v>8.0694404369116182</v>
      </c>
      <c r="AA679" s="2">
        <f t="shared" si="292"/>
        <v>856.23618939192397</v>
      </c>
      <c r="AB679" s="19">
        <f t="shared" si="295"/>
        <v>98.878063781440829</v>
      </c>
      <c r="AC679" s="2"/>
      <c r="AD679" s="18"/>
      <c r="AE679" s="118"/>
      <c r="AG679" s="2"/>
      <c r="AH679" s="19"/>
      <c r="AI679" s="20"/>
      <c r="AJ679" s="21"/>
      <c r="AK679" s="21"/>
      <c r="AM679" s="19"/>
      <c r="AN679" s="18"/>
      <c r="AO679" s="2"/>
      <c r="AP679" s="18"/>
      <c r="AQ679" s="118"/>
      <c r="AS679" s="2"/>
      <c r="AT679" s="19"/>
      <c r="AU679" s="20"/>
      <c r="AV679" s="21"/>
      <c r="AW679" s="21"/>
    </row>
    <row r="680" spans="1:49" x14ac:dyDescent="0.25">
      <c r="A680" s="1">
        <f t="shared" si="278"/>
        <v>654</v>
      </c>
      <c r="B680" s="19">
        <f t="shared" si="279"/>
        <v>723.95125928807488</v>
      </c>
      <c r="C680" s="18">
        <f t="shared" si="293"/>
        <v>10.141814595022007</v>
      </c>
      <c r="D680" s="2">
        <f t="shared" si="272"/>
        <v>0.96697689262537556</v>
      </c>
      <c r="E680" s="18">
        <f t="shared" si="280"/>
        <v>10.157930876565763</v>
      </c>
      <c r="F680" s="21">
        <f t="shared" si="273"/>
        <v>7.5434234400471736</v>
      </c>
      <c r="G680" s="1">
        <f t="shared" si="274"/>
        <v>0</v>
      </c>
      <c r="H680" s="2">
        <f t="shared" si="270"/>
        <v>1679.8708323955002</v>
      </c>
      <c r="I680" s="19">
        <f t="shared" si="296"/>
        <v>727.21681056082264</v>
      </c>
      <c r="J680" s="20">
        <f t="shared" si="275"/>
        <v>0.90580577991792288</v>
      </c>
      <c r="K680" s="21">
        <f t="shared" si="276"/>
        <v>707.37947042725068</v>
      </c>
      <c r="L680" s="21">
        <f t="shared" si="271"/>
        <v>6.048230699345444</v>
      </c>
      <c r="M680" s="2">
        <f t="shared" si="281"/>
        <v>561.18704132883988</v>
      </c>
      <c r="N680" s="19">
        <f t="shared" si="294"/>
        <v>347.60681911970147</v>
      </c>
      <c r="O680" s="1">
        <f t="shared" si="282"/>
        <v>654</v>
      </c>
      <c r="P680" s="19">
        <f t="shared" si="283"/>
        <v>1094.1870813956675</v>
      </c>
      <c r="Q680" s="18">
        <f t="shared" si="284"/>
        <v>11.733100461291109</v>
      </c>
      <c r="R680" s="2">
        <f t="shared" si="285"/>
        <v>0.97499803670085772</v>
      </c>
      <c r="S680" s="18">
        <f t="shared" si="286"/>
        <v>11.749350428569457</v>
      </c>
      <c r="T680" s="18">
        <f t="shared" si="287"/>
        <v>10.049568031305618</v>
      </c>
      <c r="U680" s="1">
        <f t="shared" si="277"/>
        <v>0</v>
      </c>
      <c r="V680" s="2">
        <f t="shared" si="288"/>
        <v>2537.6217260552976</v>
      </c>
      <c r="W680" s="19">
        <f t="shared" si="289"/>
        <v>1098.537543746882</v>
      </c>
      <c r="X680" s="20"/>
      <c r="Y680" s="2">
        <f t="shared" si="290"/>
        <v>1078.7856073819414</v>
      </c>
      <c r="Z680" s="21">
        <f t="shared" si="291"/>
        <v>8.0918077468345952</v>
      </c>
      <c r="AA680" s="2">
        <f t="shared" si="292"/>
        <v>859.73913646847575</v>
      </c>
      <c r="AB680" s="19">
        <f t="shared" si="295"/>
        <v>98.941177029156592</v>
      </c>
      <c r="AC680" s="2"/>
      <c r="AD680" s="18"/>
      <c r="AE680" s="118"/>
      <c r="AG680" s="2"/>
      <c r="AH680" s="19"/>
      <c r="AI680" s="20"/>
      <c r="AJ680" s="21"/>
      <c r="AK680" s="21"/>
      <c r="AM680" s="19"/>
      <c r="AN680" s="18"/>
      <c r="AO680" s="2"/>
      <c r="AP680" s="18"/>
      <c r="AQ680" s="118"/>
      <c r="AS680" s="2"/>
      <c r="AT680" s="19"/>
      <c r="AU680" s="20"/>
      <c r="AV680" s="21"/>
      <c r="AW680" s="21"/>
    </row>
    <row r="681" spans="1:49" x14ac:dyDescent="0.25">
      <c r="A681" s="1">
        <f t="shared" si="278"/>
        <v>655</v>
      </c>
      <c r="B681" s="19">
        <f t="shared" si="279"/>
        <v>727.21681056082264</v>
      </c>
      <c r="C681" s="18">
        <f t="shared" si="293"/>
        <v>10.157930876565763</v>
      </c>
      <c r="D681" s="2">
        <f t="shared" si="272"/>
        <v>0.96706393588764983</v>
      </c>
      <c r="E681" s="18">
        <f t="shared" si="280"/>
        <v>10.174048608830557</v>
      </c>
      <c r="F681" s="21">
        <f t="shared" si="273"/>
        <v>7.5670290283513522</v>
      </c>
      <c r="G681" s="1">
        <f t="shared" si="274"/>
        <v>0</v>
      </c>
      <c r="H681" s="2">
        <f t="shared" si="270"/>
        <v>1687.4378614238517</v>
      </c>
      <c r="I681" s="19">
        <f t="shared" si="296"/>
        <v>730.49258070296605</v>
      </c>
      <c r="J681" s="20">
        <f t="shared" si="275"/>
        <v>0.90575152078610188</v>
      </c>
      <c r="K681" s="21">
        <f t="shared" si="276"/>
        <v>710.65599399652683</v>
      </c>
      <c r="L681" s="21">
        <f t="shared" si="271"/>
        <v>6.0674395527437488</v>
      </c>
      <c r="M681" s="2">
        <f t="shared" si="281"/>
        <v>563.81363853781988</v>
      </c>
      <c r="N681" s="19">
        <f t="shared" si="294"/>
        <v>347.67971920977749</v>
      </c>
      <c r="O681" s="1">
        <f t="shared" si="282"/>
        <v>655</v>
      </c>
      <c r="P681" s="19">
        <f t="shared" si="283"/>
        <v>1098.537543746882</v>
      </c>
      <c r="Q681" s="18">
        <f t="shared" si="284"/>
        <v>11.749350428569457</v>
      </c>
      <c r="R681" s="2">
        <f t="shared" si="285"/>
        <v>0.97507541743690174</v>
      </c>
      <c r="S681" s="18">
        <f t="shared" si="286"/>
        <v>11.76560168552674</v>
      </c>
      <c r="T681" s="18">
        <f t="shared" si="287"/>
        <v>10.076986062163472</v>
      </c>
      <c r="U681" s="1">
        <f t="shared" si="277"/>
        <v>0</v>
      </c>
      <c r="V681" s="2">
        <f t="shared" si="288"/>
        <v>2547.6987121174611</v>
      </c>
      <c r="W681" s="19">
        <f t="shared" si="289"/>
        <v>1102.8998753755243</v>
      </c>
      <c r="X681" s="20"/>
      <c r="Y681" s="2">
        <f t="shared" si="290"/>
        <v>1083.1489423468581</v>
      </c>
      <c r="Z681" s="21">
        <f t="shared" si="291"/>
        <v>8.1142077921938061</v>
      </c>
      <c r="AA681" s="2">
        <f t="shared" si="292"/>
        <v>863.25178053436048</v>
      </c>
      <c r="AB681" s="19">
        <f t="shared" si="295"/>
        <v>99.004202987943785</v>
      </c>
      <c r="AC681" s="2"/>
      <c r="AD681" s="18"/>
      <c r="AE681" s="118"/>
      <c r="AG681" s="2"/>
      <c r="AH681" s="19"/>
      <c r="AI681" s="20"/>
      <c r="AJ681" s="21"/>
      <c r="AK681" s="21"/>
      <c r="AM681" s="19"/>
      <c r="AN681" s="18"/>
      <c r="AO681" s="2"/>
      <c r="AP681" s="18"/>
      <c r="AQ681" s="118"/>
      <c r="AS681" s="2"/>
      <c r="AT681" s="19"/>
      <c r="AU681" s="20"/>
      <c r="AV681" s="21"/>
      <c r="AW681" s="21"/>
    </row>
    <row r="682" spans="1:49" x14ac:dyDescent="0.25">
      <c r="A682" s="1">
        <f t="shared" si="278"/>
        <v>656</v>
      </c>
      <c r="B682" s="19">
        <f t="shared" si="279"/>
        <v>730.49258070296605</v>
      </c>
      <c r="C682" s="18">
        <f t="shared" si="293"/>
        <v>10.174048608830557</v>
      </c>
      <c r="D682" s="2">
        <f t="shared" si="272"/>
        <v>0.9671508675326097</v>
      </c>
      <c r="E682" s="18">
        <f t="shared" si="280"/>
        <v>10.190167789956099</v>
      </c>
      <c r="F682" s="21">
        <f t="shared" si="273"/>
        <v>7.5906731367735363</v>
      </c>
      <c r="G682" s="1">
        <f t="shared" si="274"/>
        <v>0</v>
      </c>
      <c r="H682" s="2">
        <f t="shared" si="270"/>
        <v>1695.0285345606253</v>
      </c>
      <c r="I682" s="19">
        <f t="shared" si="296"/>
        <v>733.77858638988107</v>
      </c>
      <c r="J682" s="20">
        <f t="shared" si="275"/>
        <v>0.90569730452296715</v>
      </c>
      <c r="K682" s="21">
        <f t="shared" si="276"/>
        <v>713.94275546474978</v>
      </c>
      <c r="L682" s="21">
        <f t="shared" si="271"/>
        <v>6.0866805917747522</v>
      </c>
      <c r="M682" s="2">
        <f t="shared" si="281"/>
        <v>566.44856520092583</v>
      </c>
      <c r="N682" s="19">
        <f t="shared" si="294"/>
        <v>347.75250381149885</v>
      </c>
      <c r="O682" s="1">
        <f t="shared" si="282"/>
        <v>656</v>
      </c>
      <c r="P682" s="19">
        <f t="shared" si="283"/>
        <v>1102.8998753755243</v>
      </c>
      <c r="Q682" s="18">
        <f t="shared" si="284"/>
        <v>11.76560168552674</v>
      </c>
      <c r="R682" s="2">
        <f t="shared" si="285"/>
        <v>0.97515270832778256</v>
      </c>
      <c r="S682" s="18">
        <f t="shared" si="286"/>
        <v>11.781854230665536</v>
      </c>
      <c r="T682" s="18">
        <f t="shared" si="287"/>
        <v>10.104443140996672</v>
      </c>
      <c r="U682" s="1">
        <f t="shared" si="277"/>
        <v>0</v>
      </c>
      <c r="V682" s="2">
        <f t="shared" si="288"/>
        <v>2557.803155258458</v>
      </c>
      <c r="W682" s="19">
        <f t="shared" si="289"/>
        <v>1107.2740931854796</v>
      </c>
      <c r="X682" s="20"/>
      <c r="Y682" s="2">
        <f t="shared" si="290"/>
        <v>1087.5241662269098</v>
      </c>
      <c r="Z682" s="21">
        <f t="shared" si="291"/>
        <v>8.1366405782921785</v>
      </c>
      <c r="AA682" s="2">
        <f t="shared" si="292"/>
        <v>866.77413576305844</v>
      </c>
      <c r="AB682" s="19">
        <f t="shared" si="295"/>
        <v>99.06714189202026</v>
      </c>
      <c r="AC682" s="2"/>
      <c r="AD682" s="18"/>
      <c r="AE682" s="118"/>
      <c r="AG682" s="2"/>
      <c r="AH682" s="19"/>
      <c r="AI682" s="20"/>
      <c r="AJ682" s="21"/>
      <c r="AK682" s="21"/>
      <c r="AM682" s="19"/>
      <c r="AN682" s="18"/>
      <c r="AO682" s="2"/>
      <c r="AP682" s="18"/>
      <c r="AQ682" s="118"/>
      <c r="AS682" s="2"/>
      <c r="AT682" s="19"/>
      <c r="AU682" s="20"/>
      <c r="AV682" s="21"/>
      <c r="AW682" s="21"/>
    </row>
    <row r="683" spans="1:49" x14ac:dyDescent="0.25">
      <c r="A683" s="1">
        <f t="shared" si="278"/>
        <v>657</v>
      </c>
      <c r="B683" s="19">
        <f t="shared" si="279"/>
        <v>733.77858638988107</v>
      </c>
      <c r="C683" s="18">
        <f t="shared" si="293"/>
        <v>10.190167789956099</v>
      </c>
      <c r="D683" s="2">
        <f t="shared" si="272"/>
        <v>0.96723768782386055</v>
      </c>
      <c r="E683" s="18">
        <f t="shared" si="280"/>
        <v>10.206288418086498</v>
      </c>
      <c r="F683" s="21">
        <f t="shared" si="273"/>
        <v>7.6143557710088317</v>
      </c>
      <c r="G683" s="1">
        <f t="shared" si="274"/>
        <v>0</v>
      </c>
      <c r="H683" s="2">
        <f t="shared" si="270"/>
        <v>1702.6428903316341</v>
      </c>
      <c r="I683" s="19">
        <f t="shared" si="296"/>
        <v>737.07484429940871</v>
      </c>
      <c r="J683" s="20">
        <f t="shared" si="275"/>
        <v>0.90564313111317629</v>
      </c>
      <c r="K683" s="21">
        <f t="shared" si="276"/>
        <v>717.23977151359657</v>
      </c>
      <c r="L683" s="21">
        <f t="shared" si="271"/>
        <v>6.105953822431565</v>
      </c>
      <c r="M683" s="2">
        <f t="shared" si="281"/>
        <v>569.09183525392655</v>
      </c>
      <c r="N683" s="19">
        <f t="shared" si="294"/>
        <v>347.8251732798679</v>
      </c>
      <c r="O683" s="1">
        <f t="shared" si="282"/>
        <v>657</v>
      </c>
      <c r="P683" s="19">
        <f t="shared" si="283"/>
        <v>1107.2740931854796</v>
      </c>
      <c r="Q683" s="18">
        <f t="shared" si="284"/>
        <v>11.781854230665536</v>
      </c>
      <c r="R683" s="2">
        <f t="shared" si="285"/>
        <v>0.97522990957654754</v>
      </c>
      <c r="S683" s="18">
        <f t="shared" si="286"/>
        <v>11.798108062491812</v>
      </c>
      <c r="T683" s="18">
        <f t="shared" si="287"/>
        <v>10.131939272837174</v>
      </c>
      <c r="U683" s="1">
        <f t="shared" si="277"/>
        <v>0</v>
      </c>
      <c r="V683" s="2">
        <f t="shared" si="288"/>
        <v>2567.9350945312954</v>
      </c>
      <c r="W683" s="19">
        <f t="shared" si="289"/>
        <v>1111.6602140828118</v>
      </c>
      <c r="X683" s="20"/>
      <c r="Y683" s="2">
        <f t="shared" si="290"/>
        <v>1091.9112959320482</v>
      </c>
      <c r="Z683" s="21">
        <f t="shared" si="291"/>
        <v>8.1591061104264977</v>
      </c>
      <c r="AA683" s="2">
        <f t="shared" si="292"/>
        <v>870.30621633034264</v>
      </c>
      <c r="AB683" s="19">
        <f t="shared" si="295"/>
        <v>99.129993974671223</v>
      </c>
      <c r="AC683" s="2"/>
      <c r="AD683" s="18"/>
      <c r="AE683" s="118"/>
      <c r="AG683" s="2"/>
      <c r="AH683" s="19"/>
      <c r="AI683" s="20"/>
      <c r="AJ683" s="21"/>
      <c r="AK683" s="21"/>
      <c r="AM683" s="19"/>
      <c r="AN683" s="18"/>
      <c r="AO683" s="2"/>
      <c r="AP683" s="18"/>
      <c r="AQ683" s="118"/>
      <c r="AS683" s="2"/>
      <c r="AT683" s="19"/>
      <c r="AU683" s="20"/>
      <c r="AV683" s="21"/>
      <c r="AW683" s="21"/>
    </row>
    <row r="684" spans="1:49" x14ac:dyDescent="0.25">
      <c r="A684" s="1">
        <f t="shared" si="278"/>
        <v>658</v>
      </c>
      <c r="B684" s="19">
        <f t="shared" si="279"/>
        <v>737.07484429940871</v>
      </c>
      <c r="C684" s="18">
        <f t="shared" si="293"/>
        <v>10.206288418086498</v>
      </c>
      <c r="D684" s="2">
        <f t="shared" si="272"/>
        <v>0.96732439702427186</v>
      </c>
      <c r="E684" s="18">
        <f t="shared" si="280"/>
        <v>10.222410491370235</v>
      </c>
      <c r="F684" s="21">
        <f t="shared" si="273"/>
        <v>7.6380769367446781</v>
      </c>
      <c r="G684" s="1">
        <f t="shared" si="274"/>
        <v>0</v>
      </c>
      <c r="H684" s="2">
        <f t="shared" si="270"/>
        <v>1710.2809672683788</v>
      </c>
      <c r="I684" s="19">
        <f t="shared" si="296"/>
        <v>740.38137111185233</v>
      </c>
      <c r="J684" s="20">
        <f t="shared" si="275"/>
        <v>0.90558900054101932</v>
      </c>
      <c r="K684" s="21">
        <f t="shared" si="276"/>
        <v>720.54705882720702</v>
      </c>
      <c r="L684" s="21">
        <f t="shared" si="271"/>
        <v>6.1252592506992478</v>
      </c>
      <c r="M684" s="2">
        <f t="shared" si="281"/>
        <v>571.74346263518169</v>
      </c>
      <c r="N684" s="19">
        <f t="shared" si="294"/>
        <v>347.89772796826719</v>
      </c>
      <c r="O684" s="1">
        <f t="shared" si="282"/>
        <v>658</v>
      </c>
      <c r="P684" s="19">
        <f t="shared" si="283"/>
        <v>1111.6602140828118</v>
      </c>
      <c r="Q684" s="18">
        <f t="shared" si="284"/>
        <v>11.798108062491812</v>
      </c>
      <c r="R684" s="2">
        <f t="shared" si="285"/>
        <v>0.97530702138561765</v>
      </c>
      <c r="S684" s="18">
        <f t="shared" si="286"/>
        <v>11.814363179514906</v>
      </c>
      <c r="T684" s="18">
        <f t="shared" si="287"/>
        <v>10.159474462711103</v>
      </c>
      <c r="U684" s="1">
        <f t="shared" si="277"/>
        <v>0</v>
      </c>
      <c r="V684" s="2">
        <f t="shared" si="288"/>
        <v>2578.0945689940063</v>
      </c>
      <c r="W684" s="19">
        <f t="shared" si="289"/>
        <v>1116.0582549757603</v>
      </c>
      <c r="X684" s="20"/>
      <c r="Y684" s="2">
        <f t="shared" si="290"/>
        <v>1096.3103483744021</v>
      </c>
      <c r="Z684" s="21">
        <f t="shared" si="291"/>
        <v>8.1816043938874152</v>
      </c>
      <c r="AA684" s="2">
        <f t="shared" si="292"/>
        <v>873.84803641427663</v>
      </c>
      <c r="AB684" s="19">
        <f t="shared" si="295"/>
        <v>99.192759468254181</v>
      </c>
      <c r="AC684" s="2"/>
      <c r="AD684" s="18"/>
      <c r="AE684" s="118"/>
      <c r="AG684" s="2"/>
      <c r="AH684" s="19"/>
      <c r="AI684" s="20"/>
      <c r="AJ684" s="21"/>
      <c r="AK684" s="21"/>
      <c r="AM684" s="19"/>
      <c r="AN684" s="18"/>
      <c r="AO684" s="2"/>
      <c r="AP684" s="18"/>
      <c r="AQ684" s="118"/>
      <c r="AS684" s="2"/>
      <c r="AT684" s="19"/>
      <c r="AU684" s="20"/>
      <c r="AV684" s="21"/>
      <c r="AW684" s="21"/>
    </row>
    <row r="685" spans="1:49" x14ac:dyDescent="0.25">
      <c r="A685" s="1">
        <f t="shared" si="278"/>
        <v>659</v>
      </c>
      <c r="B685" s="19">
        <f t="shared" si="279"/>
        <v>740.38137111185233</v>
      </c>
      <c r="C685" s="18">
        <f t="shared" si="293"/>
        <v>10.222410491370235</v>
      </c>
      <c r="D685" s="2">
        <f t="shared" si="272"/>
        <v>0.96741099539597919</v>
      </c>
      <c r="E685" s="18">
        <f t="shared" si="280"/>
        <v>10.238534007960169</v>
      </c>
      <c r="F685" s="21">
        <f t="shared" si="273"/>
        <v>7.6618366396608746</v>
      </c>
      <c r="G685" s="1">
        <f t="shared" si="274"/>
        <v>0</v>
      </c>
      <c r="H685" s="2">
        <f t="shared" si="270"/>
        <v>1717.9428039080397</v>
      </c>
      <c r="I685" s="19">
        <f t="shared" si="296"/>
        <v>743.69818350997389</v>
      </c>
      <c r="J685" s="20">
        <f t="shared" si="275"/>
        <v>0.90553491279042386</v>
      </c>
      <c r="K685" s="21">
        <f t="shared" si="276"/>
        <v>723.86463409218015</v>
      </c>
      <c r="L685" s="21">
        <f t="shared" si="271"/>
        <v>6.1445968825548372</v>
      </c>
      <c r="M685" s="2">
        <f t="shared" si="281"/>
        <v>574.40346128563829</v>
      </c>
      <c r="N685" s="19">
        <f t="shared" si="294"/>
        <v>347.97016822846928</v>
      </c>
      <c r="O685" s="1">
        <f t="shared" si="282"/>
        <v>659</v>
      </c>
      <c r="P685" s="19">
        <f t="shared" si="283"/>
        <v>1116.0582549757603</v>
      </c>
      <c r="Q685" s="18">
        <f t="shared" si="284"/>
        <v>11.814363179514906</v>
      </c>
      <c r="R685" s="2">
        <f t="shared" si="285"/>
        <v>0.97538404395678857</v>
      </c>
      <c r="S685" s="18">
        <f t="shared" si="286"/>
        <v>11.83061958024752</v>
      </c>
      <c r="T685" s="18">
        <f t="shared" si="287"/>
        <v>10.187048715638802</v>
      </c>
      <c r="U685" s="1">
        <f t="shared" si="277"/>
        <v>0</v>
      </c>
      <c r="V685" s="2">
        <f t="shared" si="288"/>
        <v>2588.2816177096452</v>
      </c>
      <c r="W685" s="19">
        <f t="shared" si="289"/>
        <v>1120.4682327747382</v>
      </c>
      <c r="X685" s="20"/>
      <c r="Y685" s="2">
        <f t="shared" si="290"/>
        <v>1100.7213404682736</v>
      </c>
      <c r="Z685" s="21">
        <f t="shared" si="291"/>
        <v>8.2041354339594665</v>
      </c>
      <c r="AA685" s="2">
        <f t="shared" si="292"/>
        <v>877.39961019521149</v>
      </c>
      <c r="AB685" s="19">
        <f t="shared" si="295"/>
        <v>99.255438604203832</v>
      </c>
      <c r="AC685" s="2"/>
      <c r="AD685" s="18"/>
      <c r="AE685" s="118"/>
      <c r="AG685" s="2"/>
      <c r="AH685" s="19"/>
      <c r="AI685" s="20"/>
      <c r="AJ685" s="21"/>
      <c r="AK685" s="21"/>
      <c r="AM685" s="19"/>
      <c r="AN685" s="18"/>
      <c r="AO685" s="2"/>
      <c r="AP685" s="18"/>
      <c r="AQ685" s="118"/>
      <c r="AS685" s="2"/>
      <c r="AT685" s="19"/>
      <c r="AU685" s="20"/>
      <c r="AV685" s="21"/>
      <c r="AW685" s="21"/>
    </row>
    <row r="686" spans="1:49" x14ac:dyDescent="0.25">
      <c r="A686" s="1">
        <f t="shared" si="278"/>
        <v>660</v>
      </c>
      <c r="B686" s="19">
        <f t="shared" si="279"/>
        <v>743.69818350997389</v>
      </c>
      <c r="C686" s="18">
        <f t="shared" si="293"/>
        <v>10.238534007960169</v>
      </c>
      <c r="D686" s="2">
        <f t="shared" si="272"/>
        <v>0.96749748320038464</v>
      </c>
      <c r="E686" s="18">
        <f t="shared" si="280"/>
        <v>10.254658966013508</v>
      </c>
      <c r="F686" s="21">
        <f t="shared" si="273"/>
        <v>7.6856348854296277</v>
      </c>
      <c r="G686" s="1">
        <f t="shared" si="274"/>
        <v>0</v>
      </c>
      <c r="H686" s="2">
        <f t="shared" si="270"/>
        <v>1725.6284387934693</v>
      </c>
      <c r="I686" s="19">
        <f t="shared" si="296"/>
        <v>747.02529817899097</v>
      </c>
      <c r="J686" s="20">
        <f t="shared" si="275"/>
        <v>0.90548086784495896</v>
      </c>
      <c r="K686" s="21">
        <f t="shared" si="276"/>
        <v>727.19251399757115</v>
      </c>
      <c r="L686" s="21">
        <f t="shared" si="271"/>
        <v>6.1639667239673912</v>
      </c>
      <c r="M686" s="2">
        <f t="shared" si="281"/>
        <v>577.07184514882761</v>
      </c>
      <c r="N686" s="19">
        <f t="shared" si="294"/>
        <v>348.0424944106465</v>
      </c>
      <c r="O686" s="1">
        <f t="shared" si="282"/>
        <v>660</v>
      </c>
      <c r="P686" s="19">
        <f t="shared" si="283"/>
        <v>1120.4682327747382</v>
      </c>
      <c r="Q686" s="18">
        <f t="shared" si="284"/>
        <v>11.83061958024752</v>
      </c>
      <c r="R686" s="2">
        <f t="shared" si="285"/>
        <v>0.97546097749123328</v>
      </c>
      <c r="S686" s="18">
        <f t="shared" si="286"/>
        <v>11.846877263205707</v>
      </c>
      <c r="T686" s="18">
        <f t="shared" si="287"/>
        <v>10.214662036634834</v>
      </c>
      <c r="U686" s="1">
        <f t="shared" si="277"/>
        <v>0</v>
      </c>
      <c r="V686" s="2">
        <f t="shared" si="288"/>
        <v>2598.4962797462799</v>
      </c>
      <c r="W686" s="19">
        <f t="shared" si="289"/>
        <v>1124.8901643923289</v>
      </c>
      <c r="X686" s="20"/>
      <c r="Y686" s="2">
        <f t="shared" si="290"/>
        <v>1105.1442891301365</v>
      </c>
      <c r="Z686" s="21">
        <f t="shared" si="291"/>
        <v>8.2266992359210889</v>
      </c>
      <c r="AA686" s="2">
        <f t="shared" si="292"/>
        <v>880.96095185578338</v>
      </c>
      <c r="AB686" s="19">
        <f t="shared" si="295"/>
        <v>99.318031613036922</v>
      </c>
      <c r="AC686" s="2"/>
      <c r="AD686" s="18"/>
      <c r="AE686" s="118"/>
      <c r="AG686" s="2"/>
      <c r="AH686" s="19"/>
      <c r="AI686" s="20"/>
      <c r="AJ686" s="21"/>
      <c r="AK686" s="21"/>
      <c r="AM686" s="19"/>
      <c r="AN686" s="18"/>
      <c r="AO686" s="2"/>
      <c r="AP686" s="18"/>
      <c r="AQ686" s="118"/>
      <c r="AS686" s="2"/>
      <c r="AT686" s="19"/>
      <c r="AU686" s="20"/>
      <c r="AV686" s="21"/>
      <c r="AW686" s="21"/>
    </row>
    <row r="687" spans="1:49" x14ac:dyDescent="0.25">
      <c r="A687" s="1">
        <f t="shared" si="278"/>
        <v>661</v>
      </c>
      <c r="B687" s="19">
        <f t="shared" si="279"/>
        <v>747.02529817899097</v>
      </c>
      <c r="C687" s="18">
        <f t="shared" si="293"/>
        <v>10.254658966013508</v>
      </c>
      <c r="D687" s="2">
        <f t="shared" si="272"/>
        <v>0.96758386069815816</v>
      </c>
      <c r="E687" s="18">
        <f t="shared" si="280"/>
        <v>10.270785363691811</v>
      </c>
      <c r="F687" s="21">
        <f t="shared" si="273"/>
        <v>7.7094716797155387</v>
      </c>
      <c r="G687" s="1">
        <f t="shared" si="274"/>
        <v>0</v>
      </c>
      <c r="H687" s="2">
        <f t="shared" si="270"/>
        <v>1733.3379104731846</v>
      </c>
      <c r="I687" s="19">
        <f t="shared" si="296"/>
        <v>750.36273180657338</v>
      </c>
      <c r="J687" s="20">
        <f t="shared" si="275"/>
        <v>0.90542686568783826</v>
      </c>
      <c r="K687" s="21">
        <f t="shared" si="276"/>
        <v>730.53071523488802</v>
      </c>
      <c r="L687" s="21">
        <f t="shared" si="271"/>
        <v>6.1833687808979789</v>
      </c>
      <c r="M687" s="2">
        <f t="shared" si="281"/>
        <v>579.74862817086137</v>
      </c>
      <c r="N687" s="19">
        <f t="shared" si="294"/>
        <v>348.1147068633806</v>
      </c>
      <c r="O687" s="1">
        <f t="shared" si="282"/>
        <v>661</v>
      </c>
      <c r="P687" s="19">
        <f t="shared" si="283"/>
        <v>1124.8901643923289</v>
      </c>
      <c r="Q687" s="18">
        <f t="shared" si="284"/>
        <v>11.846877263205707</v>
      </c>
      <c r="R687" s="2">
        <f t="shared" si="285"/>
        <v>0.9755378221895038</v>
      </c>
      <c r="S687" s="18">
        <f t="shared" si="286"/>
        <v>11.863136226908866</v>
      </c>
      <c r="T687" s="18">
        <f t="shared" si="287"/>
        <v>10.242314430707987</v>
      </c>
      <c r="U687" s="1">
        <f t="shared" si="277"/>
        <v>0</v>
      </c>
      <c r="V687" s="2">
        <f t="shared" si="288"/>
        <v>2608.738594176988</v>
      </c>
      <c r="W687" s="19">
        <f t="shared" si="289"/>
        <v>1129.3240667432849</v>
      </c>
      <c r="X687" s="20"/>
      <c r="Y687" s="2">
        <f t="shared" si="290"/>
        <v>1109.579211278633</v>
      </c>
      <c r="Z687" s="21">
        <f t="shared" si="291"/>
        <v>8.2492958050446248</v>
      </c>
      <c r="AA687" s="2">
        <f t="shared" si="292"/>
        <v>884.53207558091094</v>
      </c>
      <c r="AB687" s="19">
        <f t="shared" si="295"/>
        <v>99.380538724357081</v>
      </c>
      <c r="AC687" s="2"/>
      <c r="AD687" s="18"/>
      <c r="AE687" s="118"/>
      <c r="AG687" s="2"/>
      <c r="AH687" s="19"/>
      <c r="AI687" s="20"/>
      <c r="AJ687" s="21"/>
      <c r="AK687" s="21"/>
      <c r="AM687" s="19"/>
      <c r="AN687" s="18"/>
      <c r="AO687" s="2"/>
      <c r="AP687" s="18"/>
      <c r="AQ687" s="118"/>
      <c r="AS687" s="2"/>
      <c r="AT687" s="19"/>
      <c r="AU687" s="20"/>
      <c r="AV687" s="21"/>
      <c r="AW687" s="21"/>
    </row>
    <row r="688" spans="1:49" x14ac:dyDescent="0.25">
      <c r="A688" s="1">
        <f t="shared" si="278"/>
        <v>662</v>
      </c>
      <c r="B688" s="19">
        <f t="shared" si="279"/>
        <v>750.36273180657338</v>
      </c>
      <c r="C688" s="18">
        <f t="shared" si="293"/>
        <v>10.270785363691811</v>
      </c>
      <c r="D688" s="2">
        <f t="shared" si="272"/>
        <v>0.96767012814923725</v>
      </c>
      <c r="E688" s="18">
        <f t="shared" si="280"/>
        <v>10.286913199160965</v>
      </c>
      <c r="F688" s="21">
        <f t="shared" si="273"/>
        <v>7.7333470281756522</v>
      </c>
      <c r="G688" s="1">
        <f t="shared" si="274"/>
        <v>0</v>
      </c>
      <c r="H688" s="2">
        <f t="shared" si="270"/>
        <v>1741.0712575013602</v>
      </c>
      <c r="I688" s="19">
        <f t="shared" si="296"/>
        <v>753.71050108283987</v>
      </c>
      <c r="J688" s="20">
        <f t="shared" si="275"/>
        <v>0.90537290630192557</v>
      </c>
      <c r="K688" s="21">
        <f t="shared" si="276"/>
        <v>733.87925449808813</v>
      </c>
      <c r="L688" s="21">
        <f t="shared" si="271"/>
        <v>6.2028030592997316</v>
      </c>
      <c r="M688" s="2">
        <f t="shared" si="281"/>
        <v>582.43382430042834</v>
      </c>
      <c r="N688" s="19">
        <f t="shared" si="294"/>
        <v>348.18680593367225</v>
      </c>
      <c r="O688" s="1">
        <f t="shared" si="282"/>
        <v>662</v>
      </c>
      <c r="P688" s="19">
        <f t="shared" si="283"/>
        <v>1129.3240667432849</v>
      </c>
      <c r="Q688" s="18">
        <f t="shared" si="284"/>
        <v>11.863136226908866</v>
      </c>
      <c r="R688" s="2">
        <f t="shared" si="285"/>
        <v>0.97561457825153397</v>
      </c>
      <c r="S688" s="18">
        <f t="shared" si="286"/>
        <v>11.879396469879724</v>
      </c>
      <c r="T688" s="18">
        <f t="shared" si="287"/>
        <v>10.2700059028613</v>
      </c>
      <c r="U688" s="1">
        <f t="shared" si="277"/>
        <v>0</v>
      </c>
      <c r="V688" s="2">
        <f t="shared" si="288"/>
        <v>2619.0086000798492</v>
      </c>
      <c r="W688" s="19">
        <f t="shared" si="289"/>
        <v>1133.7699567445234</v>
      </c>
      <c r="X688" s="20"/>
      <c r="Y688" s="2">
        <f t="shared" si="290"/>
        <v>1114.026123834572</v>
      </c>
      <c r="Z688" s="21">
        <f t="shared" si="291"/>
        <v>8.2719251465963541</v>
      </c>
      <c r="AA688" s="2">
        <f t="shared" si="292"/>
        <v>888.11299555779249</v>
      </c>
      <c r="AB688" s="19">
        <f t="shared" si="295"/>
        <v>99.442960166859592</v>
      </c>
      <c r="AC688" s="2"/>
      <c r="AD688" s="18"/>
      <c r="AE688" s="118"/>
      <c r="AG688" s="2"/>
      <c r="AH688" s="19"/>
      <c r="AI688" s="20"/>
      <c r="AJ688" s="21"/>
      <c r="AK688" s="21"/>
      <c r="AM688" s="19"/>
      <c r="AN688" s="18"/>
      <c r="AO688" s="2"/>
      <c r="AP688" s="18"/>
      <c r="AQ688" s="118"/>
      <c r="AS688" s="2"/>
      <c r="AT688" s="19"/>
      <c r="AU688" s="20"/>
      <c r="AV688" s="21"/>
      <c r="AW688" s="21"/>
    </row>
    <row r="689" spans="1:49" x14ac:dyDescent="0.25">
      <c r="A689" s="1">
        <f t="shared" si="278"/>
        <v>663</v>
      </c>
      <c r="B689" s="19">
        <f t="shared" si="279"/>
        <v>753.71050108283987</v>
      </c>
      <c r="C689" s="18">
        <f t="shared" si="293"/>
        <v>10.286913199160965</v>
      </c>
      <c r="D689" s="2">
        <f t="shared" si="272"/>
        <v>0.96775628581282991</v>
      </c>
      <c r="E689" s="18">
        <f t="shared" si="280"/>
        <v>10.30304247059118</v>
      </c>
      <c r="F689" s="21">
        <f t="shared" si="273"/>
        <v>7.7572609364594669</v>
      </c>
      <c r="G689" s="1">
        <f t="shared" si="274"/>
        <v>0</v>
      </c>
      <c r="H689" s="2">
        <f t="shared" si="270"/>
        <v>1748.8285184378196</v>
      </c>
      <c r="I689" s="19">
        <f t="shared" si="296"/>
        <v>757.06862270035481</v>
      </c>
      <c r="J689" s="20">
        <f t="shared" si="275"/>
        <v>0.90531898966973734</v>
      </c>
      <c r="K689" s="21">
        <f t="shared" si="276"/>
        <v>737.23814848357506</v>
      </c>
      <c r="L689" s="21">
        <f t="shared" si="271"/>
        <v>6.2222695651178528</v>
      </c>
      <c r="M689" s="2">
        <f t="shared" si="281"/>
        <v>585.12744748879106</v>
      </c>
      <c r="N689" s="19">
        <f t="shared" si="294"/>
        <v>348.2587919669507</v>
      </c>
      <c r="O689" s="1">
        <f t="shared" si="282"/>
        <v>663</v>
      </c>
      <c r="P689" s="19">
        <f t="shared" si="283"/>
        <v>1133.7699567445234</v>
      </c>
      <c r="Q689" s="18">
        <f t="shared" si="284"/>
        <v>11.879396469879724</v>
      </c>
      <c r="R689" s="2">
        <f t="shared" si="285"/>
        <v>0.97569124587664058</v>
      </c>
      <c r="S689" s="18">
        <f t="shared" si="286"/>
        <v>11.895657990644334</v>
      </c>
      <c r="T689" s="18">
        <f t="shared" si="287"/>
        <v>10.29773645809208</v>
      </c>
      <c r="U689" s="1">
        <f t="shared" si="277"/>
        <v>0</v>
      </c>
      <c r="V689" s="2">
        <f t="shared" si="288"/>
        <v>2629.3063365379412</v>
      </c>
      <c r="W689" s="19">
        <f t="shared" si="289"/>
        <v>1138.2278513151261</v>
      </c>
      <c r="X689" s="20"/>
      <c r="Y689" s="2">
        <f t="shared" si="290"/>
        <v>1118.4850437209259</v>
      </c>
      <c r="Z689" s="21">
        <f t="shared" si="291"/>
        <v>8.294587265836503</v>
      </c>
      <c r="AA689" s="2">
        <f t="shared" si="292"/>
        <v>891.70372597590358</v>
      </c>
      <c r="AB689" s="19">
        <f t="shared" si="295"/>
        <v>99.505296168336173</v>
      </c>
      <c r="AC689" s="2"/>
      <c r="AD689" s="18"/>
      <c r="AE689" s="118"/>
      <c r="AG689" s="2"/>
      <c r="AH689" s="19"/>
      <c r="AI689" s="20"/>
      <c r="AJ689" s="21"/>
      <c r="AK689" s="21"/>
      <c r="AM689" s="19"/>
      <c r="AN689" s="18"/>
      <c r="AO689" s="2"/>
      <c r="AP689" s="18"/>
      <c r="AQ689" s="118"/>
      <c r="AS689" s="2"/>
      <c r="AT689" s="19"/>
      <c r="AU689" s="20"/>
      <c r="AV689" s="21"/>
      <c r="AW689" s="21"/>
    </row>
    <row r="690" spans="1:49" x14ac:dyDescent="0.25">
      <c r="A690" s="1">
        <f t="shared" si="278"/>
        <v>664</v>
      </c>
      <c r="B690" s="19">
        <f t="shared" si="279"/>
        <v>757.06862270035481</v>
      </c>
      <c r="C690" s="18">
        <f t="shared" si="293"/>
        <v>10.30304247059118</v>
      </c>
      <c r="D690" s="2">
        <f t="shared" si="272"/>
        <v>0.96784233394741337</v>
      </c>
      <c r="E690" s="18">
        <f t="shared" si="280"/>
        <v>10.319173176156971</v>
      </c>
      <c r="F690" s="21">
        <f t="shared" si="273"/>
        <v>7.7812134102089567</v>
      </c>
      <c r="G690" s="1">
        <f t="shared" si="274"/>
        <v>0</v>
      </c>
      <c r="H690" s="2">
        <f t="shared" si="270"/>
        <v>1756.6097318480286</v>
      </c>
      <c r="I690" s="19">
        <f t="shared" si="296"/>
        <v>760.4371133541249</v>
      </c>
      <c r="J690" s="20">
        <f t="shared" si="275"/>
        <v>0.90526511577344826</v>
      </c>
      <c r="K690" s="21">
        <f t="shared" si="276"/>
        <v>740.60741389019552</v>
      </c>
      <c r="L690" s="21">
        <f t="shared" si="271"/>
        <v>6.2417683042896392</v>
      </c>
      <c r="M690" s="2">
        <f t="shared" si="281"/>
        <v>587.82951168978229</v>
      </c>
      <c r="N690" s="19">
        <f t="shared" si="294"/>
        <v>348.33066530708311</v>
      </c>
      <c r="O690" s="1">
        <f t="shared" si="282"/>
        <v>664</v>
      </c>
      <c r="P690" s="19">
        <f t="shared" si="283"/>
        <v>1138.2278513151261</v>
      </c>
      <c r="Q690" s="18">
        <f t="shared" si="284"/>
        <v>11.895657990644334</v>
      </c>
      <c r="R690" s="2">
        <f t="shared" si="285"/>
        <v>0.97576782526352623</v>
      </c>
      <c r="S690" s="18">
        <f t="shared" si="286"/>
        <v>11.911920787732059</v>
      </c>
      <c r="T690" s="18">
        <f t="shared" si="287"/>
        <v>10.325506101391916</v>
      </c>
      <c r="U690" s="1">
        <f t="shared" si="277"/>
        <v>0</v>
      </c>
      <c r="V690" s="2">
        <f t="shared" si="288"/>
        <v>2639.6318426393336</v>
      </c>
      <c r="W690" s="19">
        <f t="shared" si="289"/>
        <v>1142.6977673763349</v>
      </c>
      <c r="X690" s="20"/>
      <c r="Y690" s="2">
        <f t="shared" si="290"/>
        <v>1122.9559878628286</v>
      </c>
      <c r="Z690" s="21">
        <f t="shared" si="291"/>
        <v>8.3172821680192541</v>
      </c>
      <c r="AA690" s="2">
        <f t="shared" si="292"/>
        <v>895.3042810269942</v>
      </c>
      <c r="AB690" s="19">
        <f t="shared" si="295"/>
        <v>99.567546955679745</v>
      </c>
      <c r="AC690" s="2"/>
      <c r="AD690" s="18"/>
      <c r="AE690" s="118"/>
      <c r="AG690" s="2"/>
      <c r="AH690" s="19"/>
      <c r="AI690" s="20"/>
      <c r="AJ690" s="21"/>
      <c r="AK690" s="21"/>
      <c r="AM690" s="19"/>
      <c r="AN690" s="18"/>
      <c r="AO690" s="2"/>
      <c r="AP690" s="18"/>
      <c r="AQ690" s="118"/>
      <c r="AS690" s="2"/>
      <c r="AT690" s="19"/>
      <c r="AU690" s="20"/>
      <c r="AV690" s="21"/>
      <c r="AW690" s="21"/>
    </row>
    <row r="691" spans="1:49" x14ac:dyDescent="0.25">
      <c r="A691" s="1">
        <f t="shared" si="278"/>
        <v>665</v>
      </c>
      <c r="B691" s="19">
        <f t="shared" si="279"/>
        <v>760.4371133541249</v>
      </c>
      <c r="C691" s="18">
        <f t="shared" si="293"/>
        <v>10.319173176156971</v>
      </c>
      <c r="D691" s="2">
        <f t="shared" si="272"/>
        <v>0.96792827281073712</v>
      </c>
      <c r="E691" s="18">
        <f t="shared" si="280"/>
        <v>10.33530531403715</v>
      </c>
      <c r="F691" s="21">
        <f t="shared" si="273"/>
        <v>7.8052044550586039</v>
      </c>
      <c r="G691" s="1">
        <f t="shared" si="274"/>
        <v>0</v>
      </c>
      <c r="H691" s="2">
        <f t="shared" si="270"/>
        <v>1764.4149363030872</v>
      </c>
      <c r="I691" s="19">
        <f t="shared" si="296"/>
        <v>763.81598974159613</v>
      </c>
      <c r="J691" s="20">
        <f t="shared" si="275"/>
        <v>0.90521128459489397</v>
      </c>
      <c r="K691" s="21">
        <f t="shared" si="276"/>
        <v>743.98706741923593</v>
      </c>
      <c r="L691" s="21">
        <f t="shared" si="271"/>
        <v>6.261299282744516</v>
      </c>
      <c r="M691" s="2">
        <f t="shared" si="281"/>
        <v>590.54003085980162</v>
      </c>
      <c r="N691" s="19">
        <f t="shared" si="294"/>
        <v>348.40242629638391</v>
      </c>
      <c r="O691" s="1">
        <f t="shared" si="282"/>
        <v>665</v>
      </c>
      <c r="P691" s="19">
        <f t="shared" si="283"/>
        <v>1142.6977673763349</v>
      </c>
      <c r="Q691" s="18">
        <f t="shared" si="284"/>
        <v>11.911920787732059</v>
      </c>
      <c r="R691" s="2">
        <f t="shared" si="285"/>
        <v>0.97584431661028104</v>
      </c>
      <c r="S691" s="18">
        <f t="shared" si="286"/>
        <v>11.928184859675564</v>
      </c>
      <c r="T691" s="18">
        <f t="shared" si="287"/>
        <v>10.353314837746673</v>
      </c>
      <c r="U691" s="1">
        <f t="shared" si="277"/>
        <v>0</v>
      </c>
      <c r="V691" s="2">
        <f t="shared" si="288"/>
        <v>2649.9851574770805</v>
      </c>
      <c r="W691" s="19">
        <f t="shared" si="289"/>
        <v>1147.1797218515501</v>
      </c>
      <c r="X691" s="20"/>
      <c r="Y691" s="2">
        <f t="shared" si="290"/>
        <v>1127.4389731875729</v>
      </c>
      <c r="Z691" s="21">
        <f t="shared" si="291"/>
        <v>8.340009858392758</v>
      </c>
      <c r="AA691" s="2">
        <f t="shared" si="292"/>
        <v>898.91467490508626</v>
      </c>
      <c r="AB691" s="19">
        <f t="shared" si="295"/>
        <v>99.629712754889056</v>
      </c>
      <c r="AC691" s="2"/>
      <c r="AD691" s="18"/>
      <c r="AE691" s="118"/>
      <c r="AG691" s="2"/>
      <c r="AH691" s="19"/>
      <c r="AI691" s="20"/>
      <c r="AJ691" s="21"/>
      <c r="AK691" s="21"/>
      <c r="AM691" s="19"/>
      <c r="AN691" s="18"/>
      <c r="AO691" s="2"/>
      <c r="AP691" s="18"/>
      <c r="AQ691" s="118"/>
      <c r="AS691" s="2"/>
      <c r="AT691" s="19"/>
      <c r="AU691" s="20"/>
      <c r="AV691" s="21"/>
      <c r="AW691" s="21"/>
    </row>
    <row r="692" spans="1:49" x14ac:dyDescent="0.25">
      <c r="A692" s="1">
        <f t="shared" si="278"/>
        <v>666</v>
      </c>
      <c r="B692" s="19">
        <f t="shared" si="279"/>
        <v>763.81598974159613</v>
      </c>
      <c r="C692" s="18">
        <f t="shared" si="293"/>
        <v>10.33530531403715</v>
      </c>
      <c r="D692" s="2">
        <f t="shared" si="272"/>
        <v>0.96801410265982168</v>
      </c>
      <c r="E692" s="18">
        <f t="shared" si="280"/>
        <v>10.351438882414813</v>
      </c>
      <c r="F692" s="21">
        <f t="shared" si="273"/>
        <v>7.8292340766353998</v>
      </c>
      <c r="G692" s="1">
        <f t="shared" si="274"/>
        <v>0</v>
      </c>
      <c r="H692" s="2">
        <f t="shared" si="270"/>
        <v>1772.2441703797226</v>
      </c>
      <c r="I692" s="19">
        <f t="shared" si="296"/>
        <v>767.20526856265042</v>
      </c>
      <c r="J692" s="20">
        <f t="shared" si="275"/>
        <v>0.90515749611557517</v>
      </c>
      <c r="K692" s="21">
        <f t="shared" si="276"/>
        <v>747.37712577441903</v>
      </c>
      <c r="L692" s="21">
        <f t="shared" si="271"/>
        <v>6.2808625064040431</v>
      </c>
      <c r="M692" s="2">
        <f t="shared" si="281"/>
        <v>593.25901895781203</v>
      </c>
      <c r="N692" s="19">
        <f t="shared" si="294"/>
        <v>348.47407527562416</v>
      </c>
      <c r="O692" s="1">
        <f t="shared" si="282"/>
        <v>666</v>
      </c>
      <c r="P692" s="19">
        <f t="shared" si="283"/>
        <v>1147.1797218515501</v>
      </c>
      <c r="Q692" s="18">
        <f t="shared" si="284"/>
        <v>11.928184859675564</v>
      </c>
      <c r="R692" s="2">
        <f t="shared" si="285"/>
        <v>0.97592072011438491</v>
      </c>
      <c r="S692" s="18">
        <f t="shared" si="286"/>
        <v>11.944450205010805</v>
      </c>
      <c r="T692" s="18">
        <f t="shared" si="287"/>
        <v>10.381162672136536</v>
      </c>
      <c r="U692" s="1">
        <f t="shared" si="277"/>
        <v>0</v>
      </c>
      <c r="V692" s="2">
        <f t="shared" si="288"/>
        <v>2660.3663201492177</v>
      </c>
      <c r="W692" s="19">
        <f t="shared" si="289"/>
        <v>1151.673731666328</v>
      </c>
      <c r="X692" s="20"/>
      <c r="Y692" s="2">
        <f t="shared" si="290"/>
        <v>1131.9340166246079</v>
      </c>
      <c r="Z692" s="21">
        <f t="shared" si="291"/>
        <v>8.3627703421991662</v>
      </c>
      <c r="AA692" s="2">
        <f t="shared" si="292"/>
        <v>902.53492180647117</v>
      </c>
      <c r="AB692" s="19">
        <f t="shared" si="295"/>
        <v>99.691793791073422</v>
      </c>
      <c r="AC692" s="2"/>
      <c r="AD692" s="18"/>
      <c r="AE692" s="118"/>
      <c r="AG692" s="2"/>
      <c r="AH692" s="19"/>
      <c r="AI692" s="20"/>
      <c r="AJ692" s="21"/>
      <c r="AK692" s="21"/>
      <c r="AM692" s="19"/>
      <c r="AN692" s="18"/>
      <c r="AO692" s="2"/>
      <c r="AP692" s="18"/>
      <c r="AQ692" s="118"/>
      <c r="AS692" s="2"/>
      <c r="AT692" s="19"/>
      <c r="AU692" s="20"/>
      <c r="AV692" s="21"/>
      <c r="AW692" s="21"/>
    </row>
    <row r="693" spans="1:49" x14ac:dyDescent="0.25">
      <c r="A693" s="1">
        <f t="shared" si="278"/>
        <v>667</v>
      </c>
      <c r="B693" s="19">
        <f t="shared" si="279"/>
        <v>767.20526856265042</v>
      </c>
      <c r="C693" s="18">
        <f t="shared" si="293"/>
        <v>10.351438882414813</v>
      </c>
      <c r="D693" s="2">
        <f t="shared" si="272"/>
        <v>0.96809982375096193</v>
      </c>
      <c r="E693" s="18">
        <f t="shared" si="280"/>
        <v>10.367573879477328</v>
      </c>
      <c r="F693" s="21">
        <f t="shared" si="273"/>
        <v>7.8533022805588981</v>
      </c>
      <c r="G693" s="1">
        <f t="shared" si="274"/>
        <v>0</v>
      </c>
      <c r="H693" s="2">
        <f t="shared" si="270"/>
        <v>1780.0974726602815</v>
      </c>
      <c r="I693" s="19">
        <f t="shared" si="296"/>
        <v>770.60496651960239</v>
      </c>
      <c r="J693" s="20">
        <f t="shared" si="275"/>
        <v>0.90510375031666268</v>
      </c>
      <c r="K693" s="21">
        <f t="shared" si="276"/>
        <v>750.77760566190102</v>
      </c>
      <c r="L693" s="21">
        <f t="shared" si="271"/>
        <v>6.3004579811819532</v>
      </c>
      <c r="M693" s="2">
        <f t="shared" si="281"/>
        <v>595.98648994533664</v>
      </c>
      <c r="N693" s="19">
        <f t="shared" si="294"/>
        <v>348.54561258404078</v>
      </c>
      <c r="O693" s="1">
        <f t="shared" si="282"/>
        <v>667</v>
      </c>
      <c r="P693" s="19">
        <f t="shared" si="283"/>
        <v>1151.673731666328</v>
      </c>
      <c r="Q693" s="18">
        <f t="shared" si="284"/>
        <v>11.944450205010805</v>
      </c>
      <c r="R693" s="2">
        <f t="shared" si="285"/>
        <v>0.97599703597270904</v>
      </c>
      <c r="S693" s="18">
        <f t="shared" si="286"/>
        <v>11.960716822277016</v>
      </c>
      <c r="T693" s="18">
        <f t="shared" si="287"/>
        <v>10.409049609536009</v>
      </c>
      <c r="U693" s="1">
        <f t="shared" si="277"/>
        <v>0</v>
      </c>
      <c r="V693" s="2">
        <f t="shared" si="288"/>
        <v>2670.7753697587536</v>
      </c>
      <c r="W693" s="19">
        <f t="shared" si="289"/>
        <v>1156.1798137483781</v>
      </c>
      <c r="X693" s="20"/>
      <c r="Y693" s="2">
        <f t="shared" si="290"/>
        <v>1136.4411351055371</v>
      </c>
      <c r="Z693" s="21">
        <f t="shared" si="291"/>
        <v>8.3855636246746297</v>
      </c>
      <c r="AA693" s="2">
        <f t="shared" si="292"/>
        <v>906.16503592970696</v>
      </c>
      <c r="AB693" s="19">
        <f t="shared" si="295"/>
        <v>99.753790288457353</v>
      </c>
      <c r="AC693" s="2"/>
      <c r="AD693" s="18"/>
      <c r="AE693" s="118"/>
      <c r="AG693" s="2"/>
      <c r="AH693" s="19"/>
      <c r="AI693" s="20"/>
      <c r="AJ693" s="21"/>
      <c r="AK693" s="21"/>
      <c r="AM693" s="19"/>
      <c r="AN693" s="18"/>
      <c r="AO693" s="2"/>
      <c r="AP693" s="18"/>
      <c r="AQ693" s="118"/>
      <c r="AS693" s="2"/>
      <c r="AT693" s="19"/>
      <c r="AU693" s="20"/>
      <c r="AV693" s="21"/>
      <c r="AW693" s="21"/>
    </row>
    <row r="694" spans="1:49" x14ac:dyDescent="0.25">
      <c r="A694" s="1">
        <f t="shared" si="278"/>
        <v>668</v>
      </c>
      <c r="B694" s="19">
        <f t="shared" si="279"/>
        <v>770.60496651960239</v>
      </c>
      <c r="C694" s="18">
        <f t="shared" si="293"/>
        <v>10.367573879477328</v>
      </c>
      <c r="D694" s="2">
        <f t="shared" si="272"/>
        <v>0.96818543633972676</v>
      </c>
      <c r="E694" s="18">
        <f t="shared" si="280"/>
        <v>10.383710303416324</v>
      </c>
      <c r="F694" s="21">
        <f t="shared" si="273"/>
        <v>7.8774090724412096</v>
      </c>
      <c r="G694" s="1">
        <f t="shared" si="274"/>
        <v>0</v>
      </c>
      <c r="H694" s="2">
        <f t="shared" si="270"/>
        <v>1787.9748817327227</v>
      </c>
      <c r="I694" s="19">
        <f t="shared" si="296"/>
        <v>774.0151003171959</v>
      </c>
      <c r="J694" s="20">
        <f t="shared" si="275"/>
        <v>0.90505004717899895</v>
      </c>
      <c r="K694" s="21">
        <f t="shared" si="276"/>
        <v>754.18852379026805</v>
      </c>
      <c r="L694" s="21">
        <f t="shared" si="271"/>
        <v>6.3200857129841665</v>
      </c>
      <c r="M694" s="2">
        <f t="shared" si="281"/>
        <v>598.72245778645538</v>
      </c>
      <c r="N694" s="19">
        <f t="shared" si="294"/>
        <v>348.6170385593457</v>
      </c>
      <c r="O694" s="1">
        <f t="shared" si="282"/>
        <v>668</v>
      </c>
      <c r="P694" s="19">
        <f t="shared" si="283"/>
        <v>1156.1798137483781</v>
      </c>
      <c r="Q694" s="18">
        <f t="shared" si="284"/>
        <v>11.960716822277016</v>
      </c>
      <c r="R694" s="2">
        <f t="shared" si="285"/>
        <v>0.97607326438151876</v>
      </c>
      <c r="S694" s="18">
        <f t="shared" si="286"/>
        <v>11.976984710016708</v>
      </c>
      <c r="T694" s="18">
        <f t="shared" si="287"/>
        <v>10.436975654913926</v>
      </c>
      <c r="U694" s="1">
        <f t="shared" si="277"/>
        <v>0</v>
      </c>
      <c r="V694" s="2">
        <f t="shared" si="288"/>
        <v>2681.2123454136677</v>
      </c>
      <c r="W694" s="19">
        <f t="shared" si="289"/>
        <v>1160.6979850275618</v>
      </c>
      <c r="X694" s="20"/>
      <c r="Y694" s="2">
        <f t="shared" si="290"/>
        <v>1140.9603455641147</v>
      </c>
      <c r="Z694" s="21">
        <f t="shared" si="291"/>
        <v>8.4083897110493222</v>
      </c>
      <c r="AA694" s="2">
        <f t="shared" si="292"/>
        <v>909.80503147561581</v>
      </c>
      <c r="AB694" s="19">
        <f t="shared" si="295"/>
        <v>99.815702470385119</v>
      </c>
      <c r="AC694" s="2"/>
      <c r="AD694" s="18"/>
      <c r="AE694" s="118"/>
      <c r="AG694" s="2"/>
      <c r="AH694" s="19"/>
      <c r="AI694" s="20"/>
      <c r="AJ694" s="21"/>
      <c r="AK694" s="21"/>
      <c r="AM694" s="19"/>
      <c r="AN694" s="18"/>
      <c r="AO694" s="2"/>
      <c r="AP694" s="18"/>
      <c r="AQ694" s="118"/>
      <c r="AS694" s="2"/>
      <c r="AT694" s="19"/>
      <c r="AU694" s="20"/>
      <c r="AV694" s="21"/>
      <c r="AW694" s="21"/>
    </row>
    <row r="695" spans="1:49" x14ac:dyDescent="0.25">
      <c r="A695" s="1">
        <f t="shared" si="278"/>
        <v>669</v>
      </c>
      <c r="B695" s="19">
        <f t="shared" si="279"/>
        <v>774.0151003171959</v>
      </c>
      <c r="C695" s="18">
        <f t="shared" si="293"/>
        <v>10.383710303416324</v>
      </c>
      <c r="D695" s="2">
        <f t="shared" si="272"/>
        <v>0.96827094068096009</v>
      </c>
      <c r="E695" s="18">
        <f t="shared" si="280"/>
        <v>10.399848152427673</v>
      </c>
      <c r="F695" s="21">
        <f t="shared" si="273"/>
        <v>7.901554457887034</v>
      </c>
      <c r="G695" s="1">
        <f t="shared" si="274"/>
        <v>0</v>
      </c>
      <c r="H695" s="2">
        <f t="shared" si="270"/>
        <v>1795.8764361906096</v>
      </c>
      <c r="I695" s="19">
        <f t="shared" si="296"/>
        <v>777.4356866626016</v>
      </c>
      <c r="J695" s="20">
        <f t="shared" si="275"/>
        <v>0.90499638668310423</v>
      </c>
      <c r="K695" s="21">
        <f t="shared" si="276"/>
        <v>757.60989687053313</v>
      </c>
      <c r="L695" s="21">
        <f t="shared" si="271"/>
        <v>6.3397457077088122</v>
      </c>
      <c r="M695" s="2">
        <f t="shared" si="281"/>
        <v>601.46693644780123</v>
      </c>
      <c r="N695" s="19">
        <f t="shared" si="294"/>
        <v>348.68835353773488</v>
      </c>
      <c r="O695" s="1">
        <f t="shared" si="282"/>
        <v>669</v>
      </c>
      <c r="P695" s="19">
        <f t="shared" si="283"/>
        <v>1160.6979850275618</v>
      </c>
      <c r="Q695" s="18">
        <f t="shared" si="284"/>
        <v>11.976984710016708</v>
      </c>
      <c r="R695" s="2">
        <f t="shared" si="285"/>
        <v>0.97614940553647533</v>
      </c>
      <c r="S695" s="18">
        <f t="shared" si="286"/>
        <v>11.99325386677565</v>
      </c>
      <c r="T695" s="18">
        <f t="shared" si="287"/>
        <v>10.46494081323347</v>
      </c>
      <c r="U695" s="1">
        <f t="shared" si="277"/>
        <v>0</v>
      </c>
      <c r="V695" s="2">
        <f t="shared" si="288"/>
        <v>2691.6772862269013</v>
      </c>
      <c r="W695" s="19">
        <f t="shared" si="289"/>
        <v>1165.2282624358879</v>
      </c>
      <c r="X695" s="20"/>
      <c r="Y695" s="2">
        <f t="shared" si="290"/>
        <v>1145.4916649362449</v>
      </c>
      <c r="Z695" s="21">
        <f t="shared" si="291"/>
        <v>8.4312486065474452</v>
      </c>
      <c r="AA695" s="2">
        <f t="shared" si="292"/>
        <v>913.45492264728136</v>
      </c>
      <c r="AB695" s="19">
        <f t="shared" si="295"/>
        <v>99.877530559325407</v>
      </c>
      <c r="AC695" s="2"/>
      <c r="AD695" s="18"/>
      <c r="AE695" s="118"/>
      <c r="AG695" s="2"/>
      <c r="AH695" s="19"/>
      <c r="AI695" s="20"/>
      <c r="AJ695" s="21"/>
      <c r="AK695" s="21"/>
      <c r="AM695" s="19"/>
      <c r="AN695" s="18"/>
      <c r="AO695" s="2"/>
      <c r="AP695" s="18"/>
      <c r="AQ695" s="118"/>
      <c r="AS695" s="2"/>
      <c r="AT695" s="19"/>
      <c r="AU695" s="20"/>
      <c r="AV695" s="21"/>
      <c r="AW695" s="21"/>
    </row>
    <row r="696" spans="1:49" x14ac:dyDescent="0.25">
      <c r="A696" s="1">
        <f t="shared" si="278"/>
        <v>670</v>
      </c>
      <c r="B696" s="19">
        <f t="shared" si="279"/>
        <v>777.4356866626016</v>
      </c>
      <c r="C696" s="18">
        <f t="shared" si="293"/>
        <v>10.399848152427673</v>
      </c>
      <c r="D696" s="2">
        <f t="shared" si="272"/>
        <v>0.96835633702878288</v>
      </c>
      <c r="E696" s="18">
        <f t="shared" si="280"/>
        <v>10.415987424711485</v>
      </c>
      <c r="F696" s="21">
        <f t="shared" si="273"/>
        <v>7.9257384424936808</v>
      </c>
      <c r="G696" s="1">
        <f t="shared" si="274"/>
        <v>0</v>
      </c>
      <c r="H696" s="2">
        <f t="shared" si="270"/>
        <v>1803.8021746331033</v>
      </c>
      <c r="I696" s="19">
        <f t="shared" si="296"/>
        <v>780.86674226541265</v>
      </c>
      <c r="J696" s="20">
        <f t="shared" si="275"/>
        <v>0.90494276880917901</v>
      </c>
      <c r="K696" s="21">
        <f t="shared" si="276"/>
        <v>761.04174161613287</v>
      </c>
      <c r="L696" s="21">
        <f t="shared" si="271"/>
        <v>6.3594379712462583</v>
      </c>
      <c r="M696" s="2">
        <f t="shared" si="281"/>
        <v>604.21993989855719</v>
      </c>
      <c r="N696" s="19">
        <f t="shared" si="294"/>
        <v>348.75955785389738</v>
      </c>
      <c r="O696" s="1">
        <f t="shared" si="282"/>
        <v>670</v>
      </c>
      <c r="P696" s="19">
        <f t="shared" si="283"/>
        <v>1165.2282624358879</v>
      </c>
      <c r="Q696" s="18">
        <f t="shared" si="284"/>
        <v>11.99325386677565</v>
      </c>
      <c r="R696" s="2">
        <f t="shared" si="285"/>
        <v>0.97622545963263729</v>
      </c>
      <c r="S696" s="18">
        <f t="shared" si="286"/>
        <v>12.00952429110286</v>
      </c>
      <c r="T696" s="18">
        <f t="shared" si="287"/>
        <v>10.492945089452197</v>
      </c>
      <c r="U696" s="1">
        <f t="shared" si="277"/>
        <v>0</v>
      </c>
      <c r="V696" s="2">
        <f t="shared" si="288"/>
        <v>2702.1702313163537</v>
      </c>
      <c r="W696" s="19">
        <f t="shared" si="289"/>
        <v>1169.7706629075124</v>
      </c>
      <c r="X696" s="20"/>
      <c r="Y696" s="2">
        <f t="shared" si="290"/>
        <v>1150.0351101599776</v>
      </c>
      <c r="Z696" s="21">
        <f t="shared" si="291"/>
        <v>8.4541403163872584</v>
      </c>
      <c r="AA696" s="2">
        <f t="shared" si="292"/>
        <v>917.11472365004636</v>
      </c>
      <c r="AB696" s="19">
        <f t="shared" si="295"/>
        <v>99.939274776875806</v>
      </c>
      <c r="AC696" s="2"/>
      <c r="AD696" s="18"/>
      <c r="AE696" s="118"/>
      <c r="AG696" s="2"/>
      <c r="AH696" s="19"/>
      <c r="AI696" s="20"/>
      <c r="AJ696" s="21"/>
      <c r="AK696" s="21"/>
      <c r="AM696" s="19"/>
      <c r="AN696" s="18"/>
      <c r="AO696" s="2"/>
      <c r="AP696" s="18"/>
      <c r="AQ696" s="118"/>
      <c r="AS696" s="2"/>
      <c r="AT696" s="19"/>
      <c r="AU696" s="20"/>
      <c r="AV696" s="21"/>
      <c r="AW696" s="21"/>
    </row>
    <row r="697" spans="1:49" x14ac:dyDescent="0.25">
      <c r="A697" s="1">
        <f t="shared" si="278"/>
        <v>671</v>
      </c>
      <c r="B697" s="19">
        <f t="shared" si="279"/>
        <v>780.86674226541265</v>
      </c>
      <c r="C697" s="18">
        <f t="shared" si="293"/>
        <v>10.415987424711485</v>
      </c>
      <c r="D697" s="2">
        <f t="shared" si="272"/>
        <v>0.96844162563659308</v>
      </c>
      <c r="E697" s="18">
        <f t="shared" si="280"/>
        <v>10.432128118472095</v>
      </c>
      <c r="F697" s="21">
        <f t="shared" si="273"/>
        <v>7.9499610318510969</v>
      </c>
      <c r="G697" s="1">
        <f t="shared" si="274"/>
        <v>0</v>
      </c>
      <c r="H697" s="2">
        <f t="shared" si="270"/>
        <v>1811.7521356649543</v>
      </c>
      <c r="I697" s="19">
        <f t="shared" si="296"/>
        <v>784.30828383764253</v>
      </c>
      <c r="J697" s="20">
        <f t="shared" si="275"/>
        <v>0.90488919353710795</v>
      </c>
      <c r="K697" s="21">
        <f t="shared" si="276"/>
        <v>764.48407474292435</v>
      </c>
      <c r="L697" s="21">
        <f t="shared" si="271"/>
        <v>6.3791625094791238</v>
      </c>
      <c r="M697" s="2">
        <f t="shared" si="281"/>
        <v>606.98148211045293</v>
      </c>
      <c r="N697" s="19">
        <f t="shared" si="294"/>
        <v>348.83065184102435</v>
      </c>
      <c r="O697" s="1">
        <f t="shared" si="282"/>
        <v>671</v>
      </c>
      <c r="P697" s="19">
        <f t="shared" si="283"/>
        <v>1169.7706629075124</v>
      </c>
      <c r="Q697" s="18">
        <f t="shared" si="284"/>
        <v>12.00952429110286</v>
      </c>
      <c r="R697" s="2">
        <f t="shared" si="285"/>
        <v>0.97630142686446364</v>
      </c>
      <c r="S697" s="18">
        <f t="shared" si="286"/>
        <v>12.025795981550601</v>
      </c>
      <c r="T697" s="18">
        <f t="shared" si="287"/>
        <v>10.520988488522027</v>
      </c>
      <c r="U697" s="1">
        <f t="shared" si="277"/>
        <v>0</v>
      </c>
      <c r="V697" s="2">
        <f t="shared" si="288"/>
        <v>2712.6912198048758</v>
      </c>
      <c r="W697" s="19">
        <f t="shared" si="289"/>
        <v>1174.3252033787342</v>
      </c>
      <c r="X697" s="20"/>
      <c r="Y697" s="2">
        <f t="shared" si="290"/>
        <v>1154.5906981755077</v>
      </c>
      <c r="Z697" s="21">
        <f t="shared" si="291"/>
        <v>8.4770648457810776</v>
      </c>
      <c r="AA697" s="2">
        <f t="shared" si="292"/>
        <v>920.78444869151008</v>
      </c>
      <c r="AB697" s="19">
        <f t="shared" si="295"/>
        <v>100.00093534376737</v>
      </c>
      <c r="AC697" s="2"/>
      <c r="AD697" s="18"/>
      <c r="AE697" s="118"/>
      <c r="AG697" s="2"/>
      <c r="AH697" s="19"/>
      <c r="AI697" s="20"/>
      <c r="AJ697" s="21"/>
      <c r="AK697" s="21"/>
      <c r="AM697" s="19"/>
      <c r="AN697" s="18"/>
      <c r="AO697" s="2"/>
      <c r="AP697" s="18"/>
      <c r="AQ697" s="118"/>
      <c r="AS697" s="2"/>
      <c r="AT697" s="19"/>
      <c r="AU697" s="20"/>
      <c r="AV697" s="21"/>
      <c r="AW697" s="21"/>
    </row>
    <row r="698" spans="1:49" x14ac:dyDescent="0.25">
      <c r="A698" s="1">
        <f t="shared" si="278"/>
        <v>672</v>
      </c>
      <c r="B698" s="19">
        <f t="shared" si="279"/>
        <v>784.30828383764253</v>
      </c>
      <c r="C698" s="18">
        <f t="shared" si="293"/>
        <v>10.432128118472095</v>
      </c>
      <c r="D698" s="2">
        <f t="shared" si="272"/>
        <v>0.96852680675706804</v>
      </c>
      <c r="E698" s="18">
        <f t="shared" si="280"/>
        <v>10.448270231918046</v>
      </c>
      <c r="F698" s="21">
        <f t="shared" si="273"/>
        <v>7.9742222315418783</v>
      </c>
      <c r="G698" s="1">
        <f t="shared" si="274"/>
        <v>0</v>
      </c>
      <c r="H698" s="2">
        <f t="shared" si="270"/>
        <v>1819.7263578964962</v>
      </c>
      <c r="I698" s="19">
        <f t="shared" si="296"/>
        <v>787.76032809372134</v>
      </c>
      <c r="J698" s="20">
        <f t="shared" si="275"/>
        <v>0.90483566084646394</v>
      </c>
      <c r="K698" s="21">
        <f t="shared" si="276"/>
        <v>767.936912969182</v>
      </c>
      <c r="L698" s="21">
        <f t="shared" si="271"/>
        <v>6.39891932828231</v>
      </c>
      <c r="M698" s="2">
        <f t="shared" si="281"/>
        <v>609.75157705776132</v>
      </c>
      <c r="N698" s="19">
        <f t="shared" si="294"/>
        <v>348.90163583081795</v>
      </c>
      <c r="O698" s="1">
        <f t="shared" si="282"/>
        <v>672</v>
      </c>
      <c r="P698" s="19">
        <f t="shared" si="283"/>
        <v>1174.3252033787342</v>
      </c>
      <c r="Q698" s="18">
        <f t="shared" si="284"/>
        <v>12.025795981550601</v>
      </c>
      <c r="R698" s="2">
        <f t="shared" si="285"/>
        <v>0.97637730742581508</v>
      </c>
      <c r="S698" s="18">
        <f t="shared" si="286"/>
        <v>12.042068936674365</v>
      </c>
      <c r="T698" s="18">
        <f t="shared" si="287"/>
        <v>10.549071015389279</v>
      </c>
      <c r="U698" s="1">
        <f t="shared" si="277"/>
        <v>0</v>
      </c>
      <c r="V698" s="2">
        <f t="shared" si="288"/>
        <v>2723.2402908202653</v>
      </c>
      <c r="W698" s="19">
        <f t="shared" si="289"/>
        <v>1178.8919007879936</v>
      </c>
      <c r="X698" s="20"/>
      <c r="Y698" s="2">
        <f t="shared" si="290"/>
        <v>1159.1584459251712</v>
      </c>
      <c r="Z698" s="21">
        <f t="shared" si="291"/>
        <v>8.5000221999352998</v>
      </c>
      <c r="AA698" s="2">
        <f t="shared" si="292"/>
        <v>924.46411198152532</v>
      </c>
      <c r="AB698" s="19">
        <f t="shared" si="295"/>
        <v>100.06251247986908</v>
      </c>
      <c r="AC698" s="2"/>
      <c r="AD698" s="18"/>
      <c r="AE698" s="118"/>
      <c r="AG698" s="2"/>
      <c r="AH698" s="19"/>
      <c r="AI698" s="20"/>
      <c r="AJ698" s="21"/>
      <c r="AK698" s="21"/>
      <c r="AM698" s="19"/>
      <c r="AN698" s="18"/>
      <c r="AO698" s="2"/>
      <c r="AP698" s="18"/>
      <c r="AQ698" s="118"/>
      <c r="AS698" s="2"/>
      <c r="AT698" s="19"/>
      <c r="AU698" s="20"/>
      <c r="AV698" s="21"/>
      <c r="AW698" s="21"/>
    </row>
    <row r="699" spans="1:49" x14ac:dyDescent="0.25">
      <c r="A699" s="1">
        <f t="shared" si="278"/>
        <v>673</v>
      </c>
      <c r="B699" s="19">
        <f t="shared" si="279"/>
        <v>787.76032809372134</v>
      </c>
      <c r="C699" s="18">
        <f t="shared" si="293"/>
        <v>10.448270231918046</v>
      </c>
      <c r="D699" s="2">
        <f t="shared" si="272"/>
        <v>0.9686118806421643</v>
      </c>
      <c r="E699" s="18">
        <f t="shared" si="280"/>
        <v>10.464413763262083</v>
      </c>
      <c r="F699" s="21">
        <f t="shared" si="273"/>
        <v>7.998522047141293</v>
      </c>
      <c r="G699" s="1">
        <f t="shared" si="274"/>
        <v>0</v>
      </c>
      <c r="H699" s="2">
        <f t="shared" si="270"/>
        <v>1827.7248799436377</v>
      </c>
      <c r="I699" s="19">
        <f t="shared" si="296"/>
        <v>791.22289175049252</v>
      </c>
      <c r="J699" s="20">
        <f t="shared" si="275"/>
        <v>0.9047821707165109</v>
      </c>
      <c r="K699" s="21">
        <f t="shared" si="276"/>
        <v>771.40027301559417</v>
      </c>
      <c r="L699" s="21">
        <f t="shared" si="271"/>
        <v>6.4187084335230153</v>
      </c>
      <c r="M699" s="2">
        <f t="shared" si="281"/>
        <v>612.53023871729511</v>
      </c>
      <c r="N699" s="19">
        <f t="shared" si="294"/>
        <v>348.97251015350014</v>
      </c>
      <c r="O699" s="1">
        <f t="shared" si="282"/>
        <v>673</v>
      </c>
      <c r="P699" s="19">
        <f t="shared" si="283"/>
        <v>1178.8919007879936</v>
      </c>
      <c r="Q699" s="18">
        <f t="shared" si="284"/>
        <v>12.042068936674365</v>
      </c>
      <c r="R699" s="2">
        <f t="shared" si="285"/>
        <v>0.97645310150995657</v>
      </c>
      <c r="S699" s="18">
        <f t="shared" si="286"/>
        <v>12.058343155032864</v>
      </c>
      <c r="T699" s="18">
        <f t="shared" si="287"/>
        <v>10.577192674994684</v>
      </c>
      <c r="U699" s="1">
        <f t="shared" si="277"/>
        <v>0</v>
      </c>
      <c r="V699" s="2">
        <f t="shared" si="288"/>
        <v>2733.8174834952601</v>
      </c>
      <c r="W699" s="19">
        <f t="shared" si="289"/>
        <v>1183.4707720758702</v>
      </c>
      <c r="X699" s="20"/>
      <c r="Y699" s="2">
        <f t="shared" si="290"/>
        <v>1163.738370353444</v>
      </c>
      <c r="Z699" s="21">
        <f t="shared" si="291"/>
        <v>8.5230123840504266</v>
      </c>
      <c r="AA699" s="2">
        <f t="shared" si="292"/>
        <v>928.15372773219656</v>
      </c>
      <c r="AB699" s="19">
        <f t="shared" si="295"/>
        <v>100.12400640419234</v>
      </c>
      <c r="AC699" s="2"/>
      <c r="AD699" s="18"/>
      <c r="AE699" s="118"/>
      <c r="AG699" s="2"/>
      <c r="AH699" s="19"/>
      <c r="AI699" s="20"/>
      <c r="AJ699" s="21"/>
      <c r="AK699" s="21"/>
      <c r="AM699" s="19"/>
      <c r="AN699" s="18"/>
      <c r="AO699" s="2"/>
      <c r="AP699" s="18"/>
      <c r="AQ699" s="118"/>
      <c r="AS699" s="2"/>
      <c r="AT699" s="19"/>
      <c r="AU699" s="20"/>
      <c r="AV699" s="21"/>
      <c r="AW699" s="21"/>
    </row>
    <row r="700" spans="1:49" x14ac:dyDescent="0.25">
      <c r="A700" s="1">
        <f t="shared" si="278"/>
        <v>674</v>
      </c>
      <c r="B700" s="19">
        <f t="shared" si="279"/>
        <v>791.22289175049252</v>
      </c>
      <c r="C700" s="18">
        <f t="shared" si="293"/>
        <v>10.464413763262083</v>
      </c>
      <c r="D700" s="2">
        <f t="shared" si="272"/>
        <v>0.9686968475431198</v>
      </c>
      <c r="E700" s="18">
        <f t="shared" si="280"/>
        <v>10.480558710721136</v>
      </c>
      <c r="F700" s="21">
        <f t="shared" si="273"/>
        <v>8.0228604842173059</v>
      </c>
      <c r="G700" s="1">
        <f t="shared" si="274"/>
        <v>0</v>
      </c>
      <c r="H700" s="2">
        <f t="shared" si="270"/>
        <v>1835.747740427855</v>
      </c>
      <c r="I700" s="19">
        <f t="shared" si="296"/>
        <v>794.69599152720991</v>
      </c>
      <c r="J700" s="20">
        <f t="shared" si="275"/>
        <v>0.90472872312620911</v>
      </c>
      <c r="K700" s="21">
        <f t="shared" si="276"/>
        <v>774.87417160526024</v>
      </c>
      <c r="L700" s="21">
        <f t="shared" si="271"/>
        <v>6.4385298310607606</v>
      </c>
      <c r="M700" s="2">
        <f t="shared" si="281"/>
        <v>615.31748106840371</v>
      </c>
      <c r="N700" s="19">
        <f t="shared" si="294"/>
        <v>349.0432751378213</v>
      </c>
      <c r="O700" s="1">
        <f t="shared" si="282"/>
        <v>674</v>
      </c>
      <c r="P700" s="19">
        <f t="shared" si="283"/>
        <v>1183.4707720758702</v>
      </c>
      <c r="Q700" s="18">
        <f t="shared" si="284"/>
        <v>12.058343155032864</v>
      </c>
      <c r="R700" s="2">
        <f t="shared" si="285"/>
        <v>0.97652880930955843</v>
      </c>
      <c r="S700" s="18">
        <f t="shared" si="286"/>
        <v>12.074618635188022</v>
      </c>
      <c r="T700" s="18">
        <f t="shared" si="287"/>
        <v>10.605353472273379</v>
      </c>
      <c r="U700" s="1">
        <f t="shared" si="277"/>
        <v>0</v>
      </c>
      <c r="V700" s="2">
        <f t="shared" si="288"/>
        <v>2744.4228369675334</v>
      </c>
      <c r="W700" s="19">
        <f t="shared" si="289"/>
        <v>1188.0618341850793</v>
      </c>
      <c r="X700" s="20"/>
      <c r="Y700" s="2">
        <f t="shared" si="290"/>
        <v>1168.3304884069385</v>
      </c>
      <c r="Z700" s="21">
        <f t="shared" si="291"/>
        <v>8.546035403321051</v>
      </c>
      <c r="AA700" s="2">
        <f t="shared" si="292"/>
        <v>931.85331015787665</v>
      </c>
      <c r="AB700" s="19">
        <f t="shared" si="295"/>
        <v>100.1854173348954</v>
      </c>
      <c r="AC700" s="2"/>
      <c r="AD700" s="18"/>
      <c r="AE700" s="118"/>
      <c r="AG700" s="2"/>
      <c r="AH700" s="19"/>
      <c r="AI700" s="20"/>
      <c r="AJ700" s="21"/>
      <c r="AK700" s="21"/>
      <c r="AM700" s="19"/>
      <c r="AN700" s="18"/>
      <c r="AO700" s="2"/>
      <c r="AP700" s="18"/>
      <c r="AQ700" s="118"/>
      <c r="AS700" s="2"/>
      <c r="AT700" s="19"/>
      <c r="AU700" s="20"/>
      <c r="AV700" s="21"/>
      <c r="AW700" s="21"/>
    </row>
    <row r="701" spans="1:49" x14ac:dyDescent="0.25">
      <c r="A701" s="1">
        <f t="shared" si="278"/>
        <v>675</v>
      </c>
      <c r="B701" s="19">
        <f t="shared" si="279"/>
        <v>794.69599152720991</v>
      </c>
      <c r="C701" s="18">
        <f t="shared" si="293"/>
        <v>10.480558710721136</v>
      </c>
      <c r="D701" s="2">
        <f t="shared" si="272"/>
        <v>0.96878170771045458</v>
      </c>
      <c r="E701" s="18">
        <f t="shared" si="280"/>
        <v>10.49670507251631</v>
      </c>
      <c r="F701" s="21">
        <f t="shared" si="273"/>
        <v>8.0472375483306049</v>
      </c>
      <c r="G701" s="1">
        <f t="shared" si="274"/>
        <v>0</v>
      </c>
      <c r="H701" s="2">
        <f t="shared" si="270"/>
        <v>1843.7949779761857</v>
      </c>
      <c r="I701" s="19">
        <f t="shared" si="296"/>
        <v>798.17964414553489</v>
      </c>
      <c r="J701" s="20">
        <f t="shared" si="275"/>
        <v>0.90467531805421653</v>
      </c>
      <c r="K701" s="21">
        <f t="shared" si="276"/>
        <v>778.35862546368742</v>
      </c>
      <c r="L701" s="21">
        <f t="shared" si="271"/>
        <v>6.458383526747415</v>
      </c>
      <c r="M701" s="2">
        <f t="shared" si="281"/>
        <v>618.11331809296973</v>
      </c>
      <c r="N701" s="19">
        <f t="shared" si="294"/>
        <v>349.11393111106918</v>
      </c>
      <c r="O701" s="1">
        <f t="shared" si="282"/>
        <v>675</v>
      </c>
      <c r="P701" s="19">
        <f t="shared" si="283"/>
        <v>1188.0618341850793</v>
      </c>
      <c r="Q701" s="18">
        <f t="shared" si="284"/>
        <v>12.074618635188022</v>
      </c>
      <c r="R701" s="2">
        <f t="shared" si="285"/>
        <v>0.97660443101669991</v>
      </c>
      <c r="S701" s="18">
        <f t="shared" si="286"/>
        <v>12.090895375704967</v>
      </c>
      <c r="T701" s="18">
        <f t="shared" si="287"/>
        <v>10.63355341215494</v>
      </c>
      <c r="U701" s="1">
        <f t="shared" si="277"/>
        <v>0</v>
      </c>
      <c r="V701" s="2">
        <f t="shared" si="288"/>
        <v>2755.0563903796883</v>
      </c>
      <c r="W701" s="19">
        <f t="shared" si="289"/>
        <v>1192.6651040604711</v>
      </c>
      <c r="X701" s="20"/>
      <c r="Y701" s="2">
        <f t="shared" si="290"/>
        <v>1172.9348170344015</v>
      </c>
      <c r="Z701" s="21">
        <f t="shared" si="291"/>
        <v>8.5690912629358955</v>
      </c>
      <c r="AA701" s="2">
        <f t="shared" si="292"/>
        <v>935.56287347516491</v>
      </c>
      <c r="AB701" s="19">
        <f t="shared" si="295"/>
        <v>100.24674548928775</v>
      </c>
      <c r="AC701" s="2"/>
      <c r="AD701" s="18"/>
      <c r="AE701" s="118"/>
      <c r="AG701" s="2"/>
      <c r="AH701" s="19"/>
      <c r="AI701" s="20"/>
      <c r="AJ701" s="21"/>
      <c r="AK701" s="21"/>
      <c r="AM701" s="19"/>
      <c r="AN701" s="18"/>
      <c r="AO701" s="2"/>
      <c r="AP701" s="18"/>
      <c r="AQ701" s="118"/>
      <c r="AS701" s="2"/>
      <c r="AT701" s="19"/>
      <c r="AU701" s="20"/>
      <c r="AV701" s="21"/>
      <c r="AW701" s="21"/>
    </row>
    <row r="702" spans="1:49" x14ac:dyDescent="0.25">
      <c r="A702" s="1">
        <f t="shared" si="278"/>
        <v>676</v>
      </c>
      <c r="B702" s="19">
        <f t="shared" si="279"/>
        <v>798.17964414553489</v>
      </c>
      <c r="C702" s="18">
        <f t="shared" si="293"/>
        <v>10.49670507251631</v>
      </c>
      <c r="D702" s="2">
        <f t="shared" si="272"/>
        <v>0.96886646139397248</v>
      </c>
      <c r="E702" s="18">
        <f t="shared" si="280"/>
        <v>10.512852846872876</v>
      </c>
      <c r="F702" s="21">
        <f t="shared" si="273"/>
        <v>8.071653245034609</v>
      </c>
      <c r="G702" s="1">
        <f t="shared" si="274"/>
        <v>0</v>
      </c>
      <c r="H702" s="2">
        <f t="shared" si="270"/>
        <v>1851.8666312212204</v>
      </c>
      <c r="I702" s="19">
        <f t="shared" si="296"/>
        <v>801.67386632953264</v>
      </c>
      <c r="J702" s="20">
        <f t="shared" si="275"/>
        <v>0.90462195547889412</v>
      </c>
      <c r="K702" s="21">
        <f t="shared" si="276"/>
        <v>781.85365131878746</v>
      </c>
      <c r="L702" s="21">
        <f t="shared" si="271"/>
        <v>6.4782695264272094</v>
      </c>
      <c r="M702" s="2">
        <f t="shared" si="281"/>
        <v>620.91776377540577</v>
      </c>
      <c r="N702" s="19">
        <f t="shared" si="294"/>
        <v>349.18447839907731</v>
      </c>
      <c r="O702" s="1">
        <f t="shared" si="282"/>
        <v>676</v>
      </c>
      <c r="P702" s="19">
        <f t="shared" si="283"/>
        <v>1192.6651040604711</v>
      </c>
      <c r="Q702" s="18">
        <f t="shared" si="284"/>
        <v>12.090895375704967</v>
      </c>
      <c r="R702" s="2">
        <f t="shared" si="285"/>
        <v>0.97667996682286951</v>
      </c>
      <c r="S702" s="18">
        <f t="shared" si="286"/>
        <v>12.107173375152016</v>
      </c>
      <c r="T702" s="18">
        <f t="shared" si="287"/>
        <v>10.661792499563397</v>
      </c>
      <c r="U702" s="1">
        <f t="shared" si="277"/>
        <v>0</v>
      </c>
      <c r="V702" s="2">
        <f t="shared" si="288"/>
        <v>2765.7181828792518</v>
      </c>
      <c r="W702" s="19">
        <f t="shared" si="289"/>
        <v>1197.2805986490266</v>
      </c>
      <c r="X702" s="20"/>
      <c r="Y702" s="2">
        <f t="shared" si="290"/>
        <v>1177.5513731867125</v>
      </c>
      <c r="Z702" s="21">
        <f t="shared" si="291"/>
        <v>8.5921799680778239</v>
      </c>
      <c r="AA702" s="2">
        <f t="shared" si="292"/>
        <v>939.28243190290425</v>
      </c>
      <c r="AB702" s="19">
        <f t="shared" si="295"/>
        <v>100.30799108383448</v>
      </c>
      <c r="AC702" s="2"/>
      <c r="AD702" s="18"/>
      <c r="AE702" s="118"/>
      <c r="AG702" s="2"/>
      <c r="AH702" s="19"/>
      <c r="AI702" s="20"/>
      <c r="AJ702" s="21"/>
      <c r="AK702" s="21"/>
      <c r="AM702" s="19"/>
      <c r="AN702" s="18"/>
      <c r="AO702" s="2"/>
      <c r="AP702" s="18"/>
      <c r="AQ702" s="118"/>
      <c r="AS702" s="2"/>
      <c r="AT702" s="19"/>
      <c r="AU702" s="20"/>
      <c r="AV702" s="21"/>
      <c r="AW702" s="21"/>
    </row>
    <row r="703" spans="1:49" x14ac:dyDescent="0.25">
      <c r="A703" s="1">
        <f t="shared" si="278"/>
        <v>677</v>
      </c>
      <c r="B703" s="19">
        <f t="shared" si="279"/>
        <v>801.67386632953264</v>
      </c>
      <c r="C703" s="18">
        <f t="shared" si="293"/>
        <v>10.512852846872876</v>
      </c>
      <c r="D703" s="2">
        <f t="shared" si="272"/>
        <v>0.96895110884276159</v>
      </c>
      <c r="E703" s="18">
        <f t="shared" si="280"/>
        <v>10.529002032020255</v>
      </c>
      <c r="F703" s="21">
        <f t="shared" si="273"/>
        <v>8.0961075798754969</v>
      </c>
      <c r="G703" s="1">
        <f t="shared" si="274"/>
        <v>0</v>
      </c>
      <c r="H703" s="2">
        <f t="shared" si="270"/>
        <v>1859.9627388010958</v>
      </c>
      <c r="I703" s="19">
        <f t="shared" si="296"/>
        <v>805.17867480566917</v>
      </c>
      <c r="J703" s="20">
        <f t="shared" si="275"/>
        <v>0.90456863537830878</v>
      </c>
      <c r="K703" s="21">
        <f t="shared" si="276"/>
        <v>785.35926590087354</v>
      </c>
      <c r="L703" s="21">
        <f t="shared" si="271"/>
        <v>6.4981878359367666</v>
      </c>
      <c r="M703" s="2">
        <f t="shared" si="281"/>
        <v>623.73083210265111</v>
      </c>
      <c r="N703" s="19">
        <f t="shared" si="294"/>
        <v>349.25491732623374</v>
      </c>
      <c r="O703" s="1">
        <f t="shared" si="282"/>
        <v>677</v>
      </c>
      <c r="P703" s="19">
        <f t="shared" si="283"/>
        <v>1197.2805986490266</v>
      </c>
      <c r="Q703" s="18">
        <f t="shared" si="284"/>
        <v>12.107173375152016</v>
      </c>
      <c r="R703" s="2">
        <f t="shared" si="285"/>
        <v>0.9767554169189685</v>
      </c>
      <c r="S703" s="18">
        <f t="shared" si="286"/>
        <v>12.123452632100665</v>
      </c>
      <c r="T703" s="18">
        <f t="shared" si="287"/>
        <v>10.69007073941723</v>
      </c>
      <c r="U703" s="1">
        <f t="shared" si="277"/>
        <v>0</v>
      </c>
      <c r="V703" s="2">
        <f t="shared" si="288"/>
        <v>2776.4082536186684</v>
      </c>
      <c r="W703" s="19">
        <f t="shared" si="289"/>
        <v>1201.9083348998563</v>
      </c>
      <c r="X703" s="20"/>
      <c r="Y703" s="2">
        <f t="shared" si="290"/>
        <v>1182.1801738168801</v>
      </c>
      <c r="Z703" s="21">
        <f t="shared" si="291"/>
        <v>8.6153015239238488</v>
      </c>
      <c r="AA703" s="2">
        <f t="shared" si="292"/>
        <v>943.0119996621786</v>
      </c>
      <c r="AB703" s="19">
        <f t="shared" si="295"/>
        <v>100.3691543341607</v>
      </c>
      <c r="AC703" s="2"/>
      <c r="AD703" s="18"/>
      <c r="AE703" s="118"/>
      <c r="AG703" s="2"/>
      <c r="AH703" s="19"/>
      <c r="AI703" s="20"/>
      <c r="AJ703" s="21"/>
      <c r="AK703" s="21"/>
      <c r="AM703" s="19"/>
      <c r="AN703" s="18"/>
      <c r="AO703" s="2"/>
      <c r="AP703" s="18"/>
      <c r="AQ703" s="118"/>
      <c r="AS703" s="2"/>
      <c r="AT703" s="19"/>
      <c r="AU703" s="20"/>
      <c r="AV703" s="21"/>
      <c r="AW703" s="21"/>
    </row>
    <row r="704" spans="1:49" x14ac:dyDescent="0.25">
      <c r="A704" s="1">
        <f t="shared" si="278"/>
        <v>678</v>
      </c>
      <c r="B704" s="19">
        <f t="shared" si="279"/>
        <v>805.17867480566917</v>
      </c>
      <c r="C704" s="18">
        <f t="shared" si="293"/>
        <v>10.529002032020255</v>
      </c>
      <c r="D704" s="2">
        <f t="shared" si="272"/>
        <v>0.96903565030519567</v>
      </c>
      <c r="E704" s="18">
        <f t="shared" si="280"/>
        <v>10.545152626192008</v>
      </c>
      <c r="F704" s="21">
        <f t="shared" si="273"/>
        <v>8.1206005583922387</v>
      </c>
      <c r="G704" s="1">
        <f t="shared" si="274"/>
        <v>0</v>
      </c>
      <c r="H704" s="2">
        <f t="shared" si="270"/>
        <v>1868.083339359488</v>
      </c>
      <c r="I704" s="19">
        <f t="shared" si="296"/>
        <v>808.69408630280861</v>
      </c>
      <c r="J704" s="20">
        <f t="shared" si="275"/>
        <v>0.90451535773023595</v>
      </c>
      <c r="K704" s="21">
        <f t="shared" si="276"/>
        <v>788.87548594265741</v>
      </c>
      <c r="L704" s="21">
        <f t="shared" si="271"/>
        <v>6.5181384611051181</v>
      </c>
      <c r="M704" s="2">
        <f t="shared" si="281"/>
        <v>626.55253706416852</v>
      </c>
      <c r="N704" s="19">
        <f t="shared" si="294"/>
        <v>349.32524821548947</v>
      </c>
      <c r="O704" s="1">
        <f t="shared" si="282"/>
        <v>678</v>
      </c>
      <c r="P704" s="19">
        <f t="shared" si="283"/>
        <v>1201.9083348998563</v>
      </c>
      <c r="Q704" s="18">
        <f t="shared" si="284"/>
        <v>12.123452632100665</v>
      </c>
      <c r="R704" s="2">
        <f t="shared" si="285"/>
        <v>0.97683078149531144</v>
      </c>
      <c r="S704" s="18">
        <f t="shared" si="286"/>
        <v>12.139733145125588</v>
      </c>
      <c r="T704" s="18">
        <f t="shared" si="287"/>
        <v>10.718388136629393</v>
      </c>
      <c r="U704" s="1">
        <f t="shared" si="277"/>
        <v>0</v>
      </c>
      <c r="V704" s="2">
        <f t="shared" si="288"/>
        <v>2787.1266417552974</v>
      </c>
      <c r="W704" s="19">
        <f t="shared" si="289"/>
        <v>1206.5483297641979</v>
      </c>
      <c r="X704" s="20"/>
      <c r="Y704" s="2">
        <f t="shared" si="290"/>
        <v>1186.8212358800406</v>
      </c>
      <c r="Z704" s="21">
        <f t="shared" si="291"/>
        <v>8.6384559356451369</v>
      </c>
      <c r="AA704" s="2">
        <f t="shared" si="292"/>
        <v>946.75159097631069</v>
      </c>
      <c r="AB704" s="19">
        <f t="shared" si="295"/>
        <v>100.43023545505579</v>
      </c>
      <c r="AC704" s="2"/>
      <c r="AD704" s="18"/>
      <c r="AE704" s="118"/>
      <c r="AG704" s="2"/>
      <c r="AH704" s="19"/>
      <c r="AI704" s="20"/>
      <c r="AJ704" s="21"/>
      <c r="AK704" s="21"/>
      <c r="AM704" s="19"/>
      <c r="AN704" s="18"/>
      <c r="AO704" s="2"/>
      <c r="AP704" s="18"/>
      <c r="AQ704" s="118"/>
      <c r="AS704" s="2"/>
      <c r="AT704" s="19"/>
      <c r="AU704" s="20"/>
      <c r="AV704" s="21"/>
      <c r="AW704" s="21"/>
    </row>
    <row r="705" spans="1:49" x14ac:dyDescent="0.25">
      <c r="A705" s="1">
        <f t="shared" si="278"/>
        <v>679</v>
      </c>
      <c r="B705" s="19">
        <f t="shared" si="279"/>
        <v>808.69408630280861</v>
      </c>
      <c r="C705" s="18">
        <f t="shared" si="293"/>
        <v>10.545152626192008</v>
      </c>
      <c r="D705" s="2">
        <f t="shared" si="272"/>
        <v>0.96912008602893629</v>
      </c>
      <c r="E705" s="18">
        <f t="shared" si="280"/>
        <v>10.561304627625823</v>
      </c>
      <c r="F705" s="21">
        <f t="shared" si="273"/>
        <v>8.1451321861165908</v>
      </c>
      <c r="G705" s="1">
        <f t="shared" si="274"/>
        <v>0</v>
      </c>
      <c r="H705" s="2">
        <f t="shared" si="270"/>
        <v>1876.2284715456046</v>
      </c>
      <c r="I705" s="19">
        <f t="shared" si="296"/>
        <v>812.22011755220979</v>
      </c>
      <c r="J705" s="20">
        <f t="shared" si="275"/>
        <v>0.90446212251216496</v>
      </c>
      <c r="K705" s="21">
        <f t="shared" si="276"/>
        <v>792.40232817924584</v>
      </c>
      <c r="L705" s="21">
        <f t="shared" si="271"/>
        <v>6.5381214077537289</v>
      </c>
      <c r="M705" s="2">
        <f t="shared" si="281"/>
        <v>629.38289265194067</v>
      </c>
      <c r="N705" s="19">
        <f t="shared" si="294"/>
        <v>349.39547138836684</v>
      </c>
      <c r="O705" s="1">
        <f t="shared" si="282"/>
        <v>679</v>
      </c>
      <c r="P705" s="19">
        <f t="shared" si="283"/>
        <v>1206.5483297641979</v>
      </c>
      <c r="Q705" s="18">
        <f t="shared" si="284"/>
        <v>12.139733145125588</v>
      </c>
      <c r="R705" s="2">
        <f t="shared" si="285"/>
        <v>0.97690606074162978</v>
      </c>
      <c r="S705" s="18">
        <f t="shared" si="286"/>
        <v>12.156014912804615</v>
      </c>
      <c r="T705" s="18">
        <f t="shared" si="287"/>
        <v>10.746744696107333</v>
      </c>
      <c r="U705" s="1">
        <f t="shared" si="277"/>
        <v>0</v>
      </c>
      <c r="V705" s="2">
        <f t="shared" si="288"/>
        <v>2797.8733864514043</v>
      </c>
      <c r="W705" s="19">
        <f t="shared" si="289"/>
        <v>1211.200600195413</v>
      </c>
      <c r="X705" s="20"/>
      <c r="Y705" s="2">
        <f t="shared" si="290"/>
        <v>1191.4745763334552</v>
      </c>
      <c r="Z705" s="21">
        <f t="shared" si="291"/>
        <v>8.6616432084070496</v>
      </c>
      <c r="AA705" s="2">
        <f t="shared" si="292"/>
        <v>950.50122007085918</v>
      </c>
      <c r="AB705" s="19">
        <f t="shared" si="295"/>
        <v>100.49123466047776</v>
      </c>
      <c r="AC705" s="2"/>
      <c r="AD705" s="18"/>
      <c r="AE705" s="118"/>
      <c r="AG705" s="2"/>
      <c r="AH705" s="19"/>
      <c r="AI705" s="20"/>
      <c r="AJ705" s="21"/>
      <c r="AK705" s="21"/>
      <c r="AM705" s="19"/>
      <c r="AN705" s="18"/>
      <c r="AO705" s="2"/>
      <c r="AP705" s="18"/>
      <c r="AQ705" s="118"/>
      <c r="AS705" s="2"/>
      <c r="AT705" s="19"/>
      <c r="AU705" s="20"/>
      <c r="AV705" s="21"/>
      <c r="AW705" s="21"/>
    </row>
    <row r="706" spans="1:49" x14ac:dyDescent="0.25">
      <c r="A706" s="1">
        <f t="shared" si="278"/>
        <v>680</v>
      </c>
      <c r="B706" s="19">
        <f t="shared" si="279"/>
        <v>812.22011755220979</v>
      </c>
      <c r="C706" s="18">
        <f t="shared" si="293"/>
        <v>10.561304627625823</v>
      </c>
      <c r="D706" s="2">
        <f t="shared" si="272"/>
        <v>0.96920441626093301</v>
      </c>
      <c r="E706" s="18">
        <f t="shared" si="280"/>
        <v>10.577458034563506</v>
      </c>
      <c r="F706" s="21">
        <f t="shared" si="273"/>
        <v>8.1697024685731385</v>
      </c>
      <c r="G706" s="1">
        <f t="shared" si="274"/>
        <v>0</v>
      </c>
      <c r="H706" s="2">
        <f t="shared" si="270"/>
        <v>1884.3981740141778</v>
      </c>
      <c r="I706" s="19">
        <f t="shared" si="296"/>
        <v>815.7567852875228</v>
      </c>
      <c r="J706" s="20">
        <f t="shared" si="275"/>
        <v>0.90440892970130038</v>
      </c>
      <c r="K706" s="21">
        <f t="shared" si="276"/>
        <v>795.93980934813806</v>
      </c>
      <c r="L706" s="21">
        <f t="shared" si="271"/>
        <v>6.558136681696511</v>
      </c>
      <c r="M706" s="2">
        <f t="shared" si="281"/>
        <v>632.22191286046734</v>
      </c>
      <c r="N706" s="19">
        <f t="shared" si="294"/>
        <v>349.46558716496799</v>
      </c>
      <c r="O706" s="1">
        <f t="shared" si="282"/>
        <v>680</v>
      </c>
      <c r="P706" s="19">
        <f t="shared" si="283"/>
        <v>1211.200600195413</v>
      </c>
      <c r="Q706" s="18">
        <f t="shared" si="284"/>
        <v>12.156014912804615</v>
      </c>
      <c r="R706" s="2">
        <f t="shared" si="285"/>
        <v>0.97698125484707277</v>
      </c>
      <c r="S706" s="18">
        <f t="shared" si="286"/>
        <v>12.172297933718733</v>
      </c>
      <c r="T706" s="18">
        <f t="shared" si="287"/>
        <v>10.775140422753012</v>
      </c>
      <c r="U706" s="1">
        <f t="shared" si="277"/>
        <v>0</v>
      </c>
      <c r="V706" s="2">
        <f t="shared" si="288"/>
        <v>2808.6485268741571</v>
      </c>
      <c r="W706" s="19">
        <f t="shared" si="289"/>
        <v>1215.8651631489859</v>
      </c>
      <c r="X706" s="20"/>
      <c r="Y706" s="2">
        <f t="shared" si="290"/>
        <v>1196.1402121365072</v>
      </c>
      <c r="Z706" s="21">
        <f t="shared" si="291"/>
        <v>8.6848633473691486</v>
      </c>
      <c r="AA706" s="2">
        <f t="shared" si="292"/>
        <v>954.26090117361639</v>
      </c>
      <c r="AB706" s="19">
        <f t="shared" si="295"/>
        <v>100.55215216355744</v>
      </c>
      <c r="AC706" s="2"/>
      <c r="AD706" s="18"/>
      <c r="AE706" s="118"/>
      <c r="AG706" s="2"/>
      <c r="AH706" s="19"/>
      <c r="AI706" s="20"/>
      <c r="AJ706" s="21"/>
      <c r="AK706" s="21"/>
      <c r="AM706" s="19"/>
      <c r="AN706" s="18"/>
      <c r="AO706" s="2"/>
      <c r="AP706" s="18"/>
      <c r="AQ706" s="118"/>
      <c r="AS706" s="2"/>
      <c r="AT706" s="19"/>
      <c r="AU706" s="20"/>
      <c r="AV706" s="21"/>
      <c r="AW706" s="21"/>
    </row>
    <row r="707" spans="1:49" x14ac:dyDescent="0.25">
      <c r="A707" s="1">
        <f t="shared" si="278"/>
        <v>681</v>
      </c>
      <c r="B707" s="19">
        <f t="shared" si="279"/>
        <v>815.7567852875228</v>
      </c>
      <c r="C707" s="18">
        <f t="shared" si="293"/>
        <v>10.577458034563506</v>
      </c>
      <c r="D707" s="2">
        <f t="shared" si="272"/>
        <v>0.96928864124742509</v>
      </c>
      <c r="E707" s="18">
        <f t="shared" si="280"/>
        <v>10.593612845250963</v>
      </c>
      <c r="F707" s="21">
        <f t="shared" si="273"/>
        <v>8.1943114112793083</v>
      </c>
      <c r="G707" s="1">
        <f t="shared" si="274"/>
        <v>0</v>
      </c>
      <c r="H707" s="2">
        <f t="shared" si="270"/>
        <v>1892.5924854254572</v>
      </c>
      <c r="I707" s="19">
        <f t="shared" si="296"/>
        <v>819.30410624478668</v>
      </c>
      <c r="J707" s="20">
        <f t="shared" si="275"/>
        <v>0.90435577927456734</v>
      </c>
      <c r="K707" s="21">
        <f t="shared" si="276"/>
        <v>799.48794618922204</v>
      </c>
      <c r="L707" s="21">
        <f t="shared" si="271"/>
        <v>6.5781842887398536</v>
      </c>
      <c r="M707" s="2">
        <f t="shared" si="281"/>
        <v>635.06961168676162</v>
      </c>
      <c r="N707" s="19">
        <f t="shared" si="294"/>
        <v>349.53559586398313</v>
      </c>
      <c r="O707" s="1">
        <f t="shared" si="282"/>
        <v>681</v>
      </c>
      <c r="P707" s="19">
        <f t="shared" si="283"/>
        <v>1215.8651631489859</v>
      </c>
      <c r="Q707" s="18">
        <f t="shared" si="284"/>
        <v>12.172297933718733</v>
      </c>
      <c r="R707" s="2">
        <f t="shared" si="285"/>
        <v>0.97705636400020945</v>
      </c>
      <c r="S707" s="18">
        <f t="shared" si="286"/>
        <v>12.18858220645207</v>
      </c>
      <c r="T707" s="18">
        <f t="shared" si="287"/>
        <v>10.80357532146288</v>
      </c>
      <c r="U707" s="1">
        <f t="shared" si="277"/>
        <v>0</v>
      </c>
      <c r="V707" s="2">
        <f t="shared" si="288"/>
        <v>2819.4521021956207</v>
      </c>
      <c r="W707" s="19">
        <f t="shared" si="289"/>
        <v>1220.5420355825197</v>
      </c>
      <c r="X707" s="20"/>
      <c r="Y707" s="2">
        <f t="shared" si="290"/>
        <v>1200.8181602507007</v>
      </c>
      <c r="Z707" s="21">
        <f t="shared" si="291"/>
        <v>8.7081163576851814</v>
      </c>
      <c r="AA707" s="2">
        <f t="shared" si="292"/>
        <v>958.03064851460567</v>
      </c>
      <c r="AB707" s="19">
        <f t="shared" si="295"/>
        <v>100.61298817660277</v>
      </c>
      <c r="AC707" s="2"/>
      <c r="AD707" s="18"/>
      <c r="AE707" s="118"/>
      <c r="AG707" s="2"/>
      <c r="AH707" s="19"/>
      <c r="AI707" s="20"/>
      <c r="AJ707" s="21"/>
      <c r="AK707" s="21"/>
      <c r="AM707" s="19"/>
      <c r="AN707" s="18"/>
      <c r="AO707" s="2"/>
      <c r="AP707" s="18"/>
      <c r="AQ707" s="118"/>
      <c r="AS707" s="2"/>
      <c r="AT707" s="19"/>
      <c r="AU707" s="20"/>
      <c r="AV707" s="21"/>
      <c r="AW707" s="21"/>
    </row>
    <row r="708" spans="1:49" x14ac:dyDescent="0.25">
      <c r="A708" s="1">
        <f t="shared" si="278"/>
        <v>682</v>
      </c>
      <c r="B708" s="19">
        <f t="shared" si="279"/>
        <v>819.30410624478668</v>
      </c>
      <c r="C708" s="18">
        <f t="shared" si="293"/>
        <v>10.593612845250963</v>
      </c>
      <c r="D708" s="2">
        <f t="shared" si="272"/>
        <v>0.96937276123394311</v>
      </c>
      <c r="E708" s="18">
        <f t="shared" si="280"/>
        <v>10.609769057938195</v>
      </c>
      <c r="F708" s="21">
        <f t="shared" si="273"/>
        <v>8.2189590197453857</v>
      </c>
      <c r="G708" s="1">
        <f t="shared" si="274"/>
        <v>0</v>
      </c>
      <c r="H708" s="2">
        <f t="shared" si="270"/>
        <v>1900.8114444452026</v>
      </c>
      <c r="I708" s="19">
        <f t="shared" si="296"/>
        <v>822.86209716242536</v>
      </c>
      <c r="J708" s="20">
        <f t="shared" si="275"/>
        <v>0.90430267120861318</v>
      </c>
      <c r="K708" s="21">
        <f t="shared" si="276"/>
        <v>803.04675544477175</v>
      </c>
      <c r="L708" s="21">
        <f t="shared" si="271"/>
        <v>6.5982642346826434</v>
      </c>
      <c r="M708" s="2">
        <f t="shared" si="281"/>
        <v>637.92600313034723</v>
      </c>
      <c r="N708" s="19">
        <f t="shared" si="294"/>
        <v>349.60549780269889</v>
      </c>
      <c r="O708" s="1">
        <f t="shared" si="282"/>
        <v>682</v>
      </c>
      <c r="P708" s="19">
        <f t="shared" si="283"/>
        <v>1220.5420355825197</v>
      </c>
      <c r="Q708" s="18">
        <f t="shared" si="284"/>
        <v>12.18858220645207</v>
      </c>
      <c r="R708" s="2">
        <f t="shared" si="285"/>
        <v>0.97713138838903113</v>
      </c>
      <c r="S708" s="18">
        <f t="shared" si="286"/>
        <v>12.204867729591887</v>
      </c>
      <c r="T708" s="18">
        <f t="shared" si="287"/>
        <v>10.832049397127935</v>
      </c>
      <c r="U708" s="1">
        <f t="shared" si="277"/>
        <v>0</v>
      </c>
      <c r="V708" s="2">
        <f t="shared" si="288"/>
        <v>2830.2841515927485</v>
      </c>
      <c r="W708" s="19">
        <f t="shared" si="289"/>
        <v>1225.2312344557351</v>
      </c>
      <c r="X708" s="20"/>
      <c r="Y708" s="2">
        <f t="shared" si="290"/>
        <v>1205.5084376396571</v>
      </c>
      <c r="Z708" s="21">
        <f t="shared" si="291"/>
        <v>8.7314022445031334</v>
      </c>
      <c r="AA708" s="2">
        <f t="shared" si="292"/>
        <v>961.81047632607886</v>
      </c>
      <c r="AB708" s="19">
        <f t="shared" si="295"/>
        <v>100.67374291110302</v>
      </c>
      <c r="AC708" s="2"/>
      <c r="AD708" s="18"/>
      <c r="AE708" s="118"/>
      <c r="AG708" s="2"/>
      <c r="AH708" s="19"/>
      <c r="AI708" s="20"/>
      <c r="AJ708" s="21"/>
      <c r="AK708" s="21"/>
      <c r="AM708" s="19"/>
      <c r="AN708" s="18"/>
      <c r="AO708" s="2"/>
      <c r="AP708" s="18"/>
      <c r="AQ708" s="118"/>
      <c r="AS708" s="2"/>
      <c r="AT708" s="19"/>
      <c r="AU708" s="20"/>
      <c r="AV708" s="21"/>
      <c r="AW708" s="21"/>
    </row>
    <row r="709" spans="1:49" x14ac:dyDescent="0.25">
      <c r="A709" s="1">
        <f t="shared" si="278"/>
        <v>683</v>
      </c>
      <c r="B709" s="19">
        <f t="shared" si="279"/>
        <v>822.86209716242536</v>
      </c>
      <c r="C709" s="18">
        <f t="shared" si="293"/>
        <v>10.609769057938195</v>
      </c>
      <c r="D709" s="2">
        <f t="shared" si="272"/>
        <v>0.96945677646531003</v>
      </c>
      <c r="E709" s="18">
        <f t="shared" si="280"/>
        <v>10.625926670879283</v>
      </c>
      <c r="F709" s="21">
        <f t="shared" si="273"/>
        <v>8.2436452994745455</v>
      </c>
      <c r="G709" s="1">
        <f t="shared" si="274"/>
        <v>0</v>
      </c>
      <c r="H709" s="2">
        <f t="shared" si="270"/>
        <v>1909.0550897446772</v>
      </c>
      <c r="I709" s="19">
        <f t="shared" si="296"/>
        <v>826.43077478124553</v>
      </c>
      <c r="J709" s="20">
        <f t="shared" si="275"/>
        <v>0.90424960547981192</v>
      </c>
      <c r="K709" s="21">
        <f t="shared" si="276"/>
        <v>806.61625385944421</v>
      </c>
      <c r="L709" s="21">
        <f t="shared" si="271"/>
        <v>6.6183765253162798</v>
      </c>
      <c r="M709" s="2">
        <f t="shared" si="281"/>
        <v>640.79110119325469</v>
      </c>
      <c r="N709" s="19">
        <f t="shared" si="294"/>
        <v>349.67529329700642</v>
      </c>
      <c r="O709" s="1">
        <f t="shared" si="282"/>
        <v>683</v>
      </c>
      <c r="P709" s="19">
        <f t="shared" si="283"/>
        <v>1225.2312344557351</v>
      </c>
      <c r="Q709" s="18">
        <f t="shared" si="284"/>
        <v>12.204867729591887</v>
      </c>
      <c r="R709" s="2">
        <f t="shared" si="285"/>
        <v>0.97720632820095354</v>
      </c>
      <c r="S709" s="18">
        <f t="shared" si="286"/>
        <v>12.22115450172857</v>
      </c>
      <c r="T709" s="18">
        <f t="shared" si="287"/>
        <v>10.860562654633714</v>
      </c>
      <c r="U709" s="1">
        <f t="shared" si="277"/>
        <v>0</v>
      </c>
      <c r="V709" s="2">
        <f t="shared" si="288"/>
        <v>2841.1447142473821</v>
      </c>
      <c r="W709" s="19">
        <f t="shared" si="289"/>
        <v>1229.9327767304685</v>
      </c>
      <c r="X709" s="20"/>
      <c r="Y709" s="2">
        <f t="shared" si="290"/>
        <v>1210.2110612691135</v>
      </c>
      <c r="Z709" s="21">
        <f t="shared" si="291"/>
        <v>8.7547210129652306</v>
      </c>
      <c r="AA709" s="2">
        <f t="shared" si="292"/>
        <v>965.60039884251398</v>
      </c>
      <c r="AB709" s="19">
        <f t="shared" si="295"/>
        <v>100.73441657773293</v>
      </c>
      <c r="AC709" s="2"/>
      <c r="AD709" s="18"/>
      <c r="AE709" s="118"/>
      <c r="AG709" s="2"/>
      <c r="AH709" s="19"/>
      <c r="AI709" s="20"/>
      <c r="AJ709" s="21"/>
      <c r="AK709" s="21"/>
      <c r="AM709" s="19"/>
      <c r="AN709" s="18"/>
      <c r="AO709" s="2"/>
      <c r="AP709" s="18"/>
      <c r="AQ709" s="118"/>
      <c r="AS709" s="2"/>
      <c r="AT709" s="19"/>
      <c r="AU709" s="20"/>
      <c r="AV709" s="21"/>
      <c r="AW709" s="21"/>
    </row>
    <row r="710" spans="1:49" x14ac:dyDescent="0.25">
      <c r="A710" s="1">
        <f t="shared" si="278"/>
        <v>684</v>
      </c>
      <c r="B710" s="19">
        <f t="shared" si="279"/>
        <v>826.43077478124553</v>
      </c>
      <c r="C710" s="18">
        <f t="shared" si="293"/>
        <v>10.625926670879283</v>
      </c>
      <c r="D710" s="2">
        <f t="shared" si="272"/>
        <v>0.96954068718564201</v>
      </c>
      <c r="E710" s="18">
        <f t="shared" si="280"/>
        <v>10.642085682332377</v>
      </c>
      <c r="F710" s="21">
        <f t="shared" si="273"/>
        <v>8.2683702559628678</v>
      </c>
      <c r="G710" s="1">
        <f t="shared" si="274"/>
        <v>0</v>
      </c>
      <c r="H710" s="2">
        <f t="shared" si="270"/>
        <v>1917.3234600006401</v>
      </c>
      <c r="I710" s="19">
        <f t="shared" si="296"/>
        <v>830.01015584443292</v>
      </c>
      <c r="J710" s="20">
        <f t="shared" si="275"/>
        <v>0.90419658206426645</v>
      </c>
      <c r="K710" s="21">
        <f t="shared" si="276"/>
        <v>810.19645818027618</v>
      </c>
      <c r="L710" s="21">
        <f t="shared" si="271"/>
        <v>6.6385211664247059</v>
      </c>
      <c r="M710" s="2">
        <f t="shared" si="281"/>
        <v>643.6649198800186</v>
      </c>
      <c r="N710" s="19">
        <f t="shared" si="294"/>
        <v>349.74498266140949</v>
      </c>
      <c r="O710" s="1">
        <f t="shared" si="282"/>
        <v>684</v>
      </c>
      <c r="P710" s="19">
        <f t="shared" si="283"/>
        <v>1229.9327767304685</v>
      </c>
      <c r="Q710" s="18">
        <f t="shared" si="284"/>
        <v>12.22115450172857</v>
      </c>
      <c r="R710" s="2">
        <f t="shared" si="285"/>
        <v>0.97728118362281802</v>
      </c>
      <c r="S710" s="18">
        <f t="shared" si="286"/>
        <v>12.237442521455618</v>
      </c>
      <c r="T710" s="18">
        <f t="shared" si="287"/>
        <v>10.889115098860309</v>
      </c>
      <c r="U710" s="1">
        <f t="shared" si="277"/>
        <v>0</v>
      </c>
      <c r="V710" s="2">
        <f t="shared" si="288"/>
        <v>2852.0338293462423</v>
      </c>
      <c r="W710" s="19">
        <f t="shared" si="289"/>
        <v>1234.6466793706677</v>
      </c>
      <c r="X710" s="20"/>
      <c r="Y710" s="2">
        <f t="shared" si="290"/>
        <v>1214.92604810692</v>
      </c>
      <c r="Z710" s="21">
        <f t="shared" si="291"/>
        <v>8.7780726682079386</v>
      </c>
      <c r="AA710" s="2">
        <f t="shared" si="292"/>
        <v>969.4004303006127</v>
      </c>
      <c r="AB710" s="19">
        <f t="shared" si="295"/>
        <v>100.79500938635691</v>
      </c>
      <c r="AC710" s="2"/>
      <c r="AD710" s="18"/>
      <c r="AE710" s="118"/>
      <c r="AG710" s="2"/>
      <c r="AH710" s="19"/>
      <c r="AI710" s="20"/>
      <c r="AJ710" s="21"/>
      <c r="AK710" s="21"/>
      <c r="AM710" s="19"/>
      <c r="AN710" s="18"/>
      <c r="AO710" s="2"/>
      <c r="AP710" s="18"/>
      <c r="AQ710" s="118"/>
      <c r="AS710" s="2"/>
      <c r="AT710" s="19"/>
      <c r="AU710" s="20"/>
      <c r="AV710" s="21"/>
      <c r="AW710" s="21"/>
    </row>
    <row r="711" spans="1:49" x14ac:dyDescent="0.25">
      <c r="A711" s="1">
        <f t="shared" si="278"/>
        <v>685</v>
      </c>
      <c r="B711" s="19">
        <f t="shared" si="279"/>
        <v>830.01015584443292</v>
      </c>
      <c r="C711" s="18">
        <f t="shared" si="293"/>
        <v>10.642085682332377</v>
      </c>
      <c r="D711" s="2">
        <f t="shared" si="272"/>
        <v>0.96962449363835068</v>
      </c>
      <c r="E711" s="18">
        <f t="shared" si="280"/>
        <v>10.658246090559683</v>
      </c>
      <c r="F711" s="21">
        <f t="shared" si="273"/>
        <v>8.2931338946993449</v>
      </c>
      <c r="G711" s="1">
        <f t="shared" si="274"/>
        <v>0</v>
      </c>
      <c r="H711" s="2">
        <f t="shared" si="270"/>
        <v>1925.6165938953395</v>
      </c>
      <c r="I711" s="19">
        <f t="shared" si="296"/>
        <v>833.6002570975495</v>
      </c>
      <c r="J711" s="20">
        <f t="shared" si="275"/>
        <v>0.90414360093781321</v>
      </c>
      <c r="K711" s="21">
        <f t="shared" si="276"/>
        <v>813.78738515668101</v>
      </c>
      <c r="L711" s="21">
        <f t="shared" si="271"/>
        <v>6.6586981637844147</v>
      </c>
      <c r="M711" s="2">
        <f t="shared" si="281"/>
        <v>646.54747319767421</v>
      </c>
      <c r="N711" s="19">
        <f t="shared" si="294"/>
        <v>349.81456620903276</v>
      </c>
      <c r="O711" s="1">
        <f t="shared" si="282"/>
        <v>685</v>
      </c>
      <c r="P711" s="19">
        <f t="shared" si="283"/>
        <v>1234.6466793706677</v>
      </c>
      <c r="Q711" s="18">
        <f t="shared" si="284"/>
        <v>12.237442521455618</v>
      </c>
      <c r="R711" s="2">
        <f t="shared" si="285"/>
        <v>0.97735595484089399</v>
      </c>
      <c r="S711" s="18">
        <f t="shared" si="286"/>
        <v>12.253731787369633</v>
      </c>
      <c r="T711" s="18">
        <f t="shared" si="287"/>
        <v>10.917706734682373</v>
      </c>
      <c r="U711" s="1">
        <f t="shared" si="277"/>
        <v>0</v>
      </c>
      <c r="V711" s="2">
        <f t="shared" si="288"/>
        <v>2862.9515360809246</v>
      </c>
      <c r="W711" s="19">
        <f t="shared" si="289"/>
        <v>1239.3729593423916</v>
      </c>
      <c r="X711" s="20"/>
      <c r="Y711" s="2">
        <f t="shared" si="290"/>
        <v>1219.6534151230376</v>
      </c>
      <c r="Z711" s="21">
        <f t="shared" si="291"/>
        <v>8.8014572153619888</v>
      </c>
      <c r="AA711" s="2">
        <f t="shared" si="292"/>
        <v>973.21058493929752</v>
      </c>
      <c r="AB711" s="19">
        <f t="shared" si="295"/>
        <v>100.85552154603317</v>
      </c>
      <c r="AC711" s="2"/>
      <c r="AD711" s="18"/>
      <c r="AE711" s="118"/>
      <c r="AG711" s="2"/>
      <c r="AH711" s="19"/>
      <c r="AI711" s="20"/>
      <c r="AJ711" s="21"/>
      <c r="AK711" s="21"/>
      <c r="AM711" s="19"/>
      <c r="AN711" s="18"/>
      <c r="AO711" s="2"/>
      <c r="AP711" s="18"/>
      <c r="AQ711" s="118"/>
      <c r="AS711" s="2"/>
      <c r="AT711" s="19"/>
      <c r="AU711" s="20"/>
      <c r="AV711" s="21"/>
      <c r="AW711" s="21"/>
    </row>
    <row r="712" spans="1:49" x14ac:dyDescent="0.25">
      <c r="A712" s="1">
        <f t="shared" si="278"/>
        <v>686</v>
      </c>
      <c r="B712" s="19">
        <f t="shared" si="279"/>
        <v>833.6002570975495</v>
      </c>
      <c r="C712" s="18">
        <f t="shared" si="293"/>
        <v>10.658246090559683</v>
      </c>
      <c r="D712" s="2">
        <f t="shared" si="272"/>
        <v>0.96970819606614411</v>
      </c>
      <c r="E712" s="18">
        <f t="shared" si="280"/>
        <v>10.674407893827452</v>
      </c>
      <c r="F712" s="21">
        <f t="shared" si="273"/>
        <v>8.3179362211659225</v>
      </c>
      <c r="G712" s="1">
        <f t="shared" si="274"/>
        <v>0</v>
      </c>
      <c r="H712" s="2">
        <f t="shared" si="270"/>
        <v>1933.9345301165051</v>
      </c>
      <c r="I712" s="19">
        <f t="shared" si="296"/>
        <v>837.20109528853038</v>
      </c>
      <c r="J712" s="20">
        <f t="shared" si="275"/>
        <v>0.90409066207602451</v>
      </c>
      <c r="K712" s="21">
        <f t="shared" si="276"/>
        <v>817.38905154044585</v>
      </c>
      <c r="L712" s="21">
        <f t="shared" si="271"/>
        <v>6.6789075231644839</v>
      </c>
      <c r="M712" s="2">
        <f t="shared" si="281"/>
        <v>649.43877515575412</v>
      </c>
      <c r="N712" s="19">
        <f t="shared" si="294"/>
        <v>349.88404425162958</v>
      </c>
      <c r="O712" s="1">
        <f t="shared" si="282"/>
        <v>686</v>
      </c>
      <c r="P712" s="19">
        <f t="shared" si="283"/>
        <v>1239.3729593423916</v>
      </c>
      <c r="Q712" s="18">
        <f t="shared" si="284"/>
        <v>12.253731787369633</v>
      </c>
      <c r="R712" s="2">
        <f t="shared" si="285"/>
        <v>0.97743064204088115</v>
      </c>
      <c r="S712" s="18">
        <f t="shared" si="286"/>
        <v>12.270022298070314</v>
      </c>
      <c r="T712" s="18">
        <f t="shared" si="287"/>
        <v>10.946337566969149</v>
      </c>
      <c r="U712" s="1">
        <f t="shared" si="277"/>
        <v>0</v>
      </c>
      <c r="V712" s="2">
        <f t="shared" si="288"/>
        <v>2873.8978736478939</v>
      </c>
      <c r="W712" s="19">
        <f t="shared" si="289"/>
        <v>1244.1116336138068</v>
      </c>
      <c r="X712" s="20"/>
      <c r="Y712" s="2">
        <f t="shared" si="290"/>
        <v>1224.3931792895353</v>
      </c>
      <c r="Z712" s="21">
        <f t="shared" si="291"/>
        <v>8.8248746595523997</v>
      </c>
      <c r="AA712" s="2">
        <f t="shared" si="292"/>
        <v>977.03087699970979</v>
      </c>
      <c r="AB712" s="19">
        <f t="shared" si="295"/>
        <v>100.91595326501781</v>
      </c>
      <c r="AC712" s="2"/>
      <c r="AD712" s="18"/>
      <c r="AE712" s="118"/>
      <c r="AG712" s="2"/>
      <c r="AH712" s="19"/>
      <c r="AI712" s="20"/>
      <c r="AJ712" s="21"/>
      <c r="AK712" s="21"/>
      <c r="AM712" s="19"/>
      <c r="AN712" s="18"/>
      <c r="AO712" s="2"/>
      <c r="AP712" s="18"/>
      <c r="AQ712" s="118"/>
      <c r="AS712" s="2"/>
      <c r="AT712" s="19"/>
      <c r="AU712" s="20"/>
      <c r="AV712" s="21"/>
      <c r="AW712" s="21"/>
    </row>
    <row r="713" spans="1:49" x14ac:dyDescent="0.25">
      <c r="A713" s="1">
        <f t="shared" si="278"/>
        <v>687</v>
      </c>
      <c r="B713" s="19">
        <f t="shared" si="279"/>
        <v>837.20109528853038</v>
      </c>
      <c r="C713" s="18">
        <f t="shared" si="293"/>
        <v>10.674407893827452</v>
      </c>
      <c r="D713" s="2">
        <f t="shared" si="272"/>
        <v>0.96979179471102817</v>
      </c>
      <c r="E713" s="18">
        <f t="shared" si="280"/>
        <v>10.690571090405969</v>
      </c>
      <c r="F713" s="21">
        <f t="shared" si="273"/>
        <v>8.3427772408375116</v>
      </c>
      <c r="G713" s="1">
        <f t="shared" si="274"/>
        <v>0</v>
      </c>
      <c r="H713" s="2">
        <f t="shared" si="270"/>
        <v>1942.2773073573426</v>
      </c>
      <c r="I713" s="19">
        <f t="shared" si="296"/>
        <v>840.81268716768079</v>
      </c>
      <c r="J713" s="20">
        <f t="shared" si="275"/>
        <v>0.90403776545421111</v>
      </c>
      <c r="K713" s="21">
        <f t="shared" si="276"/>
        <v>821.00147408572855</v>
      </c>
      <c r="L713" s="21">
        <f t="shared" si="271"/>
        <v>6.6991492503265953</v>
      </c>
      <c r="M713" s="2">
        <f t="shared" si="281"/>
        <v>652.3388397662851</v>
      </c>
      <c r="N713" s="19">
        <f t="shared" si="294"/>
        <v>349.95341709959013</v>
      </c>
      <c r="O713" s="1">
        <f t="shared" si="282"/>
        <v>687</v>
      </c>
      <c r="P713" s="19">
        <f t="shared" si="283"/>
        <v>1244.1116336138068</v>
      </c>
      <c r="Q713" s="18">
        <f t="shared" si="284"/>
        <v>12.270022298070314</v>
      </c>
      <c r="R713" s="2">
        <f t="shared" si="285"/>
        <v>0.97750524540791073</v>
      </c>
      <c r="S713" s="18">
        <f t="shared" si="286"/>
        <v>12.286314052160446</v>
      </c>
      <c r="T713" s="18">
        <f t="shared" si="287"/>
        <v>10.975007600584487</v>
      </c>
      <c r="U713" s="1">
        <f t="shared" si="277"/>
        <v>0</v>
      </c>
      <c r="V713" s="2">
        <f t="shared" si="288"/>
        <v>2884.8728812484783</v>
      </c>
      <c r="W713" s="19">
        <f t="shared" si="289"/>
        <v>1248.8627191551855</v>
      </c>
      <c r="X713" s="20"/>
      <c r="Y713" s="2">
        <f t="shared" si="290"/>
        <v>1229.1453575805883</v>
      </c>
      <c r="Z713" s="21">
        <f t="shared" si="291"/>
        <v>8.848325005898479</v>
      </c>
      <c r="AA713" s="2">
        <f t="shared" si="292"/>
        <v>980.86132072520695</v>
      </c>
      <c r="AB713" s="19">
        <f t="shared" si="295"/>
        <v>100.97630475076889</v>
      </c>
      <c r="AC713" s="2"/>
      <c r="AD713" s="18"/>
      <c r="AE713" s="118"/>
      <c r="AG713" s="2"/>
      <c r="AH713" s="19"/>
      <c r="AI713" s="20"/>
      <c r="AJ713" s="21"/>
      <c r="AK713" s="21"/>
      <c r="AM713" s="19"/>
      <c r="AN713" s="18"/>
      <c r="AO713" s="2"/>
      <c r="AP713" s="18"/>
      <c r="AQ713" s="118"/>
      <c r="AS713" s="2"/>
      <c r="AT713" s="19"/>
      <c r="AU713" s="20"/>
      <c r="AV713" s="21"/>
      <c r="AW713" s="21"/>
    </row>
    <row r="714" spans="1:49" x14ac:dyDescent="0.25">
      <c r="A714" s="1">
        <f t="shared" si="278"/>
        <v>688</v>
      </c>
      <c r="B714" s="19">
        <f t="shared" si="279"/>
        <v>840.81268716768079</v>
      </c>
      <c r="C714" s="18">
        <f t="shared" si="293"/>
        <v>10.690571090405969</v>
      </c>
      <c r="D714" s="2">
        <f t="shared" si="272"/>
        <v>0.96987528981430782</v>
      </c>
      <c r="E714" s="18">
        <f t="shared" si="280"/>
        <v>10.70673567856954</v>
      </c>
      <c r="F714" s="21">
        <f t="shared" si="273"/>
        <v>8.3676569591820034</v>
      </c>
      <c r="G714" s="1">
        <f t="shared" si="274"/>
        <v>0</v>
      </c>
      <c r="H714" s="2">
        <f t="shared" si="270"/>
        <v>1950.6449643165247</v>
      </c>
      <c r="I714" s="19">
        <f t="shared" si="296"/>
        <v>844.43504948767304</v>
      </c>
      <c r="J714" s="20">
        <f t="shared" si="275"/>
        <v>0.90398491104742729</v>
      </c>
      <c r="K714" s="21">
        <f t="shared" si="276"/>
        <v>824.62466954905437</v>
      </c>
      <c r="L714" s="21">
        <f t="shared" si="271"/>
        <v>6.7194233510250463</v>
      </c>
      <c r="M714" s="2">
        <f t="shared" si="281"/>
        <v>655.24768104378518</v>
      </c>
      <c r="N714" s="19">
        <f t="shared" si="294"/>
        <v>350.02268506194923</v>
      </c>
      <c r="O714" s="1">
        <f t="shared" si="282"/>
        <v>688</v>
      </c>
      <c r="P714" s="19">
        <f t="shared" si="283"/>
        <v>1248.8627191551855</v>
      </c>
      <c r="Q714" s="18">
        <f t="shared" si="284"/>
        <v>12.286314052160446</v>
      </c>
      <c r="R714" s="2">
        <f t="shared" si="285"/>
        <v>0.97757976512654843</v>
      </c>
      <c r="S714" s="18">
        <f t="shared" si="286"/>
        <v>12.302607048245887</v>
      </c>
      <c r="T714" s="18">
        <f t="shared" si="287"/>
        <v>11.003716840386819</v>
      </c>
      <c r="U714" s="1">
        <f t="shared" si="277"/>
        <v>0</v>
      </c>
      <c r="V714" s="2">
        <f t="shared" si="288"/>
        <v>2895.8765980888652</v>
      </c>
      <c r="W714" s="19">
        <f t="shared" si="289"/>
        <v>1253.6262329389026</v>
      </c>
      <c r="X714" s="20"/>
      <c r="Y714" s="2">
        <f t="shared" si="290"/>
        <v>1233.9099669724758</v>
      </c>
      <c r="Z714" s="21">
        <f t="shared" si="291"/>
        <v>8.8718082595138341</v>
      </c>
      <c r="AA714" s="2">
        <f t="shared" si="292"/>
        <v>984.70193036136016</v>
      </c>
      <c r="AB714" s="19">
        <f t="shared" si="295"/>
        <v>101.03657620995051</v>
      </c>
      <c r="AC714" s="2"/>
      <c r="AD714" s="18"/>
      <c r="AE714" s="118"/>
      <c r="AG714" s="2"/>
      <c r="AH714" s="19"/>
      <c r="AI714" s="20"/>
      <c r="AJ714" s="21"/>
      <c r="AK714" s="21"/>
      <c r="AM714" s="19"/>
      <c r="AN714" s="18"/>
      <c r="AO714" s="2"/>
      <c r="AP714" s="18"/>
      <c r="AQ714" s="118"/>
      <c r="AS714" s="2"/>
      <c r="AT714" s="19"/>
      <c r="AU714" s="20"/>
      <c r="AV714" s="21"/>
      <c r="AW714" s="21"/>
    </row>
    <row r="715" spans="1:49" x14ac:dyDescent="0.25">
      <c r="A715" s="1">
        <f t="shared" si="278"/>
        <v>689</v>
      </c>
      <c r="B715" s="19">
        <f t="shared" si="279"/>
        <v>844.43504948767304</v>
      </c>
      <c r="C715" s="18">
        <f t="shared" si="293"/>
        <v>10.70673567856954</v>
      </c>
      <c r="D715" s="2">
        <f t="shared" si="272"/>
        <v>0.96995868161658838</v>
      </c>
      <c r="E715" s="18">
        <f t="shared" si="280"/>
        <v>10.722901656596484</v>
      </c>
      <c r="F715" s="21">
        <f t="shared" si="273"/>
        <v>8.3925753816602899</v>
      </c>
      <c r="G715" s="1">
        <f t="shared" si="274"/>
        <v>0</v>
      </c>
      <c r="H715" s="2">
        <f t="shared" si="270"/>
        <v>1959.0375396981849</v>
      </c>
      <c r="I715" s="19">
        <f t="shared" si="296"/>
        <v>848.06819900354321</v>
      </c>
      <c r="J715" s="20">
        <f t="shared" si="275"/>
        <v>0.90393209883047176</v>
      </c>
      <c r="K715" s="21">
        <f t="shared" si="276"/>
        <v>828.25865468931329</v>
      </c>
      <c r="L715" s="21">
        <f t="shared" si="271"/>
        <v>6.7397298310067759</v>
      </c>
      <c r="M715" s="2">
        <f t="shared" si="281"/>
        <v>658.16531300525992</v>
      </c>
      <c r="N715" s="19">
        <f t="shared" si="294"/>
        <v>350.09184844639418</v>
      </c>
      <c r="O715" s="1">
        <f t="shared" si="282"/>
        <v>689</v>
      </c>
      <c r="P715" s="19">
        <f t="shared" si="283"/>
        <v>1253.6262329389026</v>
      </c>
      <c r="Q715" s="18">
        <f t="shared" si="284"/>
        <v>12.302607048245887</v>
      </c>
      <c r="R715" s="2">
        <f t="shared" si="285"/>
        <v>0.9776542013807954</v>
      </c>
      <c r="S715" s="18">
        <f t="shared" si="286"/>
        <v>12.318901284935567</v>
      </c>
      <c r="T715" s="18">
        <f t="shared" si="287"/>
        <v>11.032465291229219</v>
      </c>
      <c r="U715" s="1">
        <f t="shared" si="277"/>
        <v>0</v>
      </c>
      <c r="V715" s="2">
        <f t="shared" si="288"/>
        <v>2906.9090633800943</v>
      </c>
      <c r="W715" s="19">
        <f t="shared" si="289"/>
        <v>1258.4021919394347</v>
      </c>
      <c r="X715" s="20"/>
      <c r="Y715" s="2">
        <f t="shared" si="290"/>
        <v>1238.6870244435781</v>
      </c>
      <c r="Z715" s="21">
        <f t="shared" si="291"/>
        <v>8.8953244255064003</v>
      </c>
      <c r="AA715" s="2">
        <f t="shared" si="292"/>
        <v>988.55272015595165</v>
      </c>
      <c r="AB715" s="19">
        <f t="shared" si="295"/>
        <v>101.09676784843684</v>
      </c>
      <c r="AC715" s="2"/>
      <c r="AD715" s="18"/>
      <c r="AE715" s="118"/>
      <c r="AG715" s="2"/>
      <c r="AH715" s="19"/>
      <c r="AI715" s="20"/>
      <c r="AJ715" s="21"/>
      <c r="AK715" s="21"/>
      <c r="AM715" s="19"/>
      <c r="AN715" s="18"/>
      <c r="AO715" s="2"/>
      <c r="AP715" s="18"/>
      <c r="AQ715" s="118"/>
      <c r="AS715" s="2"/>
      <c r="AT715" s="19"/>
      <c r="AU715" s="20"/>
      <c r="AV715" s="21"/>
      <c r="AW715" s="21"/>
    </row>
    <row r="716" spans="1:49" x14ac:dyDescent="0.25">
      <c r="A716" s="1">
        <f t="shared" si="278"/>
        <v>690</v>
      </c>
      <c r="B716" s="19">
        <f t="shared" si="279"/>
        <v>848.06819900354321</v>
      </c>
      <c r="C716" s="18">
        <f t="shared" si="293"/>
        <v>10.722901656596484</v>
      </c>
      <c r="D716" s="2">
        <f t="shared" si="272"/>
        <v>0.97004197035777784</v>
      </c>
      <c r="E716" s="18">
        <f t="shared" si="280"/>
        <v>10.739069022769113</v>
      </c>
      <c r="F716" s="21">
        <f t="shared" si="273"/>
        <v>8.4175325137262895</v>
      </c>
      <c r="G716" s="1">
        <f t="shared" si="274"/>
        <v>0</v>
      </c>
      <c r="H716" s="2">
        <f t="shared" si="270"/>
        <v>1967.4550722119111</v>
      </c>
      <c r="I716" s="19">
        <f t="shared" si="296"/>
        <v>851.71215247268879</v>
      </c>
      <c r="J716" s="20">
        <f t="shared" si="275"/>
        <v>0.90387932877789234</v>
      </c>
      <c r="K716" s="21">
        <f t="shared" si="276"/>
        <v>831.90344626775675</v>
      </c>
      <c r="L716" s="21">
        <f t="shared" si="271"/>
        <v>6.7600686960113849</v>
      </c>
      <c r="M716" s="2">
        <f t="shared" si="281"/>
        <v>661.09174967019987</v>
      </c>
      <c r="N716" s="19">
        <f t="shared" si="294"/>
        <v>350.16090755927263</v>
      </c>
      <c r="O716" s="1">
        <f t="shared" si="282"/>
        <v>690</v>
      </c>
      <c r="P716" s="19">
        <f t="shared" si="283"/>
        <v>1258.4021919394347</v>
      </c>
      <c r="Q716" s="18">
        <f t="shared" si="284"/>
        <v>12.318901284935567</v>
      </c>
      <c r="R716" s="2">
        <f t="shared" si="285"/>
        <v>0.97772855435409078</v>
      </c>
      <c r="S716" s="18">
        <f t="shared" si="286"/>
        <v>12.335196760841468</v>
      </c>
      <c r="T716" s="18">
        <f t="shared" si="287"/>
        <v>11.06125295795939</v>
      </c>
      <c r="U716" s="1">
        <f t="shared" si="277"/>
        <v>0</v>
      </c>
      <c r="V716" s="2">
        <f t="shared" si="288"/>
        <v>2917.9703163380536</v>
      </c>
      <c r="W716" s="19">
        <f t="shared" si="289"/>
        <v>1263.1906131333565</v>
      </c>
      <c r="X716" s="20"/>
      <c r="Y716" s="2">
        <f t="shared" si="290"/>
        <v>1243.4765469743745</v>
      </c>
      <c r="Z716" s="21">
        <f t="shared" si="291"/>
        <v>8.9188735089784448</v>
      </c>
      <c r="AA716" s="2">
        <f t="shared" si="292"/>
        <v>992.41370435897261</v>
      </c>
      <c r="AB716" s="19">
        <f t="shared" si="295"/>
        <v>101.15687987131611</v>
      </c>
      <c r="AC716" s="2"/>
      <c r="AD716" s="18"/>
      <c r="AE716" s="118"/>
      <c r="AG716" s="2"/>
      <c r="AH716" s="19"/>
      <c r="AI716" s="20"/>
      <c r="AJ716" s="21"/>
      <c r="AK716" s="21"/>
      <c r="AM716" s="19"/>
      <c r="AN716" s="18"/>
      <c r="AO716" s="2"/>
      <c r="AP716" s="18"/>
      <c r="AQ716" s="118"/>
      <c r="AS716" s="2"/>
      <c r="AT716" s="19"/>
      <c r="AU716" s="20"/>
      <c r="AV716" s="21"/>
      <c r="AW716" s="21"/>
    </row>
    <row r="717" spans="1:49" x14ac:dyDescent="0.25">
      <c r="A717" s="1">
        <f t="shared" si="278"/>
        <v>691</v>
      </c>
      <c r="B717" s="19">
        <f t="shared" si="279"/>
        <v>851.71215247268879</v>
      </c>
      <c r="C717" s="18">
        <f t="shared" si="293"/>
        <v>10.739069022769113</v>
      </c>
      <c r="D717" s="2">
        <f t="shared" si="272"/>
        <v>0.97012515627708718</v>
      </c>
      <c r="E717" s="18">
        <f t="shared" si="280"/>
        <v>10.755237775373731</v>
      </c>
      <c r="F717" s="21">
        <f t="shared" si="273"/>
        <v>8.442528360826973</v>
      </c>
      <c r="G717" s="1">
        <f t="shared" si="274"/>
        <v>0</v>
      </c>
      <c r="H717" s="2">
        <f t="shared" si="270"/>
        <v>1975.8976005727382</v>
      </c>
      <c r="I717" s="19">
        <f t="shared" si="296"/>
        <v>855.36692665486498</v>
      </c>
      <c r="J717" s="20">
        <f t="shared" si="275"/>
        <v>0.90382660086398814</v>
      </c>
      <c r="K717" s="21">
        <f t="shared" si="276"/>
        <v>835.55906104799487</v>
      </c>
      <c r="L717" s="21">
        <f t="shared" si="271"/>
        <v>6.7804399517711644</v>
      </c>
      <c r="M717" s="2">
        <f t="shared" si="281"/>
        <v>664.02700506057704</v>
      </c>
      <c r="N717" s="19">
        <f t="shared" si="294"/>
        <v>350.22986270560023</v>
      </c>
      <c r="O717" s="1">
        <f t="shared" si="282"/>
        <v>691</v>
      </c>
      <c r="P717" s="19">
        <f t="shared" si="283"/>
        <v>1263.1906131333565</v>
      </c>
      <c r="Q717" s="18">
        <f t="shared" si="284"/>
        <v>12.335196760841468</v>
      </c>
      <c r="R717" s="2">
        <f t="shared" si="285"/>
        <v>0.97780282422931353</v>
      </c>
      <c r="S717" s="18">
        <f t="shared" si="286"/>
        <v>12.351493474578623</v>
      </c>
      <c r="T717" s="18">
        <f t="shared" si="287"/>
        <v>11.090079845419684</v>
      </c>
      <c r="U717" s="1">
        <f t="shared" si="277"/>
        <v>0</v>
      </c>
      <c r="V717" s="2">
        <f t="shared" si="288"/>
        <v>2929.0603961834731</v>
      </c>
      <c r="W717" s="19">
        <f t="shared" si="289"/>
        <v>1267.9915134993389</v>
      </c>
      <c r="X717" s="20"/>
      <c r="Y717" s="2">
        <f t="shared" si="290"/>
        <v>1248.2785515474413</v>
      </c>
      <c r="Z717" s="21">
        <f t="shared" si="291"/>
        <v>8.9424555150265821</v>
      </c>
      <c r="AA717" s="2">
        <f t="shared" si="292"/>
        <v>996.28489722262043</v>
      </c>
      <c r="AB717" s="19">
        <f t="shared" si="295"/>
        <v>101.21691248289456</v>
      </c>
      <c r="AC717" s="2"/>
      <c r="AD717" s="18"/>
      <c r="AE717" s="118"/>
      <c r="AG717" s="2"/>
      <c r="AH717" s="19"/>
      <c r="AI717" s="20"/>
      <c r="AJ717" s="21"/>
      <c r="AK717" s="21"/>
      <c r="AM717" s="19"/>
      <c r="AN717" s="18"/>
      <c r="AO717" s="2"/>
      <c r="AP717" s="18"/>
      <c r="AQ717" s="118"/>
      <c r="AS717" s="2"/>
      <c r="AT717" s="19"/>
      <c r="AU717" s="20"/>
      <c r="AV717" s="21"/>
      <c r="AW717" s="21"/>
    </row>
    <row r="718" spans="1:49" x14ac:dyDescent="0.25">
      <c r="A718" s="1">
        <f t="shared" si="278"/>
        <v>692</v>
      </c>
      <c r="B718" s="19">
        <f t="shared" si="279"/>
        <v>855.36692665486498</v>
      </c>
      <c r="C718" s="18">
        <f t="shared" si="293"/>
        <v>10.755237775373731</v>
      </c>
      <c r="D718" s="2">
        <f t="shared" si="272"/>
        <v>0.9702082396130326</v>
      </c>
      <c r="E718" s="18">
        <f t="shared" si="280"/>
        <v>10.771407912700614</v>
      </c>
      <c r="F718" s="21">
        <f t="shared" si="273"/>
        <v>8.467562928402355</v>
      </c>
      <c r="G718" s="1">
        <f t="shared" si="274"/>
        <v>0</v>
      </c>
      <c r="H718" s="2">
        <f t="shared" si="270"/>
        <v>1984.3651635011406</v>
      </c>
      <c r="I718" s="19">
        <f t="shared" si="296"/>
        <v>859.03253831218206</v>
      </c>
      <c r="J718" s="20">
        <f t="shared" si="275"/>
        <v>0.90377391506281346</v>
      </c>
      <c r="K718" s="21">
        <f t="shared" si="276"/>
        <v>839.22551579599315</v>
      </c>
      <c r="L718" s="21">
        <f t="shared" si="271"/>
        <v>6.8008436040110976</v>
      </c>
      <c r="M718" s="2">
        <f t="shared" si="281"/>
        <v>666.97109320084155</v>
      </c>
      <c r="N718" s="19">
        <f t="shared" si="294"/>
        <v>350.29871418906839</v>
      </c>
      <c r="O718" s="1">
        <f t="shared" si="282"/>
        <v>692</v>
      </c>
      <c r="P718" s="19">
        <f t="shared" si="283"/>
        <v>1267.9915134993389</v>
      </c>
      <c r="Q718" s="18">
        <f t="shared" si="284"/>
        <v>12.351493474578623</v>
      </c>
      <c r="R718" s="2">
        <f t="shared" si="285"/>
        <v>0.97787701118878434</v>
      </c>
      <c r="S718" s="18">
        <f t="shared" si="286"/>
        <v>12.367791424765104</v>
      </c>
      <c r="T718" s="18">
        <f t="shared" si="287"/>
        <v>11.118945958447116</v>
      </c>
      <c r="U718" s="1">
        <f t="shared" si="277"/>
        <v>0</v>
      </c>
      <c r="V718" s="2">
        <f t="shared" si="288"/>
        <v>2940.1793421419202</v>
      </c>
      <c r="W718" s="19">
        <f t="shared" si="289"/>
        <v>1272.8049100181472</v>
      </c>
      <c r="X718" s="20"/>
      <c r="Y718" s="2">
        <f t="shared" si="290"/>
        <v>1253.0930551474489</v>
      </c>
      <c r="Z718" s="21">
        <f t="shared" si="291"/>
        <v>8.9660704487417888</v>
      </c>
      <c r="AA718" s="2">
        <f t="shared" si="292"/>
        <v>1000.1663130012965</v>
      </c>
      <c r="AB718" s="19">
        <f t="shared" si="295"/>
        <v>101.27686588670046</v>
      </c>
      <c r="AC718" s="2"/>
      <c r="AD718" s="18"/>
      <c r="AE718" s="118"/>
      <c r="AG718" s="2"/>
      <c r="AH718" s="19"/>
      <c r="AI718" s="20"/>
      <c r="AJ718" s="21"/>
      <c r="AK718" s="21"/>
      <c r="AM718" s="19"/>
      <c r="AN718" s="18"/>
      <c r="AO718" s="2"/>
      <c r="AP718" s="18"/>
      <c r="AQ718" s="118"/>
      <c r="AS718" s="2"/>
      <c r="AT718" s="19"/>
      <c r="AU718" s="20"/>
      <c r="AV718" s="21"/>
      <c r="AW718" s="21"/>
    </row>
    <row r="719" spans="1:49" x14ac:dyDescent="0.25">
      <c r="A719" s="1">
        <f t="shared" si="278"/>
        <v>693</v>
      </c>
      <c r="B719" s="19">
        <f t="shared" si="279"/>
        <v>859.03253831218206</v>
      </c>
      <c r="C719" s="18">
        <f t="shared" si="293"/>
        <v>10.771407912700614</v>
      </c>
      <c r="D719" s="2">
        <f t="shared" si="272"/>
        <v>0.97029122060343631</v>
      </c>
      <c r="E719" s="18">
        <f t="shared" si="280"/>
        <v>10.787579433044005</v>
      </c>
      <c r="F719" s="21">
        <f t="shared" si="273"/>
        <v>8.4926362218855633</v>
      </c>
      <c r="G719" s="1">
        <f t="shared" si="274"/>
        <v>0</v>
      </c>
      <c r="H719" s="2">
        <f t="shared" si="270"/>
        <v>1992.8577997230261</v>
      </c>
      <c r="I719" s="19">
        <f t="shared" si="296"/>
        <v>862.7090042091022</v>
      </c>
      <c r="J719" s="20">
        <f t="shared" si="275"/>
        <v>0.90372127134817959</v>
      </c>
      <c r="K719" s="21">
        <f t="shared" si="276"/>
        <v>842.90282728006957</v>
      </c>
      <c r="L719" s="21">
        <f t="shared" si="271"/>
        <v>6.8212796584489084</v>
      </c>
      <c r="M719" s="2">
        <f t="shared" si="281"/>
        <v>669.92402811791897</v>
      </c>
      <c r="N719" s="19">
        <f t="shared" si="294"/>
        <v>350.36746231205183</v>
      </c>
      <c r="O719" s="1">
        <f t="shared" si="282"/>
        <v>693</v>
      </c>
      <c r="P719" s="19">
        <f t="shared" si="283"/>
        <v>1272.8049100181472</v>
      </c>
      <c r="Q719" s="18">
        <f t="shared" si="284"/>
        <v>12.367791424765104</v>
      </c>
      <c r="R719" s="2">
        <f t="shared" si="285"/>
        <v>0.97795111541426727</v>
      </c>
      <c r="S719" s="18">
        <f t="shared" si="286"/>
        <v>12.384090610022009</v>
      </c>
      <c r="T719" s="18">
        <f t="shared" si="287"/>
        <v>11.14785130187337</v>
      </c>
      <c r="U719" s="1">
        <f t="shared" si="277"/>
        <v>0</v>
      </c>
      <c r="V719" s="2">
        <f t="shared" si="288"/>
        <v>2951.3271934437935</v>
      </c>
      <c r="W719" s="19">
        <f t="shared" si="289"/>
        <v>1277.6308196726379</v>
      </c>
      <c r="X719" s="20"/>
      <c r="Y719" s="2">
        <f t="shared" si="290"/>
        <v>1257.9200747611601</v>
      </c>
      <c r="Z719" s="21">
        <f t="shared" si="291"/>
        <v>8.9897183152094122</v>
      </c>
      <c r="AA719" s="2">
        <f t="shared" si="292"/>
        <v>1004.0579659516036</v>
      </c>
      <c r="AB719" s="19">
        <f t="shared" si="295"/>
        <v>101.33674028548799</v>
      </c>
      <c r="AC719" s="2"/>
      <c r="AD719" s="18"/>
      <c r="AE719" s="118"/>
      <c r="AG719" s="2"/>
      <c r="AH719" s="19"/>
      <c r="AI719" s="20"/>
      <c r="AJ719" s="21"/>
      <c r="AK719" s="21"/>
      <c r="AM719" s="19"/>
      <c r="AN719" s="18"/>
      <c r="AO719" s="2"/>
      <c r="AP719" s="18"/>
      <c r="AQ719" s="118"/>
      <c r="AS719" s="2"/>
      <c r="AT719" s="19"/>
      <c r="AU719" s="20"/>
      <c r="AV719" s="21"/>
      <c r="AW719" s="21"/>
    </row>
    <row r="720" spans="1:49" x14ac:dyDescent="0.25">
      <c r="A720" s="1">
        <f t="shared" si="278"/>
        <v>694</v>
      </c>
      <c r="B720" s="19">
        <f t="shared" si="279"/>
        <v>862.7090042091022</v>
      </c>
      <c r="C720" s="18">
        <f t="shared" si="293"/>
        <v>10.787579433044005</v>
      </c>
      <c r="D720" s="2">
        <f t="shared" si="272"/>
        <v>0.97037409948542908</v>
      </c>
      <c r="E720" s="18">
        <f t="shared" si="280"/>
        <v>10.803752334702095</v>
      </c>
      <c r="F720" s="21">
        <f t="shared" si="273"/>
        <v>8.5177482467027872</v>
      </c>
      <c r="G720" s="1">
        <f t="shared" si="274"/>
        <v>0</v>
      </c>
      <c r="H720" s="2">
        <f t="shared" si="270"/>
        <v>2001.3755479697288</v>
      </c>
      <c r="I720" s="19">
        <f t="shared" si="296"/>
        <v>866.39634111243674</v>
      </c>
      <c r="J720" s="20">
        <f t="shared" si="275"/>
        <v>0.90366866969365867</v>
      </c>
      <c r="K720" s="21">
        <f t="shared" si="276"/>
        <v>846.59101227089184</v>
      </c>
      <c r="L720" s="21">
        <f t="shared" si="271"/>
        <v>6.8417481207950361</v>
      </c>
      <c r="M720" s="2">
        <f t="shared" si="281"/>
        <v>672.88582384120684</v>
      </c>
      <c r="N720" s="19">
        <f t="shared" si="294"/>
        <v>350.43610737561625</v>
      </c>
      <c r="O720" s="1">
        <f t="shared" si="282"/>
        <v>694</v>
      </c>
      <c r="P720" s="19">
        <f t="shared" si="283"/>
        <v>1277.6308196726379</v>
      </c>
      <c r="Q720" s="18">
        <f t="shared" si="284"/>
        <v>12.384090610022009</v>
      </c>
      <c r="R720" s="2">
        <f t="shared" si="285"/>
        <v>0.97802513708697236</v>
      </c>
      <c r="S720" s="18">
        <f t="shared" si="286"/>
        <v>12.400391028973457</v>
      </c>
      <c r="T720" s="18">
        <f t="shared" si="287"/>
        <v>11.176795880524807</v>
      </c>
      <c r="U720" s="1">
        <f t="shared" si="277"/>
        <v>0</v>
      </c>
      <c r="V720" s="2">
        <f t="shared" si="288"/>
        <v>2962.5039893243184</v>
      </c>
      <c r="W720" s="19">
        <f t="shared" si="289"/>
        <v>1282.4692594477569</v>
      </c>
      <c r="X720" s="20"/>
      <c r="Y720" s="2">
        <f t="shared" si="290"/>
        <v>1262.7596273774273</v>
      </c>
      <c r="Z720" s="21">
        <f t="shared" si="291"/>
        <v>9.0133991195091845</v>
      </c>
      <c r="AA720" s="2">
        <f t="shared" si="292"/>
        <v>1007.9598703323435</v>
      </c>
      <c r="AB720" s="19">
        <f t="shared" si="295"/>
        <v>101.39653588124115</v>
      </c>
      <c r="AC720" s="2"/>
      <c r="AD720" s="18"/>
      <c r="AE720" s="118"/>
      <c r="AG720" s="2"/>
      <c r="AH720" s="19"/>
      <c r="AI720" s="20"/>
      <c r="AJ720" s="21"/>
      <c r="AK720" s="21"/>
      <c r="AM720" s="19"/>
      <c r="AN720" s="18"/>
      <c r="AO720" s="2"/>
      <c r="AP720" s="18"/>
      <c r="AQ720" s="118"/>
      <c r="AS720" s="2"/>
      <c r="AT720" s="19"/>
      <c r="AU720" s="20"/>
      <c r="AV720" s="21"/>
      <c r="AW720" s="21"/>
    </row>
    <row r="721" spans="1:49" x14ac:dyDescent="0.25">
      <c r="A721" s="1">
        <f t="shared" si="278"/>
        <v>695</v>
      </c>
      <c r="B721" s="19">
        <f t="shared" si="279"/>
        <v>866.39634111243674</v>
      </c>
      <c r="C721" s="18">
        <f t="shared" si="293"/>
        <v>10.803752334702095</v>
      </c>
      <c r="D721" s="2">
        <f t="shared" si="272"/>
        <v>0.9704568764954502</v>
      </c>
      <c r="E721" s="18">
        <f t="shared" si="280"/>
        <v>10.819926615977019</v>
      </c>
      <c r="F721" s="21">
        <f t="shared" si="273"/>
        <v>8.5428990082733698</v>
      </c>
      <c r="G721" s="1">
        <f t="shared" si="274"/>
        <v>0</v>
      </c>
      <c r="H721" s="2">
        <f t="shared" si="270"/>
        <v>2009.9184469780023</v>
      </c>
      <c r="I721" s="19">
        <f t="shared" si="296"/>
        <v>870.09456579134292</v>
      </c>
      <c r="J721" s="20">
        <f t="shared" si="275"/>
        <v>0.90361611007258669</v>
      </c>
      <c r="K721" s="21">
        <f t="shared" si="276"/>
        <v>850.29008754147424</v>
      </c>
      <c r="L721" s="21">
        <f t="shared" si="271"/>
        <v>6.8622489967527089</v>
      </c>
      <c r="M721" s="2">
        <f t="shared" si="281"/>
        <v>675.85649440257168</v>
      </c>
      <c r="N721" s="19">
        <f t="shared" si="294"/>
        <v>350.5046496795257</v>
      </c>
      <c r="O721" s="1">
        <f t="shared" si="282"/>
        <v>695</v>
      </c>
      <c r="P721" s="19">
        <f t="shared" si="283"/>
        <v>1282.4692594477569</v>
      </c>
      <c r="Q721" s="18">
        <f t="shared" si="284"/>
        <v>12.400391028973457</v>
      </c>
      <c r="R721" s="2">
        <f t="shared" si="285"/>
        <v>0.97809907638755711</v>
      </c>
      <c r="S721" s="18">
        <f t="shared" si="286"/>
        <v>12.416692680246584</v>
      </c>
      <c r="T721" s="18">
        <f t="shared" si="287"/>
        <v>11.205779699222521</v>
      </c>
      <c r="U721" s="1">
        <f t="shared" si="277"/>
        <v>0</v>
      </c>
      <c r="V721" s="2">
        <f t="shared" si="288"/>
        <v>2973.7097690235414</v>
      </c>
      <c r="W721" s="19">
        <f t="shared" si="289"/>
        <v>1287.3202463305374</v>
      </c>
      <c r="X721" s="20"/>
      <c r="Y721" s="2">
        <f t="shared" si="290"/>
        <v>1267.6117299871905</v>
      </c>
      <c r="Z721" s="21">
        <f t="shared" si="291"/>
        <v>9.0371128667152636</v>
      </c>
      <c r="AA721" s="2">
        <f t="shared" si="292"/>
        <v>1011.8720404045146</v>
      </c>
      <c r="AB721" s="19">
        <f t="shared" si="295"/>
        <v>101.45625287517764</v>
      </c>
      <c r="AC721" s="2"/>
      <c r="AD721" s="18"/>
      <c r="AE721" s="118"/>
      <c r="AG721" s="2"/>
      <c r="AH721" s="19"/>
      <c r="AI721" s="20"/>
      <c r="AJ721" s="21"/>
      <c r="AK721" s="21"/>
      <c r="AM721" s="19"/>
      <c r="AN721" s="18"/>
      <c r="AO721" s="2"/>
      <c r="AP721" s="18"/>
      <c r="AQ721" s="118"/>
      <c r="AS721" s="2"/>
      <c r="AT721" s="19"/>
      <c r="AU721" s="20"/>
      <c r="AV721" s="21"/>
      <c r="AW721" s="21"/>
    </row>
    <row r="722" spans="1:49" x14ac:dyDescent="0.25">
      <c r="A722" s="1">
        <f t="shared" si="278"/>
        <v>696</v>
      </c>
      <c r="B722" s="19">
        <f t="shared" si="279"/>
        <v>870.09456579134292</v>
      </c>
      <c r="C722" s="18">
        <f t="shared" si="293"/>
        <v>10.819926615977019</v>
      </c>
      <c r="D722" s="2">
        <f t="shared" si="272"/>
        <v>0.97053955186925056</v>
      </c>
      <c r="E722" s="18">
        <f t="shared" si="280"/>
        <v>10.83610227517484</v>
      </c>
      <c r="F722" s="21">
        <f t="shared" si="273"/>
        <v>8.5680885120097816</v>
      </c>
      <c r="G722" s="1">
        <f t="shared" si="274"/>
        <v>0</v>
      </c>
      <c r="H722" s="2">
        <f t="shared" si="270"/>
        <v>2018.4865354900121</v>
      </c>
      <c r="I722" s="19">
        <f t="shared" si="296"/>
        <v>873.80369501732127</v>
      </c>
      <c r="J722" s="20">
        <f t="shared" si="275"/>
        <v>0.90356359245806617</v>
      </c>
      <c r="K722" s="21">
        <f t="shared" si="276"/>
        <v>854.00006986717449</v>
      </c>
      <c r="L722" s="21">
        <f t="shared" si="271"/>
        <v>6.8827822920179296</v>
      </c>
      <c r="M722" s="2">
        <f t="shared" si="281"/>
        <v>678.83605383634563</v>
      </c>
      <c r="N722" s="19">
        <f t="shared" si="294"/>
        <v>350.57308952225014</v>
      </c>
      <c r="O722" s="1">
        <f t="shared" si="282"/>
        <v>696</v>
      </c>
      <c r="P722" s="19">
        <f t="shared" si="283"/>
        <v>1287.3202463305374</v>
      </c>
      <c r="Q722" s="18">
        <f t="shared" si="284"/>
        <v>12.416692680246584</v>
      </c>
      <c r="R722" s="2">
        <f t="shared" si="285"/>
        <v>0.97817293349612833</v>
      </c>
      <c r="S722" s="18">
        <f t="shared" si="286"/>
        <v>12.43299556247152</v>
      </c>
      <c r="T722" s="18">
        <f t="shared" si="287"/>
        <v>11.234802762782293</v>
      </c>
      <c r="U722" s="1">
        <f t="shared" si="277"/>
        <v>0</v>
      </c>
      <c r="V722" s="2">
        <f t="shared" si="288"/>
        <v>2984.9445717863236</v>
      </c>
      <c r="W722" s="19">
        <f t="shared" si="289"/>
        <v>1292.1837973100967</v>
      </c>
      <c r="X722" s="20"/>
      <c r="Y722" s="2">
        <f t="shared" si="290"/>
        <v>1272.4763995834753</v>
      </c>
      <c r="Z722" s="21">
        <f t="shared" si="291"/>
        <v>9.0608595618961925</v>
      </c>
      <c r="AA722" s="2">
        <f t="shared" si="292"/>
        <v>1015.7944904313094</v>
      </c>
      <c r="AB722" s="19">
        <f t="shared" si="295"/>
        <v>101.51589146775274</v>
      </c>
      <c r="AC722" s="2"/>
      <c r="AD722" s="18"/>
      <c r="AE722" s="118"/>
      <c r="AG722" s="2"/>
      <c r="AH722" s="19"/>
      <c r="AI722" s="20"/>
      <c r="AJ722" s="21"/>
      <c r="AK722" s="21"/>
      <c r="AM722" s="19"/>
      <c r="AN722" s="18"/>
      <c r="AO722" s="2"/>
      <c r="AP722" s="18"/>
      <c r="AQ722" s="118"/>
      <c r="AS722" s="2"/>
      <c r="AT722" s="19"/>
      <c r="AU722" s="20"/>
      <c r="AV722" s="21"/>
      <c r="AW722" s="21"/>
    </row>
    <row r="723" spans="1:49" x14ac:dyDescent="0.25">
      <c r="A723" s="1">
        <f t="shared" si="278"/>
        <v>697</v>
      </c>
      <c r="B723" s="19">
        <f t="shared" si="279"/>
        <v>873.80369501732127</v>
      </c>
      <c r="C723" s="18">
        <f t="shared" si="293"/>
        <v>10.83610227517484</v>
      </c>
      <c r="D723" s="2">
        <f t="shared" si="272"/>
        <v>0.97062212584189278</v>
      </c>
      <c r="E723" s="18">
        <f t="shared" si="280"/>
        <v>10.852279310605537</v>
      </c>
      <c r="F723" s="21">
        <f t="shared" si="273"/>
        <v>8.5933167633176595</v>
      </c>
      <c r="G723" s="1">
        <f t="shared" si="274"/>
        <v>0</v>
      </c>
      <c r="H723" s="2">
        <f t="shared" si="270"/>
        <v>2027.0798522533298</v>
      </c>
      <c r="I723" s="19">
        <f t="shared" si="296"/>
        <v>877.52374556421205</v>
      </c>
      <c r="J723" s="20">
        <f t="shared" si="275"/>
        <v>0.90351111682296825</v>
      </c>
      <c r="K723" s="21">
        <f t="shared" si="276"/>
        <v>857.72097602569102</v>
      </c>
      <c r="L723" s="21">
        <f t="shared" si="271"/>
        <v>6.9033480122795048</v>
      </c>
      <c r="M723" s="2">
        <f t="shared" si="281"/>
        <v>681.82451617932372</v>
      </c>
      <c r="N723" s="19">
        <f t="shared" si="294"/>
        <v>350.64142720097288</v>
      </c>
      <c r="O723" s="1">
        <f t="shared" si="282"/>
        <v>697</v>
      </c>
      <c r="P723" s="19">
        <f t="shared" si="283"/>
        <v>1292.1837973100967</v>
      </c>
      <c r="Q723" s="18">
        <f t="shared" si="284"/>
        <v>12.43299556247152</v>
      </c>
      <c r="R723" s="2">
        <f t="shared" si="285"/>
        <v>0.97824670859224416</v>
      </c>
      <c r="S723" s="18">
        <f t="shared" si="286"/>
        <v>12.449299674281392</v>
      </c>
      <c r="T723" s="18">
        <f t="shared" si="287"/>
        <v>11.263865076014614</v>
      </c>
      <c r="U723" s="1">
        <f t="shared" si="277"/>
        <v>0</v>
      </c>
      <c r="V723" s="2">
        <f t="shared" si="288"/>
        <v>2996.2084368623377</v>
      </c>
      <c r="W723" s="19">
        <f t="shared" si="289"/>
        <v>1297.0599293776354</v>
      </c>
      <c r="X723" s="20"/>
      <c r="Y723" s="2">
        <f t="shared" si="290"/>
        <v>1277.3536531613897</v>
      </c>
      <c r="Z723" s="21">
        <f t="shared" si="291"/>
        <v>9.0846392101149487</v>
      </c>
      <c r="AA723" s="2">
        <f t="shared" si="292"/>
        <v>1019.7272346781125</v>
      </c>
      <c r="AB723" s="19">
        <f t="shared" si="295"/>
        <v>101.57545185866309</v>
      </c>
      <c r="AC723" s="2"/>
      <c r="AD723" s="18"/>
      <c r="AE723" s="118"/>
      <c r="AG723" s="2"/>
      <c r="AH723" s="19"/>
      <c r="AI723" s="20"/>
      <c r="AJ723" s="21"/>
      <c r="AK723" s="21"/>
      <c r="AM723" s="19"/>
      <c r="AN723" s="18"/>
      <c r="AO723" s="2"/>
      <c r="AP723" s="18"/>
      <c r="AQ723" s="118"/>
      <c r="AS723" s="2"/>
      <c r="AT723" s="19"/>
      <c r="AU723" s="20"/>
      <c r="AV723" s="21"/>
      <c r="AW723" s="21"/>
    </row>
    <row r="724" spans="1:49" x14ac:dyDescent="0.25">
      <c r="A724" s="1">
        <f t="shared" si="278"/>
        <v>698</v>
      </c>
      <c r="B724" s="19">
        <f t="shared" si="279"/>
        <v>877.52374556421205</v>
      </c>
      <c r="C724" s="18">
        <f t="shared" si="293"/>
        <v>10.852279310605537</v>
      </c>
      <c r="D724" s="2">
        <f t="shared" si="272"/>
        <v>0.9707045986477536</v>
      </c>
      <c r="E724" s="18">
        <f t="shared" si="280"/>
        <v>10.868457720582999</v>
      </c>
      <c r="F724" s="21">
        <f t="shared" si="273"/>
        <v>8.6185837675958119</v>
      </c>
      <c r="G724" s="1">
        <f t="shared" si="274"/>
        <v>0</v>
      </c>
      <c r="H724" s="2">
        <f t="shared" si="270"/>
        <v>2035.6984360209256</v>
      </c>
      <c r="I724" s="19">
        <f t="shared" si="296"/>
        <v>881.25473420819287</v>
      </c>
      <c r="J724" s="20">
        <f t="shared" si="275"/>
        <v>0.90345868313993727</v>
      </c>
      <c r="K724" s="21">
        <f t="shared" si="276"/>
        <v>861.45282279705998</v>
      </c>
      <c r="L724" s="21">
        <f t="shared" si="271"/>
        <v>6.923946163219064</v>
      </c>
      <c r="M724" s="2">
        <f t="shared" si="281"/>
        <v>684.82189547076052</v>
      </c>
      <c r="N724" s="19">
        <f t="shared" si="294"/>
        <v>350.7096630115978</v>
      </c>
      <c r="O724" s="1">
        <f t="shared" si="282"/>
        <v>698</v>
      </c>
      <c r="P724" s="19">
        <f t="shared" si="283"/>
        <v>1297.0599293776354</v>
      </c>
      <c r="Q724" s="18">
        <f t="shared" si="284"/>
        <v>12.449299674281392</v>
      </c>
      <c r="R724" s="2">
        <f t="shared" si="285"/>
        <v>0.9783204018549162</v>
      </c>
      <c r="S724" s="18">
        <f t="shared" si="286"/>
        <v>12.465605014312306</v>
      </c>
      <c r="T724" s="18">
        <f t="shared" si="287"/>
        <v>11.292966643724748</v>
      </c>
      <c r="U724" s="1">
        <f t="shared" si="277"/>
        <v>0</v>
      </c>
      <c r="V724" s="2">
        <f t="shared" si="288"/>
        <v>3007.5014035060626</v>
      </c>
      <c r="W724" s="19">
        <f t="shared" si="289"/>
        <v>1301.9486595264341</v>
      </c>
      <c r="X724" s="20"/>
      <c r="Y724" s="2">
        <f t="shared" si="290"/>
        <v>1282.2435077181226</v>
      </c>
      <c r="Z724" s="21">
        <f t="shared" si="291"/>
        <v>9.1084518164289658</v>
      </c>
      <c r="AA724" s="2">
        <f t="shared" si="292"/>
        <v>1023.6702874124974</v>
      </c>
      <c r="AB724" s="19">
        <f t="shared" si="295"/>
        <v>101.63493424685053</v>
      </c>
      <c r="AC724" s="2"/>
      <c r="AD724" s="18"/>
      <c r="AE724" s="118"/>
      <c r="AG724" s="2"/>
      <c r="AH724" s="19"/>
      <c r="AI724" s="20"/>
      <c r="AJ724" s="21"/>
      <c r="AK724" s="21"/>
      <c r="AM724" s="19"/>
      <c r="AN724" s="18"/>
      <c r="AO724" s="2"/>
      <c r="AP724" s="18"/>
      <c r="AQ724" s="118"/>
      <c r="AS724" s="2"/>
      <c r="AT724" s="19"/>
      <c r="AU724" s="20"/>
      <c r="AV724" s="21"/>
      <c r="AW724" s="21"/>
    </row>
    <row r="725" spans="1:49" x14ac:dyDescent="0.25">
      <c r="A725" s="1">
        <f t="shared" si="278"/>
        <v>699</v>
      </c>
      <c r="B725" s="19">
        <f t="shared" si="279"/>
        <v>881.25473420819287</v>
      </c>
      <c r="C725" s="18">
        <f t="shared" si="293"/>
        <v>10.868457720582999</v>
      </c>
      <c r="D725" s="2">
        <f t="shared" si="272"/>
        <v>0.97078697052052543</v>
      </c>
      <c r="E725" s="18">
        <f t="shared" si="280"/>
        <v>10.884637503425008</v>
      </c>
      <c r="F725" s="21">
        <f t="shared" si="273"/>
        <v>8.6438895302362546</v>
      </c>
      <c r="G725" s="1">
        <f t="shared" si="274"/>
        <v>0</v>
      </c>
      <c r="H725" s="2">
        <f t="shared" si="270"/>
        <v>2044.3423255511618</v>
      </c>
      <c r="I725" s="19">
        <f t="shared" si="296"/>
        <v>884.9966777277757</v>
      </c>
      <c r="J725" s="20">
        <f t="shared" si="275"/>
        <v>0.90340629138139217</v>
      </c>
      <c r="K725" s="21">
        <f t="shared" si="276"/>
        <v>865.19562696365233</v>
      </c>
      <c r="L725" s="21">
        <f t="shared" si="271"/>
        <v>6.944576750511084</v>
      </c>
      <c r="M725" s="2">
        <f t="shared" si="281"/>
        <v>687.82820575236701</v>
      </c>
      <c r="N725" s="19">
        <f t="shared" si="294"/>
        <v>350.77779724875688</v>
      </c>
      <c r="O725" s="1">
        <f t="shared" si="282"/>
        <v>699</v>
      </c>
      <c r="P725" s="19">
        <f t="shared" si="283"/>
        <v>1301.9486595264341</v>
      </c>
      <c r="Q725" s="18">
        <f t="shared" si="284"/>
        <v>12.465605014312306</v>
      </c>
      <c r="R725" s="2">
        <f t="shared" si="285"/>
        <v>0.97839401346261079</v>
      </c>
      <c r="S725" s="18">
        <f t="shared" si="286"/>
        <v>12.481911581203349</v>
      </c>
      <c r="T725" s="18">
        <f t="shared" si="287"/>
        <v>11.322107470712693</v>
      </c>
      <c r="U725" s="1">
        <f t="shared" si="277"/>
        <v>0</v>
      </c>
      <c r="V725" s="2">
        <f t="shared" si="288"/>
        <v>3018.8235109767752</v>
      </c>
      <c r="W725" s="19">
        <f t="shared" si="289"/>
        <v>1306.8500047518507</v>
      </c>
      <c r="X725" s="20"/>
      <c r="Y725" s="2">
        <f t="shared" si="290"/>
        <v>1287.1459802529412</v>
      </c>
      <c r="Z725" s="21">
        <f t="shared" si="291"/>
        <v>9.1322973858901229</v>
      </c>
      <c r="AA725" s="2">
        <f t="shared" si="292"/>
        <v>1027.6236629042246</v>
      </c>
      <c r="AB725" s="19">
        <f t="shared" si="295"/>
        <v>101.6943388305059</v>
      </c>
      <c r="AC725" s="2"/>
      <c r="AD725" s="18"/>
      <c r="AE725" s="118"/>
      <c r="AG725" s="2"/>
      <c r="AH725" s="19"/>
      <c r="AI725" s="20"/>
      <c r="AJ725" s="21"/>
      <c r="AK725" s="21"/>
      <c r="AM725" s="19"/>
      <c r="AN725" s="18"/>
      <c r="AO725" s="2"/>
      <c r="AP725" s="18"/>
      <c r="AQ725" s="118"/>
      <c r="AS725" s="2"/>
      <c r="AT725" s="19"/>
      <c r="AU725" s="20"/>
      <c r="AV725" s="21"/>
      <c r="AW725" s="21"/>
    </row>
    <row r="726" spans="1:49" x14ac:dyDescent="0.25">
      <c r="A726" s="1">
        <f t="shared" si="278"/>
        <v>700</v>
      </c>
      <c r="B726" s="19">
        <f t="shared" si="279"/>
        <v>884.9966777277757</v>
      </c>
      <c r="C726" s="18">
        <f t="shared" si="293"/>
        <v>10.884637503425008</v>
      </c>
      <c r="D726" s="2">
        <f t="shared" si="272"/>
        <v>0.97086924169321742</v>
      </c>
      <c r="E726" s="18">
        <f t="shared" si="280"/>
        <v>10.900818657453229</v>
      </c>
      <c r="F726" s="21">
        <f t="shared" si="273"/>
        <v>8.6692340566242105</v>
      </c>
      <c r="G726" s="1">
        <f t="shared" si="274"/>
        <v>0</v>
      </c>
      <c r="H726" s="2">
        <f t="shared" si="270"/>
        <v>2053.0115596077862</v>
      </c>
      <c r="I726" s="19">
        <f t="shared" si="296"/>
        <v>888.74959290380355</v>
      </c>
      <c r="J726" s="20">
        <f t="shared" si="275"/>
        <v>0.90335394151952952</v>
      </c>
      <c r="K726" s="21">
        <f t="shared" si="276"/>
        <v>868.94940531017062</v>
      </c>
      <c r="L726" s="21">
        <f t="shared" si="271"/>
        <v>6.9652397798228973</v>
      </c>
      <c r="M726" s="2">
        <f t="shared" si="281"/>
        <v>690.84346106830765</v>
      </c>
      <c r="N726" s="19">
        <f t="shared" si="294"/>
        <v>350.84583020581715</v>
      </c>
      <c r="O726" s="1">
        <f t="shared" si="282"/>
        <v>700</v>
      </c>
      <c r="P726" s="19">
        <f t="shared" si="283"/>
        <v>1306.8500047518507</v>
      </c>
      <c r="Q726" s="18">
        <f t="shared" si="284"/>
        <v>12.481911581203349</v>
      </c>
      <c r="R726" s="2">
        <f t="shared" si="285"/>
        <v>0.97846754359325183</v>
      </c>
      <c r="S726" s="18">
        <f t="shared" si="286"/>
        <v>12.498219373596569</v>
      </c>
      <c r="T726" s="18">
        <f t="shared" si="287"/>
        <v>11.351287561773209</v>
      </c>
      <c r="U726" s="1">
        <f t="shared" si="277"/>
        <v>0</v>
      </c>
      <c r="V726" s="2">
        <f t="shared" si="288"/>
        <v>3030.1747985385482</v>
      </c>
      <c r="W726" s="19">
        <f t="shared" si="289"/>
        <v>1311.7639820513195</v>
      </c>
      <c r="X726" s="20"/>
      <c r="Y726" s="2">
        <f t="shared" si="290"/>
        <v>1292.0610877671891</v>
      </c>
      <c r="Z726" s="21">
        <f t="shared" si="291"/>
        <v>9.1561759235447688</v>
      </c>
      <c r="AA726" s="2">
        <f t="shared" si="292"/>
        <v>1031.5873754252395</v>
      </c>
      <c r="AB726" s="19">
        <f t="shared" si="295"/>
        <v>101.75366580707274</v>
      </c>
      <c r="AC726" s="2"/>
      <c r="AD726" s="18"/>
      <c r="AE726" s="118"/>
      <c r="AG726" s="2"/>
      <c r="AH726" s="19"/>
      <c r="AI726" s="20"/>
      <c r="AJ726" s="21"/>
      <c r="AK726" s="21"/>
      <c r="AM726" s="19"/>
      <c r="AN726" s="18"/>
      <c r="AO726" s="2"/>
      <c r="AP726" s="18"/>
      <c r="AQ726" s="118"/>
      <c r="AS726" s="2"/>
      <c r="AT726" s="19"/>
      <c r="AU726" s="20"/>
      <c r="AV726" s="21"/>
      <c r="AW726" s="21"/>
    </row>
    <row r="727" spans="1:49" x14ac:dyDescent="0.25">
      <c r="A727" s="1">
        <f t="shared" si="278"/>
        <v>701</v>
      </c>
      <c r="B727" s="19">
        <f t="shared" si="279"/>
        <v>888.74959290380355</v>
      </c>
      <c r="C727" s="18">
        <f t="shared" si="293"/>
        <v>10.900818657453229</v>
      </c>
      <c r="D727" s="2">
        <f t="shared" si="272"/>
        <v>0.97095141239815708</v>
      </c>
      <c r="E727" s="18">
        <f t="shared" si="280"/>
        <v>10.917001180993198</v>
      </c>
      <c r="F727" s="21">
        <f t="shared" si="273"/>
        <v>8.6946173521381453</v>
      </c>
      <c r="G727" s="1">
        <f t="shared" si="274"/>
        <v>0</v>
      </c>
      <c r="H727" s="2">
        <f t="shared" si="270"/>
        <v>2061.7061769599245</v>
      </c>
      <c r="I727" s="19">
        <f t="shared" si="296"/>
        <v>892.51349651944781</v>
      </c>
      <c r="J727" s="20">
        <f t="shared" si="275"/>
        <v>0.90330163352632731</v>
      </c>
      <c r="K727" s="21">
        <f t="shared" si="276"/>
        <v>872.71417462364639</v>
      </c>
      <c r="L727" s="21">
        <f t="shared" si="271"/>
        <v>6.9859352568147246</v>
      </c>
      <c r="M727" s="2">
        <f t="shared" si="281"/>
        <v>693.86767546519718</v>
      </c>
      <c r="N727" s="19">
        <f t="shared" si="294"/>
        <v>350.91376217488823</v>
      </c>
      <c r="O727" s="1">
        <f t="shared" si="282"/>
        <v>701</v>
      </c>
      <c r="P727" s="19">
        <f t="shared" si="283"/>
        <v>1311.7639820513195</v>
      </c>
      <c r="Q727" s="18">
        <f t="shared" si="284"/>
        <v>12.498219373596569</v>
      </c>
      <c r="R727" s="2">
        <f t="shared" si="285"/>
        <v>0.97854099242422199</v>
      </c>
      <c r="S727" s="18">
        <f t="shared" si="286"/>
        <v>12.514528390136974</v>
      </c>
      <c r="T727" s="18">
        <f t="shared" si="287"/>
        <v>11.380506921695829</v>
      </c>
      <c r="U727" s="1">
        <f t="shared" si="277"/>
        <v>0</v>
      </c>
      <c r="V727" s="2">
        <f t="shared" si="288"/>
        <v>3041.5553054602442</v>
      </c>
      <c r="W727" s="19">
        <f t="shared" si="289"/>
        <v>1316.6906084243481</v>
      </c>
      <c r="X727" s="20"/>
      <c r="Y727" s="2">
        <f t="shared" si="290"/>
        <v>1296.9888472642833</v>
      </c>
      <c r="Z727" s="21">
        <f t="shared" si="291"/>
        <v>9.1800874344337302</v>
      </c>
      <c r="AA727" s="2">
        <f t="shared" si="292"/>
        <v>1035.5614392496698</v>
      </c>
      <c r="AB727" s="19">
        <f t="shared" si="295"/>
        <v>101.81291537325109</v>
      </c>
      <c r="AC727" s="2"/>
      <c r="AD727" s="18"/>
      <c r="AE727" s="118"/>
      <c r="AG727" s="2"/>
      <c r="AH727" s="19"/>
      <c r="AI727" s="20"/>
      <c r="AJ727" s="21"/>
      <c r="AK727" s="21"/>
      <c r="AM727" s="19"/>
      <c r="AN727" s="18"/>
      <c r="AO727" s="2"/>
      <c r="AP727" s="18"/>
      <c r="AQ727" s="118"/>
      <c r="AS727" s="2"/>
      <c r="AT727" s="19"/>
      <c r="AU727" s="20"/>
      <c r="AV727" s="21"/>
      <c r="AW727" s="21"/>
    </row>
    <row r="728" spans="1:49" x14ac:dyDescent="0.25">
      <c r="A728" s="1">
        <f t="shared" si="278"/>
        <v>702</v>
      </c>
      <c r="B728" s="19">
        <f t="shared" si="279"/>
        <v>892.51349651944781</v>
      </c>
      <c r="C728" s="18">
        <f t="shared" si="293"/>
        <v>10.917001180993198</v>
      </c>
      <c r="D728" s="2">
        <f t="shared" si="272"/>
        <v>0.97103348286699187</v>
      </c>
      <c r="E728" s="18">
        <f t="shared" si="280"/>
        <v>10.933185072374314</v>
      </c>
      <c r="F728" s="21">
        <f t="shared" si="273"/>
        <v>8.7200394221497728</v>
      </c>
      <c r="G728" s="1">
        <f t="shared" si="274"/>
        <v>0</v>
      </c>
      <c r="H728" s="2">
        <f t="shared" si="270"/>
        <v>2070.4262163820745</v>
      </c>
      <c r="I728" s="19">
        <f t="shared" si="296"/>
        <v>896.28840536020539</v>
      </c>
      <c r="J728" s="20">
        <f t="shared" si="275"/>
        <v>0.90324936737354655</v>
      </c>
      <c r="K728" s="21">
        <f t="shared" si="276"/>
        <v>876.48995169343721</v>
      </c>
      <c r="L728" s="21">
        <f t="shared" si="271"/>
        <v>7.0066631871396847</v>
      </c>
      <c r="M728" s="2">
        <f t="shared" si="281"/>
        <v>696.90086299209747</v>
      </c>
      <c r="N728" s="19">
        <f t="shared" si="294"/>
        <v>350.98159344682915</v>
      </c>
      <c r="O728" s="1">
        <f t="shared" si="282"/>
        <v>702</v>
      </c>
      <c r="P728" s="19">
        <f t="shared" si="283"/>
        <v>1316.6906084243481</v>
      </c>
      <c r="Q728" s="18">
        <f t="shared" si="284"/>
        <v>12.514528390136974</v>
      </c>
      <c r="R728" s="2">
        <f t="shared" si="285"/>
        <v>0.97861436013236502</v>
      </c>
      <c r="S728" s="18">
        <f t="shared" si="286"/>
        <v>12.530838629472512</v>
      </c>
      <c r="T728" s="18">
        <f t="shared" si="287"/>
        <v>11.409765555264883</v>
      </c>
      <c r="U728" s="1">
        <f t="shared" si="277"/>
        <v>0</v>
      </c>
      <c r="V728" s="2">
        <f t="shared" si="288"/>
        <v>3052.9650710155092</v>
      </c>
      <c r="W728" s="19">
        <f t="shared" si="289"/>
        <v>1321.6299008725148</v>
      </c>
      <c r="X728" s="20"/>
      <c r="Y728" s="2">
        <f t="shared" si="290"/>
        <v>1301.929275749713</v>
      </c>
      <c r="Z728" s="21">
        <f t="shared" si="291"/>
        <v>9.2040319235923356</v>
      </c>
      <c r="AA728" s="2">
        <f t="shared" si="292"/>
        <v>1039.5458686538223</v>
      </c>
      <c r="AB728" s="19">
        <f t="shared" si="295"/>
        <v>101.87208772500115</v>
      </c>
      <c r="AC728" s="2"/>
      <c r="AD728" s="18"/>
      <c r="AE728" s="118"/>
      <c r="AG728" s="2"/>
      <c r="AH728" s="19"/>
      <c r="AI728" s="20"/>
      <c r="AJ728" s="21"/>
      <c r="AK728" s="21"/>
      <c r="AM728" s="19"/>
      <c r="AN728" s="18"/>
      <c r="AO728" s="2"/>
      <c r="AP728" s="18"/>
      <c r="AQ728" s="118"/>
      <c r="AS728" s="2"/>
      <c r="AT728" s="19"/>
      <c r="AU728" s="20"/>
      <c r="AV728" s="21"/>
      <c r="AW728" s="21"/>
    </row>
    <row r="729" spans="1:49" x14ac:dyDescent="0.25">
      <c r="A729" s="1">
        <f t="shared" si="278"/>
        <v>703</v>
      </c>
      <c r="B729" s="19">
        <f t="shared" si="279"/>
        <v>896.28840536020539</v>
      </c>
      <c r="C729" s="18">
        <f t="shared" si="293"/>
        <v>10.933185072374314</v>
      </c>
      <c r="D729" s="2">
        <f t="shared" si="272"/>
        <v>0.97111545333069138</v>
      </c>
      <c r="E729" s="18">
        <f t="shared" si="280"/>
        <v>10.949370329929826</v>
      </c>
      <c r="F729" s="21">
        <f t="shared" si="273"/>
        <v>8.7455002720240902</v>
      </c>
      <c r="G729" s="1">
        <f t="shared" si="274"/>
        <v>0</v>
      </c>
      <c r="H729" s="2">
        <f t="shared" si="270"/>
        <v>2079.1717166540984</v>
      </c>
      <c r="I729" s="19">
        <f t="shared" si="296"/>
        <v>900.07433621389544</v>
      </c>
      <c r="J729" s="20">
        <f t="shared" si="275"/>
        <v>0.90319714303273391</v>
      </c>
      <c r="K729" s="21">
        <f t="shared" si="276"/>
        <v>880.27675331122362</v>
      </c>
      <c r="L729" s="21">
        <f t="shared" si="271"/>
        <v>7.0274235764438231</v>
      </c>
      <c r="M729" s="2">
        <f t="shared" si="281"/>
        <v>699.94303770051476</v>
      </c>
      <c r="N729" s="19">
        <f t="shared" si="294"/>
        <v>351.0493243112557</v>
      </c>
      <c r="O729" s="1">
        <f t="shared" si="282"/>
        <v>703</v>
      </c>
      <c r="P729" s="19">
        <f t="shared" si="283"/>
        <v>1321.6299008725148</v>
      </c>
      <c r="Q729" s="18">
        <f t="shared" si="284"/>
        <v>12.530838629472512</v>
      </c>
      <c r="R729" s="2">
        <f t="shared" si="285"/>
        <v>0.97868764689398657</v>
      </c>
      <c r="S729" s="18">
        <f t="shared" si="286"/>
        <v>12.547150090254078</v>
      </c>
      <c r="T729" s="18">
        <f t="shared" si="287"/>
        <v>11.439063467259501</v>
      </c>
      <c r="U729" s="1">
        <f t="shared" si="277"/>
        <v>0</v>
      </c>
      <c r="V729" s="2">
        <f t="shared" si="288"/>
        <v>3064.4041344827688</v>
      </c>
      <c r="W729" s="19">
        <f t="shared" si="289"/>
        <v>1326.5818763994669</v>
      </c>
      <c r="X729" s="20"/>
      <c r="Y729" s="2">
        <f t="shared" si="290"/>
        <v>1306.8823902310364</v>
      </c>
      <c r="Z729" s="21">
        <f t="shared" si="291"/>
        <v>9.2280093960504157</v>
      </c>
      <c r="AA729" s="2">
        <f t="shared" si="292"/>
        <v>1043.5406779161817</v>
      </c>
      <c r="AB729" s="19">
        <f t="shared" si="295"/>
        <v>101.93118305754703</v>
      </c>
      <c r="AC729" s="2"/>
      <c r="AD729" s="18"/>
      <c r="AE729" s="118"/>
      <c r="AG729" s="2"/>
      <c r="AH729" s="19"/>
      <c r="AI729" s="20"/>
      <c r="AJ729" s="21"/>
      <c r="AK729" s="21"/>
      <c r="AM729" s="19"/>
      <c r="AN729" s="18"/>
      <c r="AO729" s="2"/>
      <c r="AP729" s="18"/>
      <c r="AQ729" s="118"/>
      <c r="AS729" s="2"/>
      <c r="AT729" s="19"/>
      <c r="AU729" s="20"/>
      <c r="AV729" s="21"/>
      <c r="AW729" s="21"/>
    </row>
    <row r="730" spans="1:49" x14ac:dyDescent="0.25">
      <c r="A730" s="1">
        <f t="shared" si="278"/>
        <v>704</v>
      </c>
      <c r="B730" s="19">
        <f t="shared" si="279"/>
        <v>900.07433621389544</v>
      </c>
      <c r="C730" s="18">
        <f t="shared" si="293"/>
        <v>10.949370329929826</v>
      </c>
      <c r="D730" s="2">
        <f t="shared" si="272"/>
        <v>0.97119732401954817</v>
      </c>
      <c r="E730" s="18">
        <f t="shared" si="280"/>
        <v>10.965556951996819</v>
      </c>
      <c r="F730" s="21">
        <f t="shared" si="273"/>
        <v>8.770999907119382</v>
      </c>
      <c r="G730" s="1">
        <f t="shared" si="274"/>
        <v>0</v>
      </c>
      <c r="H730" s="2">
        <f t="shared" ref="H730:H748" si="297">(B730*2.31)+F730-G730</f>
        <v>2087.9427165612178</v>
      </c>
      <c r="I730" s="19">
        <f t="shared" si="296"/>
        <v>903.87130587065701</v>
      </c>
      <c r="J730" s="20">
        <f t="shared" si="275"/>
        <v>0.90314496047522563</v>
      </c>
      <c r="K730" s="21">
        <f t="shared" si="276"/>
        <v>884.07459627100627</v>
      </c>
      <c r="L730" s="21">
        <f t="shared" ref="L730:L748" si="298">($C$11*((0.4085*E730/$C$5^2))^2)/64.4</f>
        <v>7.0482164303661223</v>
      </c>
      <c r="M730" s="2">
        <f t="shared" si="281"/>
        <v>702.99421364439615</v>
      </c>
      <c r="N730" s="19">
        <f t="shared" si="294"/>
        <v>351.11695505654734</v>
      </c>
      <c r="O730" s="1">
        <f t="shared" si="282"/>
        <v>704</v>
      </c>
      <c r="P730" s="19">
        <f t="shared" si="283"/>
        <v>1326.5818763994669</v>
      </c>
      <c r="Q730" s="18">
        <f t="shared" si="284"/>
        <v>12.547150090254078</v>
      </c>
      <c r="R730" s="2">
        <f t="shared" si="285"/>
        <v>0.97876085288485803</v>
      </c>
      <c r="S730" s="18">
        <f t="shared" si="286"/>
        <v>12.563462771135493</v>
      </c>
      <c r="T730" s="18">
        <f t="shared" si="287"/>
        <v>11.468400662453616</v>
      </c>
      <c r="U730" s="1">
        <f t="shared" si="277"/>
        <v>0</v>
      </c>
      <c r="V730" s="2">
        <f t="shared" si="288"/>
        <v>3075.8725351452217</v>
      </c>
      <c r="W730" s="19">
        <f t="shared" si="289"/>
        <v>1331.5465520109185</v>
      </c>
      <c r="X730" s="20"/>
      <c r="Y730" s="2">
        <f t="shared" si="290"/>
        <v>1311.8482077178789</v>
      </c>
      <c r="Z730" s="21">
        <f t="shared" si="291"/>
        <v>9.2520198568323195</v>
      </c>
      <c r="AA730" s="2">
        <f t="shared" si="292"/>
        <v>1047.5458813174077</v>
      </c>
      <c r="AB730" s="19">
        <f t="shared" si="295"/>
        <v>101.99020156538035</v>
      </c>
      <c r="AC730" s="2"/>
      <c r="AD730" s="18"/>
      <c r="AE730" s="118"/>
      <c r="AG730" s="2"/>
      <c r="AH730" s="19"/>
      <c r="AI730" s="20"/>
      <c r="AJ730" s="21"/>
      <c r="AK730" s="21"/>
      <c r="AM730" s="19"/>
      <c r="AN730" s="18"/>
      <c r="AO730" s="2"/>
      <c r="AP730" s="18"/>
      <c r="AQ730" s="118"/>
      <c r="AS730" s="2"/>
      <c r="AT730" s="19"/>
      <c r="AU730" s="20"/>
      <c r="AV730" s="21"/>
      <c r="AW730" s="21"/>
    </row>
    <row r="731" spans="1:49" x14ac:dyDescent="0.25">
      <c r="A731" s="1">
        <f t="shared" si="278"/>
        <v>705</v>
      </c>
      <c r="B731" s="19">
        <f t="shared" si="279"/>
        <v>903.87130587065701</v>
      </c>
      <c r="C731" s="18">
        <f t="shared" si="293"/>
        <v>10.965556951996819</v>
      </c>
      <c r="D731" s="2">
        <f t="shared" ref="D731:D748" si="299">$C$17*I730^$C$18</f>
        <v>0.97127909516317901</v>
      </c>
      <c r="E731" s="18">
        <f t="shared" si="280"/>
        <v>10.981744936916204</v>
      </c>
      <c r="F731" s="21">
        <f t="shared" ref="F731:F748" si="300">(($C$7*($C$16/12)*(E731)^1.852)/($C$5^4.871)+L731)-G731</f>
        <v>8.7965383327872377</v>
      </c>
      <c r="G731" s="1">
        <f t="shared" ref="G731:G748" si="301">$C$9*($C$16/12)/100</f>
        <v>0</v>
      </c>
      <c r="H731" s="2">
        <f t="shared" si="297"/>
        <v>2096.7392548940052</v>
      </c>
      <c r="I731" s="19">
        <f t="shared" si="296"/>
        <v>907.679331122946</v>
      </c>
      <c r="J731" s="20">
        <f t="shared" ref="J731:J748" si="302">(1-1.27*0.05)*($D$26/((E731*60)/((A731/($C$16/12)+1))))</f>
        <v>0.90309281967214905</v>
      </c>
      <c r="K731" s="21">
        <f t="shared" ref="K731:K748" si="303">K730+(F731*0.433)</f>
        <v>887.88349736910311</v>
      </c>
      <c r="L731" s="21">
        <f t="shared" si="298"/>
        <v>7.0690417545385227</v>
      </c>
      <c r="M731" s="2">
        <f t="shared" si="281"/>
        <v>706.05440488012709</v>
      </c>
      <c r="N731" s="19">
        <f t="shared" si="294"/>
        <v>351.18448596985428</v>
      </c>
      <c r="O731" s="1">
        <f t="shared" si="282"/>
        <v>705</v>
      </c>
      <c r="P731" s="19">
        <f t="shared" si="283"/>
        <v>1331.5465520109185</v>
      </c>
      <c r="Q731" s="18">
        <f t="shared" si="284"/>
        <v>12.563462771135493</v>
      </c>
      <c r="R731" s="2">
        <f t="shared" si="285"/>
        <v>0.97883397828021623</v>
      </c>
      <c r="S731" s="18">
        <f t="shared" si="286"/>
        <v>12.579776670773496</v>
      </c>
      <c r="T731" s="18">
        <f t="shared" si="287"/>
        <v>11.497777145615995</v>
      </c>
      <c r="U731" s="1">
        <f t="shared" ref="U731:U785" si="304">$C$9*($C$16/12)/100</f>
        <v>0</v>
      </c>
      <c r="V731" s="2">
        <f t="shared" si="288"/>
        <v>3087.3703122908378</v>
      </c>
      <c r="W731" s="19">
        <f t="shared" si="289"/>
        <v>1336.5239447146485</v>
      </c>
      <c r="X731" s="20"/>
      <c r="Y731" s="2">
        <f t="shared" si="290"/>
        <v>1316.8267452219307</v>
      </c>
      <c r="Z731" s="21">
        <f t="shared" si="291"/>
        <v>9.2760633109569373</v>
      </c>
      <c r="AA731" s="2">
        <f t="shared" si="292"/>
        <v>1051.5614931403329</v>
      </c>
      <c r="AB731" s="19">
        <f t="shared" si="295"/>
        <v>102.0491434422639</v>
      </c>
      <c r="AC731" s="2"/>
      <c r="AD731" s="18"/>
      <c r="AE731" s="118"/>
      <c r="AG731" s="2"/>
      <c r="AH731" s="19"/>
      <c r="AI731" s="20"/>
      <c r="AJ731" s="21"/>
      <c r="AK731" s="21"/>
      <c r="AM731" s="19"/>
      <c r="AN731" s="18"/>
      <c r="AO731" s="2"/>
      <c r="AP731" s="18"/>
      <c r="AQ731" s="118"/>
      <c r="AS731" s="2"/>
      <c r="AT731" s="19"/>
      <c r="AU731" s="20"/>
      <c r="AV731" s="21"/>
      <c r="AW731" s="21"/>
    </row>
    <row r="732" spans="1:49" x14ac:dyDescent="0.25">
      <c r="A732" s="1">
        <f t="shared" ref="A732:A748" si="305">A731+$C$16/12</f>
        <v>706</v>
      </c>
      <c r="B732" s="19">
        <f t="shared" ref="B732:B748" si="306">I731</f>
        <v>907.679331122946</v>
      </c>
      <c r="C732" s="18">
        <f t="shared" si="293"/>
        <v>10.981744936916204</v>
      </c>
      <c r="D732" s="2">
        <f t="shared" si="299"/>
        <v>0.97136076699052798</v>
      </c>
      <c r="E732" s="18">
        <f t="shared" ref="E732:E748" si="307">C732+D732/60</f>
        <v>10.997934283032713</v>
      </c>
      <c r="F732" s="21">
        <f t="shared" si="300"/>
        <v>8.8221155543725889</v>
      </c>
      <c r="G732" s="1">
        <f t="shared" si="301"/>
        <v>0</v>
      </c>
      <c r="H732" s="2">
        <f t="shared" si="297"/>
        <v>2105.5613704483776</v>
      </c>
      <c r="I732" s="19">
        <f t="shared" si="296"/>
        <v>911.49842876553146</v>
      </c>
      <c r="J732" s="20">
        <f t="shared" si="302"/>
        <v>0.90304072059442597</v>
      </c>
      <c r="K732" s="21">
        <f t="shared" si="303"/>
        <v>891.70347340414639</v>
      </c>
      <c r="L732" s="21">
        <f t="shared" si="298"/>
        <v>7.0898995545859531</v>
      </c>
      <c r="M732" s="2">
        <f t="shared" ref="M732:M748" si="308">(L732/2.31)+M731</f>
        <v>709.12362546652798</v>
      </c>
      <c r="N732" s="19">
        <f t="shared" si="294"/>
        <v>351.25191733710432</v>
      </c>
      <c r="O732" s="1">
        <f t="shared" ref="O732:O785" si="309">O731+$C$16/12</f>
        <v>706</v>
      </c>
      <c r="P732" s="19">
        <f t="shared" ref="P732:P785" si="310">W731</f>
        <v>1336.5239447146485</v>
      </c>
      <c r="Q732" s="18">
        <f t="shared" ref="Q732:Q785" si="311">S731</f>
        <v>12.579776670773496</v>
      </c>
      <c r="R732" s="2">
        <f t="shared" ref="R732:R785" si="312">$C$17*W731^$C$18</f>
        <v>0.97890702325476719</v>
      </c>
      <c r="S732" s="18">
        <f t="shared" ref="S732:S785" si="313">Q732+R732/60</f>
        <v>12.596091787827742</v>
      </c>
      <c r="T732" s="18">
        <f t="shared" ref="T732:T785" si="314">(($C$7*($C$16/12)*(S732)^1.852)/($C$5^4.871)+Z732)-U732</f>
        <v>11.527192921510236</v>
      </c>
      <c r="U732" s="1">
        <f t="shared" si="304"/>
        <v>0</v>
      </c>
      <c r="V732" s="2">
        <f t="shared" ref="V732:V785" si="315">(P732*2.31)+T732-U732</f>
        <v>3098.8975052123478</v>
      </c>
      <c r="W732" s="19">
        <f t="shared" ref="W732:W785" si="316">V732/2.31</f>
        <v>1341.5140715204968</v>
      </c>
      <c r="X732" s="20"/>
      <c r="Y732" s="2">
        <f t="shared" ref="Y732:Y785" si="317">Y731+(T732*0.433)</f>
        <v>1321.8180197569445</v>
      </c>
      <c r="Z732" s="21">
        <f t="shared" ref="Z732:Z785" si="318">($C$11*((0.4085*S732/$C$5^2))^2)/64.4</f>
        <v>9.3001397634376932</v>
      </c>
      <c r="AA732" s="2">
        <f t="shared" ref="AA732:AA785" si="319">(Z732/2.31)+AA731</f>
        <v>1055.5875276699596</v>
      </c>
      <c r="AB732" s="19">
        <f t="shared" si="295"/>
        <v>102.10800888123531</v>
      </c>
      <c r="AC732" s="2"/>
      <c r="AD732" s="18"/>
      <c r="AE732" s="118"/>
      <c r="AG732" s="2"/>
      <c r="AH732" s="19"/>
      <c r="AI732" s="20"/>
      <c r="AJ732" s="21"/>
      <c r="AK732" s="21"/>
      <c r="AM732" s="19"/>
      <c r="AN732" s="18"/>
      <c r="AO732" s="2"/>
      <c r="AP732" s="18"/>
      <c r="AQ732" s="118"/>
      <c r="AS732" s="2"/>
      <c r="AT732" s="19"/>
      <c r="AU732" s="20"/>
      <c r="AV732" s="21"/>
      <c r="AW732" s="21"/>
    </row>
    <row r="733" spans="1:49" x14ac:dyDescent="0.25">
      <c r="A733" s="1">
        <f t="shared" si="305"/>
        <v>707</v>
      </c>
      <c r="B733" s="19">
        <f t="shared" si="306"/>
        <v>911.49842876553146</v>
      </c>
      <c r="C733" s="18">
        <f t="shared" ref="C733:C748" si="320">E732</f>
        <v>10.997934283032713</v>
      </c>
      <c r="D733" s="2">
        <f t="shared" si="299"/>
        <v>0.97144233972986638</v>
      </c>
      <c r="E733" s="18">
        <f t="shared" si="307"/>
        <v>11.014124988694878</v>
      </c>
      <c r="F733" s="21">
        <f t="shared" si="300"/>
        <v>8.847731577213704</v>
      </c>
      <c r="G733" s="1">
        <f t="shared" si="301"/>
        <v>0</v>
      </c>
      <c r="H733" s="2">
        <f t="shared" si="297"/>
        <v>2114.4091020255914</v>
      </c>
      <c r="I733" s="19">
        <f t="shared" si="296"/>
        <v>915.32861559549406</v>
      </c>
      <c r="J733" s="20">
        <f t="shared" si="302"/>
        <v>0.90298866321277427</v>
      </c>
      <c r="K733" s="21">
        <f t="shared" si="303"/>
        <v>895.53454117707997</v>
      </c>
      <c r="L733" s="21">
        <f t="shared" si="298"/>
        <v>7.1107898361263331</v>
      </c>
      <c r="M733" s="2">
        <f t="shared" si="308"/>
        <v>712.20188946485109</v>
      </c>
      <c r="N733" s="19">
        <f t="shared" ref="N733:N748" si="321">($C$16/12)/(0.4085*E732/$C$5^2)+N732</f>
        <v>351.31924944300988</v>
      </c>
      <c r="O733" s="1">
        <f t="shared" si="309"/>
        <v>707</v>
      </c>
      <c r="P733" s="19">
        <f t="shared" si="310"/>
        <v>1341.5140715204968</v>
      </c>
      <c r="Q733" s="18">
        <f t="shared" si="311"/>
        <v>12.596091787827742</v>
      </c>
      <c r="R733" s="2">
        <f t="shared" si="312"/>
        <v>0.97897998798268659</v>
      </c>
      <c r="S733" s="18">
        <f t="shared" si="313"/>
        <v>12.612408120960787</v>
      </c>
      <c r="T733" s="18">
        <f t="shared" si="314"/>
        <v>11.556647994894805</v>
      </c>
      <c r="U733" s="1">
        <f t="shared" si="304"/>
        <v>0</v>
      </c>
      <c r="V733" s="2">
        <f t="shared" si="315"/>
        <v>3110.4541532072426</v>
      </c>
      <c r="W733" s="19">
        <f t="shared" si="316"/>
        <v>1346.5169494403647</v>
      </c>
      <c r="X733" s="20"/>
      <c r="Y733" s="2">
        <f t="shared" si="317"/>
        <v>1326.822048338734</v>
      </c>
      <c r="Z733" s="21">
        <f t="shared" si="318"/>
        <v>9.3242492192825974</v>
      </c>
      <c r="AA733" s="2">
        <f t="shared" si="319"/>
        <v>1059.6239991934585</v>
      </c>
      <c r="AB733" s="19">
        <f t="shared" ref="AB733:AB785" si="322">($C$16/12)/(0.4085*S732/$C$5^2)+AB732</f>
        <v>102.16679807461058</v>
      </c>
      <c r="AC733" s="2"/>
      <c r="AD733" s="18"/>
      <c r="AE733" s="118"/>
      <c r="AG733" s="2"/>
      <c r="AH733" s="19"/>
      <c r="AI733" s="20"/>
      <c r="AJ733" s="21"/>
      <c r="AK733" s="21"/>
      <c r="AM733" s="19"/>
      <c r="AN733" s="18"/>
      <c r="AO733" s="2"/>
      <c r="AP733" s="18"/>
      <c r="AQ733" s="118"/>
      <c r="AS733" s="2"/>
      <c r="AT733" s="19"/>
      <c r="AU733" s="20"/>
      <c r="AV733" s="21"/>
      <c r="AW733" s="21"/>
    </row>
    <row r="734" spans="1:49" x14ac:dyDescent="0.25">
      <c r="A734" s="1">
        <f t="shared" si="305"/>
        <v>708</v>
      </c>
      <c r="B734" s="19">
        <f t="shared" si="306"/>
        <v>915.32861559549406</v>
      </c>
      <c r="C734" s="18">
        <f t="shared" si="320"/>
        <v>11.014124988694878</v>
      </c>
      <c r="D734" s="2">
        <f t="shared" si="299"/>
        <v>0.97152381360879536</v>
      </c>
      <c r="E734" s="18">
        <f t="shared" si="307"/>
        <v>11.030317052255024</v>
      </c>
      <c r="F734" s="21">
        <f t="shared" si="300"/>
        <v>8.8733864066422132</v>
      </c>
      <c r="G734" s="1">
        <f t="shared" si="301"/>
        <v>0</v>
      </c>
      <c r="H734" s="2">
        <f t="shared" si="297"/>
        <v>2123.2824884322335</v>
      </c>
      <c r="I734" s="19">
        <f t="shared" si="296"/>
        <v>919.1699084122223</v>
      </c>
      <c r="J734" s="20">
        <f t="shared" si="302"/>
        <v>0.90293664749771252</v>
      </c>
      <c r="K734" s="21">
        <f t="shared" si="303"/>
        <v>899.376717491156</v>
      </c>
      <c r="L734" s="21">
        <f t="shared" si="298"/>
        <v>7.1317126047705912</v>
      </c>
      <c r="M734" s="2">
        <f t="shared" si="308"/>
        <v>715.28921093877773</v>
      </c>
      <c r="N734" s="19">
        <f t="shared" si="321"/>
        <v>351.38648257107474</v>
      </c>
      <c r="O734" s="1">
        <f t="shared" si="309"/>
        <v>708</v>
      </c>
      <c r="P734" s="19">
        <f t="shared" si="310"/>
        <v>1346.5169494403647</v>
      </c>
      <c r="Q734" s="18">
        <f t="shared" si="311"/>
        <v>12.612408120960787</v>
      </c>
      <c r="R734" s="2">
        <f t="shared" si="312"/>
        <v>0.97905287263762253</v>
      </c>
      <c r="S734" s="18">
        <f t="shared" si="313"/>
        <v>12.628725668838081</v>
      </c>
      <c r="T734" s="18">
        <f t="shared" si="314"/>
        <v>11.586142370523</v>
      </c>
      <c r="U734" s="1">
        <f t="shared" si="304"/>
        <v>0</v>
      </c>
      <c r="V734" s="2">
        <f t="shared" si="315"/>
        <v>3122.0402955777654</v>
      </c>
      <c r="W734" s="19">
        <f t="shared" si="316"/>
        <v>1351.5325954882101</v>
      </c>
      <c r="X734" s="20"/>
      <c r="Y734" s="2">
        <f t="shared" si="317"/>
        <v>1331.8388479851706</v>
      </c>
      <c r="Z734" s="21">
        <f t="shared" si="318"/>
        <v>9.3483916834941923</v>
      </c>
      <c r="AA734" s="2">
        <f t="shared" si="319"/>
        <v>1063.670922000166</v>
      </c>
      <c r="AB734" s="19">
        <f t="shared" si="322"/>
        <v>102.22551121398773</v>
      </c>
      <c r="AC734" s="2"/>
      <c r="AD734" s="18"/>
      <c r="AE734" s="118"/>
      <c r="AG734" s="2"/>
      <c r="AH734" s="19"/>
      <c r="AI734" s="20"/>
      <c r="AJ734" s="21"/>
      <c r="AK734" s="21"/>
      <c r="AM734" s="19"/>
      <c r="AN734" s="18"/>
      <c r="AO734" s="2"/>
      <c r="AP734" s="18"/>
      <c r="AQ734" s="118"/>
      <c r="AS734" s="2"/>
      <c r="AT734" s="19"/>
      <c r="AU734" s="20"/>
      <c r="AV734" s="21"/>
      <c r="AW734" s="21"/>
    </row>
    <row r="735" spans="1:49" x14ac:dyDescent="0.25">
      <c r="A735" s="1">
        <f t="shared" si="305"/>
        <v>709</v>
      </c>
      <c r="B735" s="19">
        <f t="shared" si="306"/>
        <v>919.1699084122223</v>
      </c>
      <c r="C735" s="18">
        <f t="shared" si="320"/>
        <v>11.030317052255024</v>
      </c>
      <c r="D735" s="2">
        <f t="shared" si="299"/>
        <v>0.9716051888542474</v>
      </c>
      <c r="E735" s="18">
        <f t="shared" si="307"/>
        <v>11.046510472069262</v>
      </c>
      <c r="F735" s="21">
        <f t="shared" si="300"/>
        <v>8.8990800479831531</v>
      </c>
      <c r="G735" s="1">
        <f t="shared" si="301"/>
        <v>0</v>
      </c>
      <c r="H735" s="2">
        <f t="shared" si="297"/>
        <v>2132.1815684802168</v>
      </c>
      <c r="I735" s="19">
        <f t="shared" si="296"/>
        <v>923.0223240174098</v>
      </c>
      <c r="J735" s="20">
        <f t="shared" si="302"/>
        <v>0.90288467341955969</v>
      </c>
      <c r="K735" s="21">
        <f t="shared" si="303"/>
        <v>903.23001915193265</v>
      </c>
      <c r="L735" s="21">
        <f t="shared" si="298"/>
        <v>7.1526678661227185</v>
      </c>
      <c r="M735" s="2">
        <f t="shared" si="308"/>
        <v>718.38560395441527</v>
      </c>
      <c r="N735" s="19">
        <f t="shared" si="321"/>
        <v>351.45361700360093</v>
      </c>
      <c r="O735" s="1">
        <f t="shared" si="309"/>
        <v>709</v>
      </c>
      <c r="P735" s="19">
        <f t="shared" si="310"/>
        <v>1351.5325954882101</v>
      </c>
      <c r="Q735" s="18">
        <f t="shared" si="311"/>
        <v>12.628725668838081</v>
      </c>
      <c r="R735" s="2">
        <f t="shared" si="312"/>
        <v>0.97912567739269663</v>
      </c>
      <c r="S735" s="18">
        <f t="shared" si="313"/>
        <v>12.645044430127959</v>
      </c>
      <c r="T735" s="18">
        <f t="shared" si="314"/>
        <v>11.615676053143019</v>
      </c>
      <c r="U735" s="1">
        <f t="shared" si="304"/>
        <v>0</v>
      </c>
      <c r="V735" s="2">
        <f t="shared" si="315"/>
        <v>3133.6559716309084</v>
      </c>
      <c r="W735" s="19">
        <f t="shared" si="316"/>
        <v>1356.561026680047</v>
      </c>
      <c r="X735" s="20"/>
      <c r="Y735" s="2">
        <f t="shared" si="317"/>
        <v>1336.8684357161815</v>
      </c>
      <c r="Z735" s="21">
        <f t="shared" si="318"/>
        <v>9.3725671610696395</v>
      </c>
      <c r="AA735" s="2">
        <f t="shared" si="319"/>
        <v>1067.7283103815814</v>
      </c>
      <c r="AB735" s="19">
        <f t="shared" si="322"/>
        <v>102.28414849025026</v>
      </c>
      <c r="AC735" s="2"/>
      <c r="AD735" s="18"/>
      <c r="AE735" s="118"/>
      <c r="AG735" s="2"/>
      <c r="AH735" s="19"/>
      <c r="AI735" s="20"/>
      <c r="AJ735" s="21"/>
      <c r="AK735" s="21"/>
      <c r="AM735" s="19"/>
      <c r="AN735" s="18"/>
      <c r="AO735" s="2"/>
      <c r="AP735" s="18"/>
      <c r="AQ735" s="118"/>
      <c r="AS735" s="2"/>
      <c r="AT735" s="19"/>
      <c r="AU735" s="20"/>
      <c r="AV735" s="21"/>
      <c r="AW735" s="21"/>
    </row>
    <row r="736" spans="1:49" x14ac:dyDescent="0.25">
      <c r="A736" s="1">
        <f t="shared" si="305"/>
        <v>710</v>
      </c>
      <c r="B736" s="19">
        <f t="shared" si="306"/>
        <v>923.0223240174098</v>
      </c>
      <c r="C736" s="18">
        <f t="shared" si="320"/>
        <v>11.046510472069262</v>
      </c>
      <c r="D736" s="2">
        <f t="shared" si="299"/>
        <v>0.97168646569248751</v>
      </c>
      <c r="E736" s="18">
        <f t="shared" si="307"/>
        <v>11.062705246497469</v>
      </c>
      <c r="F736" s="21">
        <f t="shared" si="300"/>
        <v>8.9248125065549306</v>
      </c>
      <c r="G736" s="1">
        <f t="shared" si="301"/>
        <v>0</v>
      </c>
      <c r="H736" s="2">
        <f t="shared" si="297"/>
        <v>2141.1063809867719</v>
      </c>
      <c r="I736" s="19">
        <f t="shared" si="296"/>
        <v>926.8858792150528</v>
      </c>
      <c r="J736" s="20">
        <f t="shared" si="302"/>
        <v>0.90283274094844035</v>
      </c>
      <c r="K736" s="21">
        <f t="shared" si="303"/>
        <v>907.09446296727094</v>
      </c>
      <c r="L736" s="21">
        <f t="shared" si="298"/>
        <v>7.1736556257797304</v>
      </c>
      <c r="M736" s="2">
        <f t="shared" si="308"/>
        <v>721.49108258029389</v>
      </c>
      <c r="N736" s="19">
        <f t="shared" si="321"/>
        <v>351.52065302169547</v>
      </c>
      <c r="O736" s="1">
        <f t="shared" si="309"/>
        <v>710</v>
      </c>
      <c r="P736" s="19">
        <f t="shared" si="310"/>
        <v>1356.561026680047</v>
      </c>
      <c r="Q736" s="18">
        <f t="shared" si="311"/>
        <v>12.645044430127959</v>
      </c>
      <c r="R736" s="2">
        <f t="shared" si="312"/>
        <v>0.9791984024205066</v>
      </c>
      <c r="S736" s="18">
        <f t="shared" si="313"/>
        <v>12.661364403501633</v>
      </c>
      <c r="T736" s="18">
        <f t="shared" si="314"/>
        <v>11.645249047497934</v>
      </c>
      <c r="U736" s="1">
        <f t="shared" si="304"/>
        <v>0</v>
      </c>
      <c r="V736" s="2">
        <f t="shared" si="315"/>
        <v>3145.3012206784069</v>
      </c>
      <c r="W736" s="19">
        <f t="shared" si="316"/>
        <v>1361.6022600339425</v>
      </c>
      <c r="X736" s="20"/>
      <c r="Y736" s="2">
        <f t="shared" si="317"/>
        <v>1341.9108285537482</v>
      </c>
      <c r="Z736" s="21">
        <f t="shared" si="318"/>
        <v>9.3967756570006795</v>
      </c>
      <c r="AA736" s="2">
        <f t="shared" si="319"/>
        <v>1071.7961786313654</v>
      </c>
      <c r="AB736" s="19">
        <f t="shared" si="322"/>
        <v>102.34271009357077</v>
      </c>
      <c r="AC736" s="2"/>
      <c r="AD736" s="18"/>
      <c r="AE736" s="118"/>
      <c r="AG736" s="2"/>
      <c r="AH736" s="19"/>
      <c r="AI736" s="20"/>
      <c r="AJ736" s="21"/>
      <c r="AK736" s="21"/>
      <c r="AM736" s="19"/>
      <c r="AN736" s="18"/>
      <c r="AO736" s="2"/>
      <c r="AP736" s="18"/>
      <c r="AQ736" s="118"/>
      <c r="AS736" s="2"/>
      <c r="AT736" s="19"/>
      <c r="AU736" s="20"/>
      <c r="AV736" s="21"/>
      <c r="AW736" s="21"/>
    </row>
    <row r="737" spans="1:49" x14ac:dyDescent="0.25">
      <c r="A737" s="1">
        <f t="shared" si="305"/>
        <v>711</v>
      </c>
      <c r="B737" s="19">
        <f t="shared" si="306"/>
        <v>926.8858792150528</v>
      </c>
      <c r="C737" s="18">
        <f t="shared" si="320"/>
        <v>11.062705246497469</v>
      </c>
      <c r="D737" s="2">
        <f t="shared" si="299"/>
        <v>0.97176764434911533</v>
      </c>
      <c r="E737" s="18">
        <f t="shared" si="307"/>
        <v>11.078901373903287</v>
      </c>
      <c r="F737" s="21">
        <f t="shared" si="300"/>
        <v>8.9505837876693999</v>
      </c>
      <c r="G737" s="1">
        <f t="shared" si="301"/>
        <v>0</v>
      </c>
      <c r="H737" s="2">
        <f t="shared" si="297"/>
        <v>2150.0569647744414</v>
      </c>
      <c r="I737" s="19">
        <f t="shared" ref="I737:I748" si="323">H737/2.31</f>
        <v>930.76059081144649</v>
      </c>
      <c r="J737" s="20">
        <f t="shared" si="302"/>
        <v>0.90278085005428543</v>
      </c>
      <c r="K737" s="21">
        <f t="shared" si="303"/>
        <v>910.97006574733177</v>
      </c>
      <c r="L737" s="21">
        <f t="shared" si="298"/>
        <v>7.1946758893317364</v>
      </c>
      <c r="M737" s="2">
        <f t="shared" si="308"/>
        <v>724.60566088736391</v>
      </c>
      <c r="N737" s="19">
        <f t="shared" si="321"/>
        <v>351.58759090527707</v>
      </c>
      <c r="O737" s="1">
        <f t="shared" si="309"/>
        <v>711</v>
      </c>
      <c r="P737" s="19">
        <f t="shared" si="310"/>
        <v>1361.6022600339425</v>
      </c>
      <c r="Q737" s="18">
        <f t="shared" si="311"/>
        <v>12.661364403501633</v>
      </c>
      <c r="R737" s="2">
        <f t="shared" si="312"/>
        <v>0.97927104789312758</v>
      </c>
      <c r="S737" s="18">
        <f t="shared" si="313"/>
        <v>12.677685587633185</v>
      </c>
      <c r="T737" s="18">
        <f t="shared" si="314"/>
        <v>11.674861358325726</v>
      </c>
      <c r="U737" s="1">
        <f t="shared" si="304"/>
        <v>0</v>
      </c>
      <c r="V737" s="2">
        <f t="shared" si="315"/>
        <v>3156.9760820367328</v>
      </c>
      <c r="W737" s="19">
        <f t="shared" si="316"/>
        <v>1366.6563125700143</v>
      </c>
      <c r="X737" s="20"/>
      <c r="Y737" s="2">
        <f t="shared" si="317"/>
        <v>1346.9660435219032</v>
      </c>
      <c r="Z737" s="21">
        <f t="shared" si="318"/>
        <v>9.4210171762736756</v>
      </c>
      <c r="AA737" s="2">
        <f t="shared" si="319"/>
        <v>1075.8745410453366</v>
      </c>
      <c r="AB737" s="19">
        <f t="shared" si="322"/>
        <v>102.40119621341442</v>
      </c>
      <c r="AC737" s="2"/>
      <c r="AD737" s="18"/>
      <c r="AE737" s="118"/>
      <c r="AG737" s="2"/>
      <c r="AH737" s="19"/>
      <c r="AI737" s="20"/>
      <c r="AJ737" s="21"/>
      <c r="AK737" s="21"/>
      <c r="AM737" s="19"/>
      <c r="AN737" s="18"/>
      <c r="AO737" s="2"/>
      <c r="AP737" s="18"/>
      <c r="AQ737" s="118"/>
      <c r="AS737" s="2"/>
      <c r="AT737" s="19"/>
      <c r="AU737" s="20"/>
      <c r="AV737" s="21"/>
      <c r="AW737" s="21"/>
    </row>
    <row r="738" spans="1:49" x14ac:dyDescent="0.25">
      <c r="A738" s="1">
        <f t="shared" si="305"/>
        <v>712</v>
      </c>
      <c r="B738" s="19">
        <f t="shared" si="306"/>
        <v>930.76059081144649</v>
      </c>
      <c r="C738" s="18">
        <f t="shared" si="320"/>
        <v>11.078901373903287</v>
      </c>
      <c r="D738" s="2">
        <f t="shared" si="299"/>
        <v>0.97184872504906661</v>
      </c>
      <c r="E738" s="18">
        <f t="shared" si="307"/>
        <v>11.095098852654106</v>
      </c>
      <c r="F738" s="21">
        <f t="shared" si="300"/>
        <v>8.9763938966318477</v>
      </c>
      <c r="G738" s="1">
        <f t="shared" si="301"/>
        <v>0</v>
      </c>
      <c r="H738" s="2">
        <f t="shared" si="297"/>
        <v>2159.0333586710731</v>
      </c>
      <c r="I738" s="19">
        <f t="shared" si="323"/>
        <v>934.64647561518314</v>
      </c>
      <c r="J738" s="20">
        <f t="shared" si="302"/>
        <v>0.90272900070683593</v>
      </c>
      <c r="K738" s="21">
        <f t="shared" si="303"/>
        <v>914.85684430457331</v>
      </c>
      <c r="L738" s="21">
        <f t="shared" si="298"/>
        <v>7.2157286623619399</v>
      </c>
      <c r="M738" s="2">
        <f t="shared" si="308"/>
        <v>727.72935294899241</v>
      </c>
      <c r="N738" s="19">
        <f t="shared" si="321"/>
        <v>351.65443093308266</v>
      </c>
      <c r="O738" s="1">
        <f t="shared" si="309"/>
        <v>712</v>
      </c>
      <c r="P738" s="19">
        <f t="shared" si="310"/>
        <v>1366.6563125700143</v>
      </c>
      <c r="Q738" s="18">
        <f t="shared" si="311"/>
        <v>12.677685587633185</v>
      </c>
      <c r="R738" s="2">
        <f t="shared" si="312"/>
        <v>0.97934361398211434</v>
      </c>
      <c r="S738" s="18">
        <f t="shared" si="313"/>
        <v>12.694007981199555</v>
      </c>
      <c r="T738" s="18">
        <f t="shared" si="314"/>
        <v>11.704512990359273</v>
      </c>
      <c r="U738" s="1">
        <f t="shared" si="304"/>
        <v>0</v>
      </c>
      <c r="V738" s="2">
        <f t="shared" si="315"/>
        <v>3168.6805950270927</v>
      </c>
      <c r="W738" s="19">
        <f t="shared" si="316"/>
        <v>1371.7232013104297</v>
      </c>
      <c r="X738" s="20"/>
      <c r="Y738" s="2">
        <f t="shared" si="317"/>
        <v>1352.0340976467287</v>
      </c>
      <c r="Z738" s="21">
        <f t="shared" si="318"/>
        <v>9.4452917238696035</v>
      </c>
      <c r="AA738" s="2">
        <f t="shared" si="319"/>
        <v>1079.9634119214707</v>
      </c>
      <c r="AB738" s="19">
        <f t="shared" si="322"/>
        <v>102.45960703854246</v>
      </c>
      <c r="AC738" s="2"/>
      <c r="AD738" s="18"/>
      <c r="AE738" s="118"/>
      <c r="AG738" s="2"/>
      <c r="AH738" s="19"/>
      <c r="AI738" s="20"/>
      <c r="AJ738" s="21"/>
      <c r="AK738" s="21"/>
      <c r="AM738" s="19"/>
      <c r="AN738" s="18"/>
      <c r="AO738" s="2"/>
      <c r="AP738" s="18"/>
      <c r="AQ738" s="118"/>
      <c r="AS738" s="2"/>
      <c r="AT738" s="19"/>
      <c r="AU738" s="20"/>
      <c r="AV738" s="21"/>
      <c r="AW738" s="21"/>
    </row>
    <row r="739" spans="1:49" x14ac:dyDescent="0.25">
      <c r="A739" s="1">
        <f t="shared" si="305"/>
        <v>713</v>
      </c>
      <c r="B739" s="19">
        <f t="shared" si="306"/>
        <v>934.64647561518314</v>
      </c>
      <c r="C739" s="18">
        <f t="shared" si="320"/>
        <v>11.095098852654106</v>
      </c>
      <c r="D739" s="2">
        <f t="shared" si="299"/>
        <v>0.97192970801661449</v>
      </c>
      <c r="E739" s="18">
        <f t="shared" si="307"/>
        <v>11.11129768112105</v>
      </c>
      <c r="F739" s="21">
        <f t="shared" si="300"/>
        <v>9.002242838741001</v>
      </c>
      <c r="G739" s="1">
        <f t="shared" si="301"/>
        <v>0</v>
      </c>
      <c r="H739" s="2">
        <f t="shared" si="297"/>
        <v>2168.0356015098141</v>
      </c>
      <c r="I739" s="19">
        <f t="shared" si="323"/>
        <v>938.54355043714895</v>
      </c>
      <c r="J739" s="20">
        <f t="shared" si="302"/>
        <v>0.90267719287564396</v>
      </c>
      <c r="K739" s="21">
        <f t="shared" si="303"/>
        <v>918.75481545374817</v>
      </c>
      <c r="L739" s="21">
        <f t="shared" si="298"/>
        <v>7.2368139504466384</v>
      </c>
      <c r="M739" s="2">
        <f t="shared" si="308"/>
        <v>730.86217284096062</v>
      </c>
      <c r="N739" s="19">
        <f t="shared" si="321"/>
        <v>351.72117338267429</v>
      </c>
      <c r="O739" s="1">
        <f t="shared" si="309"/>
        <v>713</v>
      </c>
      <c r="P739" s="19">
        <f t="shared" si="310"/>
        <v>1371.7232013104297</v>
      </c>
      <c r="Q739" s="18">
        <f t="shared" si="311"/>
        <v>12.694007981199555</v>
      </c>
      <c r="R739" s="2">
        <f t="shared" si="312"/>
        <v>0.9794161008585025</v>
      </c>
      <c r="S739" s="18">
        <f t="shared" si="313"/>
        <v>12.71033158288053</v>
      </c>
      <c r="T739" s="18">
        <f t="shared" si="314"/>
        <v>11.73420394832638</v>
      </c>
      <c r="U739" s="1">
        <f t="shared" si="304"/>
        <v>0</v>
      </c>
      <c r="V739" s="2">
        <f t="shared" si="315"/>
        <v>3180.4147989754192</v>
      </c>
      <c r="W739" s="19">
        <f t="shared" si="316"/>
        <v>1376.8029432794021</v>
      </c>
      <c r="X739" s="20"/>
      <c r="Y739" s="2">
        <f t="shared" si="317"/>
        <v>1357.115007956354</v>
      </c>
      <c r="Z739" s="21">
        <f t="shared" si="318"/>
        <v>9.4695993047640759</v>
      </c>
      <c r="AA739" s="2">
        <f t="shared" si="319"/>
        <v>1084.0628055598966</v>
      </c>
      <c r="AB739" s="19">
        <f t="shared" si="322"/>
        <v>102.51794275701563</v>
      </c>
      <c r="AC739" s="2"/>
      <c r="AD739" s="18"/>
      <c r="AE739" s="118"/>
      <c r="AG739" s="2"/>
      <c r="AH739" s="19"/>
      <c r="AI739" s="20"/>
      <c r="AJ739" s="21"/>
      <c r="AK739" s="21"/>
      <c r="AM739" s="19"/>
      <c r="AN739" s="18"/>
      <c r="AO739" s="2"/>
      <c r="AP739" s="18"/>
      <c r="AQ739" s="118"/>
      <c r="AS739" s="2"/>
      <c r="AT739" s="19"/>
      <c r="AU739" s="20"/>
      <c r="AV739" s="21"/>
      <c r="AW739" s="21"/>
    </row>
    <row r="740" spans="1:49" x14ac:dyDescent="0.25">
      <c r="A740" s="1">
        <f t="shared" si="305"/>
        <v>714</v>
      </c>
      <c r="B740" s="19">
        <f t="shared" si="306"/>
        <v>938.54355043714895</v>
      </c>
      <c r="C740" s="18">
        <f t="shared" si="320"/>
        <v>11.11129768112105</v>
      </c>
      <c r="D740" s="2">
        <f t="shared" si="299"/>
        <v>0.97201059347537211</v>
      </c>
      <c r="E740" s="18">
        <f t="shared" si="307"/>
        <v>11.127497857678973</v>
      </c>
      <c r="F740" s="21">
        <f t="shared" si="300"/>
        <v>9.0281306192890796</v>
      </c>
      <c r="G740" s="1">
        <f t="shared" si="301"/>
        <v>0</v>
      </c>
      <c r="H740" s="2">
        <f t="shared" si="297"/>
        <v>2177.0637321291033</v>
      </c>
      <c r="I740" s="19">
        <f t="shared" si="323"/>
        <v>942.45183209052084</v>
      </c>
      <c r="J740" s="20">
        <f t="shared" si="302"/>
        <v>0.90262542653007705</v>
      </c>
      <c r="K740" s="21">
        <f t="shared" si="303"/>
        <v>922.66399601190028</v>
      </c>
      <c r="L740" s="21">
        <f t="shared" si="298"/>
        <v>7.2579317591552721</v>
      </c>
      <c r="M740" s="2">
        <f t="shared" si="308"/>
        <v>734.00413464146072</v>
      </c>
      <c r="N740" s="19">
        <f t="shared" si="321"/>
        <v>351.78781853044541</v>
      </c>
      <c r="O740" s="1">
        <f t="shared" si="309"/>
        <v>714</v>
      </c>
      <c r="P740" s="19">
        <f t="shared" si="310"/>
        <v>1376.8029432794021</v>
      </c>
      <c r="Q740" s="18">
        <f t="shared" si="311"/>
        <v>12.71033158288053</v>
      </c>
      <c r="R740" s="2">
        <f t="shared" si="312"/>
        <v>0.97948850869281101</v>
      </c>
      <c r="S740" s="18">
        <f t="shared" si="313"/>
        <v>12.726656391358743</v>
      </c>
      <c r="T740" s="18">
        <f t="shared" si="314"/>
        <v>11.763934236949803</v>
      </c>
      <c r="U740" s="1">
        <f t="shared" si="304"/>
        <v>0</v>
      </c>
      <c r="V740" s="2">
        <f t="shared" si="315"/>
        <v>3192.178733212369</v>
      </c>
      <c r="W740" s="19">
        <f t="shared" si="316"/>
        <v>1381.8955555031901</v>
      </c>
      <c r="X740" s="20"/>
      <c r="Y740" s="2">
        <f t="shared" si="317"/>
        <v>1362.2087914809533</v>
      </c>
      <c r="Z740" s="21">
        <f t="shared" si="318"/>
        <v>9.4939399239273659</v>
      </c>
      <c r="AA740" s="2">
        <f t="shared" si="319"/>
        <v>1088.1727362628953</v>
      </c>
      <c r="AB740" s="19">
        <f t="shared" si="322"/>
        <v>102.57620355619768</v>
      </c>
      <c r="AC740" s="2"/>
      <c r="AD740" s="18"/>
      <c r="AE740" s="118"/>
      <c r="AG740" s="2"/>
      <c r="AH740" s="19"/>
      <c r="AI740" s="20"/>
      <c r="AJ740" s="21"/>
      <c r="AK740" s="21"/>
      <c r="AM740" s="19"/>
      <c r="AN740" s="18"/>
      <c r="AO740" s="2"/>
      <c r="AP740" s="18"/>
      <c r="AQ740" s="118"/>
      <c r="AS740" s="2"/>
      <c r="AT740" s="19"/>
      <c r="AU740" s="20"/>
      <c r="AV740" s="21"/>
      <c r="AW740" s="21"/>
    </row>
    <row r="741" spans="1:49" x14ac:dyDescent="0.25">
      <c r="A741" s="1">
        <f t="shared" si="305"/>
        <v>715</v>
      </c>
      <c r="B741" s="19">
        <f t="shared" si="306"/>
        <v>942.45183209052084</v>
      </c>
      <c r="C741" s="18">
        <f t="shared" si="320"/>
        <v>11.127497857678973</v>
      </c>
      <c r="D741" s="2">
        <f t="shared" si="299"/>
        <v>0.97209138164829267</v>
      </c>
      <c r="E741" s="18">
        <f t="shared" si="307"/>
        <v>11.143699380706444</v>
      </c>
      <c r="F741" s="21">
        <f t="shared" si="300"/>
        <v>9.0540572435617843</v>
      </c>
      <c r="G741" s="1">
        <f t="shared" si="301"/>
        <v>0</v>
      </c>
      <c r="H741" s="2">
        <f t="shared" si="297"/>
        <v>2186.1177893726649</v>
      </c>
      <c r="I741" s="19">
        <f t="shared" si="323"/>
        <v>946.37133739076398</v>
      </c>
      <c r="J741" s="20">
        <f t="shared" si="302"/>
        <v>0.90257370163931894</v>
      </c>
      <c r="K741" s="21">
        <f t="shared" si="303"/>
        <v>926.58440279836259</v>
      </c>
      <c r="L741" s="21">
        <f t="shared" si="298"/>
        <v>7.2790820940504295</v>
      </c>
      <c r="M741" s="2">
        <f t="shared" si="308"/>
        <v>737.15525243109289</v>
      </c>
      <c r="N741" s="19">
        <f t="shared" si="321"/>
        <v>351.85436665162757</v>
      </c>
      <c r="O741" s="1">
        <f t="shared" si="309"/>
        <v>715</v>
      </c>
      <c r="P741" s="19">
        <f t="shared" si="310"/>
        <v>1381.8955555031901</v>
      </c>
      <c r="Q741" s="18">
        <f t="shared" si="311"/>
        <v>12.726656391358743</v>
      </c>
      <c r="R741" s="2">
        <f t="shared" si="312"/>
        <v>0.97956083765504387</v>
      </c>
      <c r="S741" s="18">
        <f t="shared" si="313"/>
        <v>12.74298240531966</v>
      </c>
      <c r="T741" s="18">
        <f t="shared" si="314"/>
        <v>11.793703860947215</v>
      </c>
      <c r="U741" s="1">
        <f t="shared" si="304"/>
        <v>0</v>
      </c>
      <c r="V741" s="2">
        <f t="shared" si="315"/>
        <v>3203.9724370733161</v>
      </c>
      <c r="W741" s="19">
        <f t="shared" si="316"/>
        <v>1387.0010550100935</v>
      </c>
      <c r="X741" s="20"/>
      <c r="Y741" s="2">
        <f t="shared" si="317"/>
        <v>1367.3154652527435</v>
      </c>
      <c r="Z741" s="21">
        <f t="shared" si="318"/>
        <v>9.5183135863243891</v>
      </c>
      <c r="AA741" s="2">
        <f t="shared" si="319"/>
        <v>1092.2932183348973</v>
      </c>
      <c r="AB741" s="19">
        <f t="shared" si="322"/>
        <v>102.63438962275875</v>
      </c>
      <c r="AC741" s="2"/>
      <c r="AD741" s="18"/>
      <c r="AE741" s="118"/>
      <c r="AG741" s="2"/>
      <c r="AH741" s="19"/>
      <c r="AI741" s="20"/>
      <c r="AJ741" s="21"/>
      <c r="AK741" s="21"/>
      <c r="AM741" s="19"/>
      <c r="AN741" s="18"/>
      <c r="AO741" s="2"/>
      <c r="AP741" s="18"/>
      <c r="AQ741" s="118"/>
      <c r="AS741" s="2"/>
      <c r="AT741" s="19"/>
      <c r="AU741" s="20"/>
      <c r="AV741" s="21"/>
      <c r="AW741" s="21"/>
    </row>
    <row r="742" spans="1:49" x14ac:dyDescent="0.25">
      <c r="A742" s="1">
        <f t="shared" si="305"/>
        <v>716</v>
      </c>
      <c r="B742" s="19">
        <f t="shared" si="306"/>
        <v>946.37133739076398</v>
      </c>
      <c r="C742" s="18">
        <f t="shared" si="320"/>
        <v>11.143699380706444</v>
      </c>
      <c r="D742" s="2">
        <f t="shared" si="299"/>
        <v>0.97217207275767326</v>
      </c>
      <c r="E742" s="18">
        <f t="shared" si="307"/>
        <v>11.159902248585739</v>
      </c>
      <c r="F742" s="21">
        <f t="shared" si="300"/>
        <v>9.0800227168383341</v>
      </c>
      <c r="G742" s="1">
        <f t="shared" si="301"/>
        <v>0</v>
      </c>
      <c r="H742" s="2">
        <f t="shared" si="297"/>
        <v>2195.1978120895033</v>
      </c>
      <c r="I742" s="19">
        <f t="shared" si="323"/>
        <v>950.30208315562913</v>
      </c>
      <c r="J742" s="20">
        <f t="shared" si="302"/>
        <v>0.90252201817237276</v>
      </c>
      <c r="K742" s="21">
        <f t="shared" si="303"/>
        <v>930.51605263475358</v>
      </c>
      <c r="L742" s="21">
        <f t="shared" si="298"/>
        <v>7.3002649606878638</v>
      </c>
      <c r="M742" s="2">
        <f t="shared" si="308"/>
        <v>740.31554029286258</v>
      </c>
      <c r="N742" s="19">
        <f t="shared" si="321"/>
        <v>351.92081802029691</v>
      </c>
      <c r="O742" s="1">
        <f t="shared" si="309"/>
        <v>716</v>
      </c>
      <c r="P742" s="19">
        <f t="shared" si="310"/>
        <v>1387.0010550100935</v>
      </c>
      <c r="Q742" s="18">
        <f t="shared" si="311"/>
        <v>12.74298240531966</v>
      </c>
      <c r="R742" s="2">
        <f t="shared" si="312"/>
        <v>0.9796330879146915</v>
      </c>
      <c r="S742" s="18">
        <f t="shared" si="313"/>
        <v>12.759309623451571</v>
      </c>
      <c r="T742" s="18">
        <f t="shared" si="314"/>
        <v>11.823512825031269</v>
      </c>
      <c r="U742" s="1">
        <f t="shared" si="304"/>
        <v>0</v>
      </c>
      <c r="V742" s="2">
        <f t="shared" si="315"/>
        <v>3215.7959498983473</v>
      </c>
      <c r="W742" s="19">
        <f t="shared" si="316"/>
        <v>1392.1194588304534</v>
      </c>
      <c r="X742" s="20"/>
      <c r="Y742" s="2">
        <f t="shared" si="317"/>
        <v>1372.435046305982</v>
      </c>
      <c r="Z742" s="21">
        <f t="shared" si="318"/>
        <v>9.5427202969147427</v>
      </c>
      <c r="AA742" s="2">
        <f t="shared" si="319"/>
        <v>1096.4242660824796</v>
      </c>
      <c r="AB742" s="19">
        <f t="shared" si="322"/>
        <v>102.69250114267878</v>
      </c>
      <c r="AC742" s="2"/>
      <c r="AD742" s="18"/>
      <c r="AE742" s="118"/>
      <c r="AG742" s="2"/>
      <c r="AH742" s="19"/>
      <c r="AI742" s="20"/>
      <c r="AJ742" s="21"/>
      <c r="AK742" s="21"/>
      <c r="AM742" s="19"/>
      <c r="AN742" s="18"/>
      <c r="AO742" s="2"/>
      <c r="AP742" s="18"/>
      <c r="AQ742" s="118"/>
      <c r="AS742" s="2"/>
      <c r="AT742" s="19"/>
      <c r="AU742" s="20"/>
      <c r="AV742" s="21"/>
      <c r="AW742" s="21"/>
    </row>
    <row r="743" spans="1:49" x14ac:dyDescent="0.25">
      <c r="A743" s="1">
        <f t="shared" si="305"/>
        <v>717</v>
      </c>
      <c r="B743" s="19">
        <f t="shared" si="306"/>
        <v>950.30208315562913</v>
      </c>
      <c r="C743" s="18">
        <f t="shared" si="320"/>
        <v>11.159902248585739</v>
      </c>
      <c r="D743" s="2">
        <f t="shared" si="299"/>
        <v>0.97225266702515412</v>
      </c>
      <c r="E743" s="18">
        <f t="shared" si="307"/>
        <v>11.176106459702826</v>
      </c>
      <c r="F743" s="21">
        <f t="shared" si="300"/>
        <v>9.1060270443914657</v>
      </c>
      <c r="G743" s="1">
        <f t="shared" si="301"/>
        <v>0</v>
      </c>
      <c r="H743" s="2">
        <f t="shared" si="297"/>
        <v>2204.3038391338946</v>
      </c>
      <c r="I743" s="19">
        <f t="shared" si="323"/>
        <v>954.24408620514919</v>
      </c>
      <c r="J743" s="20">
        <f t="shared" si="302"/>
        <v>0.90247037609806302</v>
      </c>
      <c r="K743" s="21">
        <f t="shared" si="303"/>
        <v>934.45896234497513</v>
      </c>
      <c r="L743" s="21">
        <f t="shared" si="298"/>
        <v>7.3214803646165088</v>
      </c>
      <c r="M743" s="2">
        <f t="shared" si="308"/>
        <v>743.4850123121771</v>
      </c>
      <c r="N743" s="19">
        <f t="shared" si="321"/>
        <v>351.98717290938038</v>
      </c>
      <c r="O743" s="1">
        <f t="shared" si="309"/>
        <v>717</v>
      </c>
      <c r="P743" s="19">
        <f t="shared" si="310"/>
        <v>1392.1194588304534</v>
      </c>
      <c r="Q743" s="18">
        <f t="shared" si="311"/>
        <v>12.759309623451571</v>
      </c>
      <c r="R743" s="2">
        <f t="shared" si="312"/>
        <v>0.97970525964073296</v>
      </c>
      <c r="S743" s="18">
        <f t="shared" si="313"/>
        <v>12.775638044445584</v>
      </c>
      <c r="T743" s="18">
        <f t="shared" si="314"/>
        <v>11.853361133909587</v>
      </c>
      <c r="U743" s="1">
        <f t="shared" si="304"/>
        <v>0</v>
      </c>
      <c r="V743" s="2">
        <f t="shared" si="315"/>
        <v>3227.6493110322567</v>
      </c>
      <c r="W743" s="19">
        <f t="shared" si="316"/>
        <v>1397.2507839966479</v>
      </c>
      <c r="X743" s="20"/>
      <c r="Y743" s="2">
        <f t="shared" si="317"/>
        <v>1377.567551676965</v>
      </c>
      <c r="Z743" s="21">
        <f t="shared" si="318"/>
        <v>9.5671600606527161</v>
      </c>
      <c r="AA743" s="2">
        <f t="shared" si="319"/>
        <v>1100.5658938143638</v>
      </c>
      <c r="AB743" s="19">
        <f t="shared" si="322"/>
        <v>102.75053830125093</v>
      </c>
      <c r="AC743" s="2"/>
      <c r="AD743" s="18"/>
      <c r="AE743" s="118"/>
      <c r="AG743" s="2"/>
      <c r="AH743" s="19"/>
      <c r="AI743" s="20"/>
      <c r="AJ743" s="21"/>
      <c r="AK743" s="21"/>
      <c r="AM743" s="19"/>
      <c r="AN743" s="18"/>
      <c r="AO743" s="2"/>
      <c r="AP743" s="18"/>
      <c r="AQ743" s="118"/>
      <c r="AS743" s="2"/>
      <c r="AT743" s="19"/>
      <c r="AU743" s="20"/>
      <c r="AV743" s="21"/>
      <c r="AW743" s="21"/>
    </row>
    <row r="744" spans="1:49" x14ac:dyDescent="0.25">
      <c r="A744" s="1">
        <f t="shared" si="305"/>
        <v>718</v>
      </c>
      <c r="B744" s="19">
        <f t="shared" si="306"/>
        <v>954.24408620514919</v>
      </c>
      <c r="C744" s="18">
        <f t="shared" si="320"/>
        <v>11.176106459702826</v>
      </c>
      <c r="D744" s="2">
        <f t="shared" si="299"/>
        <v>0.97233316467172248</v>
      </c>
      <c r="E744" s="18">
        <f t="shared" si="307"/>
        <v>11.192312012447355</v>
      </c>
      <c r="F744" s="21">
        <f t="shared" si="300"/>
        <v>9.1320702314874698</v>
      </c>
      <c r="G744" s="1">
        <f t="shared" si="301"/>
        <v>0</v>
      </c>
      <c r="H744" s="2">
        <f t="shared" si="297"/>
        <v>2213.435909365382</v>
      </c>
      <c r="I744" s="19">
        <f t="shared" si="323"/>
        <v>958.19736336163726</v>
      </c>
      <c r="J744" s="20">
        <f t="shared" si="302"/>
        <v>0.9024187753850389</v>
      </c>
      <c r="K744" s="21">
        <f t="shared" si="303"/>
        <v>938.41314875520925</v>
      </c>
      <c r="L744" s="21">
        <f t="shared" si="298"/>
        <v>7.3427283113785089</v>
      </c>
      <c r="M744" s="2">
        <f t="shared" si="308"/>
        <v>746.66368257684314</v>
      </c>
      <c r="N744" s="19">
        <f t="shared" si="321"/>
        <v>352.0534315906624</v>
      </c>
      <c r="O744" s="1">
        <f t="shared" si="309"/>
        <v>718</v>
      </c>
      <c r="P744" s="19">
        <f t="shared" si="310"/>
        <v>1397.2507839966479</v>
      </c>
      <c r="Q744" s="18">
        <f t="shared" si="311"/>
        <v>12.775638044445584</v>
      </c>
      <c r="R744" s="2">
        <f t="shared" si="312"/>
        <v>0.9797773530016376</v>
      </c>
      <c r="S744" s="18">
        <f t="shared" si="313"/>
        <v>12.79196766699561</v>
      </c>
      <c r="T744" s="18">
        <f t="shared" si="314"/>
        <v>11.883248792284764</v>
      </c>
      <c r="U744" s="1">
        <f t="shared" si="304"/>
        <v>0</v>
      </c>
      <c r="V744" s="2">
        <f t="shared" si="315"/>
        <v>3239.5325598245413</v>
      </c>
      <c r="W744" s="19">
        <f t="shared" si="316"/>
        <v>1402.3950475430916</v>
      </c>
      <c r="X744" s="20"/>
      <c r="Y744" s="2">
        <f t="shared" si="317"/>
        <v>1382.7129984040243</v>
      </c>
      <c r="Z744" s="21">
        <f t="shared" si="318"/>
        <v>9.5916328824872874</v>
      </c>
      <c r="AA744" s="2">
        <f t="shared" si="319"/>
        <v>1104.7181158414146</v>
      </c>
      <c r="AB744" s="19">
        <f t="shared" si="322"/>
        <v>102.80850128308488</v>
      </c>
      <c r="AC744" s="2"/>
      <c r="AD744" s="18"/>
      <c r="AE744" s="118"/>
      <c r="AG744" s="2"/>
      <c r="AH744" s="19"/>
      <c r="AI744" s="20"/>
      <c r="AJ744" s="21"/>
      <c r="AK744" s="21"/>
      <c r="AM744" s="19"/>
      <c r="AN744" s="18"/>
      <c r="AO744" s="2"/>
      <c r="AP744" s="18"/>
      <c r="AQ744" s="118"/>
      <c r="AS744" s="2"/>
      <c r="AT744" s="19"/>
      <c r="AU744" s="20"/>
      <c r="AV744" s="21"/>
      <c r="AW744" s="21"/>
    </row>
    <row r="745" spans="1:49" x14ac:dyDescent="0.25">
      <c r="A745" s="1">
        <f t="shared" si="305"/>
        <v>719</v>
      </c>
      <c r="B745" s="19">
        <f t="shared" si="306"/>
        <v>958.19736336163726</v>
      </c>
      <c r="C745" s="18">
        <f t="shared" si="320"/>
        <v>11.192312012447355</v>
      </c>
      <c r="D745" s="2">
        <f t="shared" si="299"/>
        <v>0.97241356591771277</v>
      </c>
      <c r="E745" s="18">
        <f t="shared" si="307"/>
        <v>11.208518905212649</v>
      </c>
      <c r="F745" s="21">
        <f t="shared" si="300"/>
        <v>9.1581522833861886</v>
      </c>
      <c r="G745" s="1">
        <f t="shared" si="301"/>
        <v>0</v>
      </c>
      <c r="H745" s="2">
        <f t="shared" si="297"/>
        <v>2222.5940616487683</v>
      </c>
      <c r="I745" s="19">
        <f t="shared" si="323"/>
        <v>962.16193144968327</v>
      </c>
      <c r="J745" s="20">
        <f t="shared" si="302"/>
        <v>0.90236721600177505</v>
      </c>
      <c r="K745" s="21">
        <f t="shared" si="303"/>
        <v>942.37862869391552</v>
      </c>
      <c r="L745" s="21">
        <f t="shared" si="298"/>
        <v>7.364008806509224</v>
      </c>
      <c r="M745" s="2">
        <f t="shared" si="308"/>
        <v>749.85156517706355</v>
      </c>
      <c r="N745" s="19">
        <f t="shared" si="321"/>
        <v>352.11959433479103</v>
      </c>
      <c r="O745" s="1">
        <f t="shared" si="309"/>
        <v>719</v>
      </c>
      <c r="P745" s="19">
        <f t="shared" si="310"/>
        <v>1402.3950475430916</v>
      </c>
      <c r="Q745" s="18">
        <f t="shared" si="311"/>
        <v>12.79196766699561</v>
      </c>
      <c r="R745" s="2">
        <f t="shared" si="312"/>
        <v>0.97984936816536672</v>
      </c>
      <c r="S745" s="18">
        <f t="shared" si="313"/>
        <v>12.808298489798366</v>
      </c>
      <c r="T745" s="18">
        <f t="shared" si="314"/>
        <v>11.913175804854395</v>
      </c>
      <c r="U745" s="1">
        <f t="shared" si="304"/>
        <v>0</v>
      </c>
      <c r="V745" s="2">
        <f t="shared" si="315"/>
        <v>3251.445735629396</v>
      </c>
      <c r="W745" s="19">
        <f t="shared" si="316"/>
        <v>1407.5522665062319</v>
      </c>
      <c r="X745" s="20"/>
      <c r="Y745" s="2">
        <f t="shared" si="317"/>
        <v>1387.8714035275264</v>
      </c>
      <c r="Z745" s="21">
        <f t="shared" si="318"/>
        <v>9.6161387673621448</v>
      </c>
      <c r="AA745" s="2">
        <f t="shared" si="319"/>
        <v>1108.8809464766364</v>
      </c>
      <c r="AB745" s="19">
        <f t="shared" si="322"/>
        <v>102.86639027211024</v>
      </c>
      <c r="AC745" s="2"/>
      <c r="AD745" s="18"/>
      <c r="AE745" s="118"/>
      <c r="AG745" s="2"/>
      <c r="AH745" s="19"/>
      <c r="AI745" s="20"/>
      <c r="AJ745" s="21"/>
      <c r="AK745" s="21"/>
      <c r="AM745" s="19"/>
      <c r="AN745" s="18"/>
      <c r="AO745" s="2"/>
      <c r="AP745" s="18"/>
      <c r="AQ745" s="118"/>
      <c r="AS745" s="2"/>
      <c r="AT745" s="19"/>
      <c r="AU745" s="20"/>
      <c r="AV745" s="21"/>
      <c r="AW745" s="21"/>
    </row>
    <row r="746" spans="1:49" x14ac:dyDescent="0.25">
      <c r="A746" s="1">
        <f t="shared" si="305"/>
        <v>720</v>
      </c>
      <c r="B746" s="19">
        <f t="shared" si="306"/>
        <v>962.16193144968327</v>
      </c>
      <c r="C746" s="18">
        <f t="shared" si="320"/>
        <v>11.208518905212649</v>
      </c>
      <c r="D746" s="2">
        <f t="shared" si="299"/>
        <v>0.97249387098280871</v>
      </c>
      <c r="E746" s="18">
        <f t="shared" si="307"/>
        <v>11.224727136395696</v>
      </c>
      <c r="F746" s="21">
        <f t="shared" si="300"/>
        <v>9.1842732053410554</v>
      </c>
      <c r="G746" s="1">
        <f t="shared" si="301"/>
        <v>0</v>
      </c>
      <c r="H746" s="2">
        <f t="shared" si="297"/>
        <v>2231.7783348541093</v>
      </c>
      <c r="I746" s="19">
        <f t="shared" si="323"/>
        <v>966.13780729615121</v>
      </c>
      <c r="J746" s="20">
        <f t="shared" si="302"/>
        <v>0.90231569791657507</v>
      </c>
      <c r="K746" s="21">
        <f t="shared" si="303"/>
        <v>946.35541899182817</v>
      </c>
      <c r="L746" s="21">
        <f t="shared" si="298"/>
        <v>7.3853218555372564</v>
      </c>
      <c r="M746" s="2">
        <f t="shared" si="308"/>
        <v>753.04867420543462</v>
      </c>
      <c r="N746" s="19">
        <f t="shared" si="321"/>
        <v>352.18566141128434</v>
      </c>
      <c r="O746" s="1">
        <f t="shared" si="309"/>
        <v>720</v>
      </c>
      <c r="P746" s="19">
        <f t="shared" si="310"/>
        <v>1407.5522665062319</v>
      </c>
      <c r="Q746" s="18">
        <f t="shared" si="311"/>
        <v>12.808298489798366</v>
      </c>
      <c r="R746" s="2">
        <f t="shared" si="312"/>
        <v>0.97992130529937604</v>
      </c>
      <c r="S746" s="18">
        <f t="shared" si="313"/>
        <v>12.824630511553355</v>
      </c>
      <c r="T746" s="18">
        <f t="shared" si="314"/>
        <v>11.943142176311076</v>
      </c>
      <c r="U746" s="1">
        <f t="shared" si="304"/>
        <v>0</v>
      </c>
      <c r="V746" s="2">
        <f t="shared" si="315"/>
        <v>3263.3888778057071</v>
      </c>
      <c r="W746" s="19">
        <f t="shared" si="316"/>
        <v>1412.7224579245485</v>
      </c>
      <c r="X746" s="20"/>
      <c r="Y746" s="2">
        <f t="shared" si="317"/>
        <v>1393.042784089869</v>
      </c>
      <c r="Z746" s="21">
        <f t="shared" si="318"/>
        <v>9.6406777202157041</v>
      </c>
      <c r="AA746" s="2">
        <f t="shared" si="319"/>
        <v>1113.0544000351713</v>
      </c>
      <c r="AB746" s="19">
        <f t="shared" si="322"/>
        <v>102.92420545157979</v>
      </c>
      <c r="AC746" s="2"/>
      <c r="AD746" s="18"/>
      <c r="AE746" s="118"/>
      <c r="AG746" s="2"/>
      <c r="AH746" s="19"/>
      <c r="AI746" s="20"/>
      <c r="AJ746" s="21"/>
      <c r="AK746" s="21"/>
      <c r="AM746" s="19"/>
      <c r="AN746" s="18"/>
      <c r="AO746" s="2"/>
      <c r="AP746" s="18"/>
      <c r="AQ746" s="118"/>
      <c r="AS746" s="2"/>
      <c r="AT746" s="19"/>
      <c r="AU746" s="20"/>
      <c r="AV746" s="21"/>
      <c r="AW746" s="21"/>
    </row>
    <row r="747" spans="1:49" x14ac:dyDescent="0.25">
      <c r="A747" s="1">
        <f t="shared" si="305"/>
        <v>721</v>
      </c>
      <c r="B747" s="19">
        <f t="shared" si="306"/>
        <v>966.13780729615121</v>
      </c>
      <c r="C747" s="18">
        <f t="shared" si="320"/>
        <v>11.224727136395696</v>
      </c>
      <c r="D747" s="2">
        <f t="shared" si="299"/>
        <v>0.97257408008604562</v>
      </c>
      <c r="E747" s="18">
        <f t="shared" si="307"/>
        <v>11.24093670439713</v>
      </c>
      <c r="F747" s="21">
        <f t="shared" si="300"/>
        <v>9.210433002599089</v>
      </c>
      <c r="G747" s="1">
        <f t="shared" si="301"/>
        <v>0</v>
      </c>
      <c r="H747" s="2">
        <f t="shared" si="297"/>
        <v>2240.9887678567084</v>
      </c>
      <c r="I747" s="19">
        <f t="shared" si="323"/>
        <v>970.12500773017678</v>
      </c>
      <c r="J747" s="20">
        <f t="shared" si="302"/>
        <v>0.90226422109757354</v>
      </c>
      <c r="K747" s="21">
        <f t="shared" si="303"/>
        <v>950.34353648195361</v>
      </c>
      <c r="L747" s="21">
        <f t="shared" si="298"/>
        <v>7.4066674639844656</v>
      </c>
      <c r="M747" s="2">
        <f t="shared" si="308"/>
        <v>756.25502375694305</v>
      </c>
      <c r="N747" s="19">
        <f t="shared" si="321"/>
        <v>352.25163308853666</v>
      </c>
      <c r="O747" s="1">
        <f t="shared" si="309"/>
        <v>721</v>
      </c>
      <c r="P747" s="19">
        <f t="shared" si="310"/>
        <v>1412.7224579245485</v>
      </c>
      <c r="Q747" s="18">
        <f t="shared" si="311"/>
        <v>12.824630511553355</v>
      </c>
      <c r="R747" s="2">
        <f t="shared" si="312"/>
        <v>0.97999316457061603</v>
      </c>
      <c r="S747" s="18">
        <f t="shared" si="313"/>
        <v>12.840963730962866</v>
      </c>
      <c r="T747" s="18">
        <f t="shared" si="314"/>
        <v>11.973147911342428</v>
      </c>
      <c r="U747" s="1">
        <f t="shared" si="304"/>
        <v>0</v>
      </c>
      <c r="V747" s="2">
        <f t="shared" si="315"/>
        <v>3275.3620257170496</v>
      </c>
      <c r="W747" s="19">
        <f t="shared" si="316"/>
        <v>1417.9056388385495</v>
      </c>
      <c r="X747" s="20"/>
      <c r="Y747" s="2">
        <f t="shared" si="317"/>
        <v>1398.2271571354802</v>
      </c>
      <c r="Z747" s="21">
        <f t="shared" si="318"/>
        <v>9.6652497459811144</v>
      </c>
      <c r="AA747" s="2">
        <f t="shared" si="319"/>
        <v>1117.2384908342974</v>
      </c>
      <c r="AB747" s="19">
        <f t="shared" si="322"/>
        <v>102.98194700407289</v>
      </c>
      <c r="AC747" s="2"/>
      <c r="AD747" s="18"/>
      <c r="AE747" s="118"/>
      <c r="AG747" s="2"/>
      <c r="AH747" s="19"/>
      <c r="AI747" s="20"/>
      <c r="AJ747" s="21"/>
      <c r="AK747" s="21"/>
      <c r="AM747" s="19"/>
      <c r="AN747" s="18"/>
      <c r="AO747" s="2"/>
      <c r="AP747" s="18"/>
      <c r="AQ747" s="118"/>
      <c r="AS747" s="2"/>
      <c r="AT747" s="19"/>
      <c r="AU747" s="20"/>
      <c r="AV747" s="21"/>
      <c r="AW747" s="21"/>
    </row>
    <row r="748" spans="1:49" x14ac:dyDescent="0.25">
      <c r="A748" s="1">
        <f t="shared" si="305"/>
        <v>722</v>
      </c>
      <c r="B748" s="19">
        <f t="shared" si="306"/>
        <v>970.12500773017678</v>
      </c>
      <c r="C748" s="18">
        <f t="shared" si="320"/>
        <v>11.24093670439713</v>
      </c>
      <c r="D748" s="2">
        <f t="shared" si="299"/>
        <v>0.97265419344581105</v>
      </c>
      <c r="E748" s="18">
        <f t="shared" si="307"/>
        <v>11.257147607621228</v>
      </c>
      <c r="F748" s="21">
        <f t="shared" si="300"/>
        <v>9.236631680400933</v>
      </c>
      <c r="G748" s="1">
        <f t="shared" si="301"/>
        <v>0</v>
      </c>
      <c r="H748" s="2">
        <f t="shared" si="297"/>
        <v>2250.2253995371093</v>
      </c>
      <c r="I748" s="19">
        <f t="shared" si="323"/>
        <v>974.12354958316416</v>
      </c>
      <c r="J748" s="20">
        <f t="shared" si="302"/>
        <v>0.90221278551273787</v>
      </c>
      <c r="K748" s="21">
        <f t="shared" si="303"/>
        <v>954.34299799956716</v>
      </c>
      <c r="L748" s="21">
        <f t="shared" si="298"/>
        <v>7.4280456373659876</v>
      </c>
      <c r="M748" s="2">
        <f t="shared" si="308"/>
        <v>759.47062792896293</v>
      </c>
      <c r="N748" s="19">
        <f t="shared" si="321"/>
        <v>352.31750963382473</v>
      </c>
      <c r="O748" s="1">
        <f t="shared" si="309"/>
        <v>722</v>
      </c>
      <c r="P748" s="19">
        <f t="shared" si="310"/>
        <v>1417.9056388385495</v>
      </c>
      <c r="Q748" s="18">
        <f t="shared" si="311"/>
        <v>12.840963730962866</v>
      </c>
      <c r="R748" s="2">
        <f t="shared" si="312"/>
        <v>0.98006494614553563</v>
      </c>
      <c r="S748" s="18">
        <f t="shared" si="313"/>
        <v>12.857298146731958</v>
      </c>
      <c r="T748" s="18">
        <f t="shared" si="314"/>
        <v>12.003193014631096</v>
      </c>
      <c r="U748" s="1">
        <f t="shared" si="304"/>
        <v>0</v>
      </c>
      <c r="V748" s="2">
        <f t="shared" si="315"/>
        <v>3287.3652187316807</v>
      </c>
      <c r="W748" s="19">
        <f t="shared" si="316"/>
        <v>1423.1018262907708</v>
      </c>
      <c r="X748" s="20"/>
      <c r="Y748" s="2">
        <f t="shared" si="317"/>
        <v>1403.4245397108155</v>
      </c>
      <c r="Z748" s="21">
        <f t="shared" si="318"/>
        <v>9.6898548495862773</v>
      </c>
      <c r="AA748" s="2">
        <f t="shared" si="319"/>
        <v>1121.4332331934256</v>
      </c>
      <c r="AB748" s="19">
        <f t="shared" si="322"/>
        <v>103.03961511149865</v>
      </c>
      <c r="AC748" s="2"/>
      <c r="AD748" s="18"/>
      <c r="AE748" s="118"/>
      <c r="AG748" s="2"/>
      <c r="AH748" s="19"/>
      <c r="AI748" s="20"/>
      <c r="AJ748" s="21"/>
      <c r="AK748" s="21"/>
      <c r="AM748" s="19"/>
      <c r="AN748" s="18"/>
      <c r="AO748" s="2"/>
      <c r="AP748" s="18"/>
      <c r="AQ748" s="118"/>
      <c r="AS748" s="2"/>
      <c r="AT748" s="19"/>
      <c r="AU748" s="20"/>
      <c r="AV748" s="21"/>
      <c r="AW748" s="21"/>
    </row>
    <row r="749" spans="1:49" x14ac:dyDescent="0.25">
      <c r="O749" s="1">
        <f t="shared" si="309"/>
        <v>723</v>
      </c>
      <c r="P749" s="19">
        <f t="shared" si="310"/>
        <v>1423.1018262907708</v>
      </c>
      <c r="Q749" s="18">
        <f t="shared" si="311"/>
        <v>12.857298146731958</v>
      </c>
      <c r="R749" s="2">
        <f t="shared" si="312"/>
        <v>0.98013665019008234</v>
      </c>
      <c r="S749" s="18">
        <f t="shared" si="313"/>
        <v>12.873633757568459</v>
      </c>
      <c r="T749" s="18">
        <f t="shared" si="314"/>
        <v>12.033277490854758</v>
      </c>
      <c r="U749" s="1">
        <f t="shared" si="304"/>
        <v>0</v>
      </c>
      <c r="V749" s="2">
        <f t="shared" si="315"/>
        <v>3299.3984962225354</v>
      </c>
      <c r="W749" s="19">
        <f t="shared" si="316"/>
        <v>1428.311037325773</v>
      </c>
      <c r="X749" s="20"/>
      <c r="Y749" s="2">
        <f t="shared" si="317"/>
        <v>1408.6349488643555</v>
      </c>
      <c r="Z749" s="21">
        <f t="shared" si="318"/>
        <v>9.7144930359538328</v>
      </c>
      <c r="AA749" s="2">
        <f t="shared" si="319"/>
        <v>1125.6386414340982</v>
      </c>
      <c r="AB749" s="19">
        <f t="shared" si="322"/>
        <v>103.09720995509926</v>
      </c>
      <c r="AC749" s="2"/>
      <c r="AD749" s="18"/>
      <c r="AE749" s="118"/>
      <c r="AG749" s="2"/>
      <c r="AH749" s="19"/>
      <c r="AI749" s="20"/>
      <c r="AJ749" s="21"/>
      <c r="AK749" s="21"/>
      <c r="AM749" s="19"/>
      <c r="AN749" s="18"/>
      <c r="AO749" s="2"/>
      <c r="AP749" s="18"/>
      <c r="AQ749" s="118"/>
      <c r="AS749" s="2"/>
      <c r="AT749" s="19"/>
      <c r="AU749" s="20"/>
      <c r="AV749" s="21"/>
      <c r="AW749" s="21"/>
    </row>
    <row r="750" spans="1:49" x14ac:dyDescent="0.25">
      <c r="O750" s="1">
        <f t="shared" si="309"/>
        <v>724</v>
      </c>
      <c r="P750" s="19">
        <f t="shared" si="310"/>
        <v>1428.311037325773</v>
      </c>
      <c r="Q750" s="18">
        <f t="shared" si="311"/>
        <v>12.873633757568459</v>
      </c>
      <c r="R750" s="2">
        <f t="shared" si="312"/>
        <v>0.98020827686970469</v>
      </c>
      <c r="S750" s="18">
        <f t="shared" si="313"/>
        <v>12.889970562182954</v>
      </c>
      <c r="T750" s="18">
        <f t="shared" si="314"/>
        <v>12.063401344686156</v>
      </c>
      <c r="U750" s="1">
        <f t="shared" si="304"/>
        <v>0</v>
      </c>
      <c r="V750" s="2">
        <f t="shared" si="315"/>
        <v>3311.461897567222</v>
      </c>
      <c r="W750" s="19">
        <f t="shared" si="316"/>
        <v>1433.5332889901395</v>
      </c>
      <c r="X750" s="20"/>
      <c r="Y750" s="2">
        <f t="shared" si="317"/>
        <v>1413.8584016466045</v>
      </c>
      <c r="Z750" s="21">
        <f t="shared" si="318"/>
        <v>9.7391643100012182</v>
      </c>
      <c r="AA750" s="2">
        <f t="shared" si="319"/>
        <v>1129.8547298799861</v>
      </c>
      <c r="AB750" s="19">
        <f t="shared" si="322"/>
        <v>103.15473171545321</v>
      </c>
      <c r="AC750" s="2"/>
      <c r="AD750" s="18"/>
      <c r="AE750" s="118"/>
      <c r="AG750" s="2"/>
      <c r="AH750" s="19"/>
      <c r="AI750" s="20"/>
      <c r="AJ750" s="21"/>
      <c r="AK750" s="21"/>
      <c r="AM750" s="19"/>
      <c r="AN750" s="18"/>
      <c r="AO750" s="2"/>
      <c r="AP750" s="18"/>
      <c r="AQ750" s="118"/>
      <c r="AS750" s="2"/>
      <c r="AT750" s="19"/>
      <c r="AU750" s="20"/>
      <c r="AV750" s="21"/>
      <c r="AW750" s="21"/>
    </row>
    <row r="751" spans="1:49" x14ac:dyDescent="0.25">
      <c r="O751" s="1">
        <f t="shared" si="309"/>
        <v>725</v>
      </c>
      <c r="P751" s="19">
        <f t="shared" si="310"/>
        <v>1433.5332889901395</v>
      </c>
      <c r="Q751" s="18">
        <f t="shared" si="311"/>
        <v>12.889970562182954</v>
      </c>
      <c r="R751" s="2">
        <f t="shared" si="312"/>
        <v>0.9802798263493544</v>
      </c>
      <c r="S751" s="18">
        <f t="shared" si="313"/>
        <v>12.906308559288776</v>
      </c>
      <c r="T751" s="18">
        <f t="shared" si="314"/>
        <v>12.093564580793087</v>
      </c>
      <c r="U751" s="1">
        <f t="shared" si="304"/>
        <v>0</v>
      </c>
      <c r="V751" s="2">
        <f t="shared" si="315"/>
        <v>3323.5554621480155</v>
      </c>
      <c r="W751" s="19">
        <f t="shared" si="316"/>
        <v>1438.7685983324743</v>
      </c>
      <c r="X751" s="20"/>
      <c r="Y751" s="2">
        <f t="shared" si="317"/>
        <v>1419.0949151100879</v>
      </c>
      <c r="Z751" s="21">
        <f t="shared" si="318"/>
        <v>9.7638686766406337</v>
      </c>
      <c r="AA751" s="2">
        <f t="shared" si="319"/>
        <v>1134.0815128568868</v>
      </c>
      <c r="AB751" s="19">
        <f t="shared" si="322"/>
        <v>103.21218057247853</v>
      </c>
      <c r="AC751" s="2"/>
      <c r="AD751" s="18"/>
      <c r="AE751" s="118"/>
      <c r="AG751" s="2"/>
      <c r="AH751" s="19"/>
      <c r="AI751" s="20"/>
      <c r="AJ751" s="21"/>
      <c r="AK751" s="21"/>
      <c r="AM751" s="19"/>
      <c r="AN751" s="18"/>
      <c r="AO751" s="2"/>
      <c r="AP751" s="18"/>
      <c r="AQ751" s="118"/>
      <c r="AS751" s="2"/>
      <c r="AT751" s="19"/>
      <c r="AU751" s="20"/>
      <c r="AV751" s="21"/>
      <c r="AW751" s="21"/>
    </row>
    <row r="752" spans="1:49" x14ac:dyDescent="0.25">
      <c r="O752" s="1">
        <f t="shared" si="309"/>
        <v>726</v>
      </c>
      <c r="P752" s="19">
        <f t="shared" si="310"/>
        <v>1438.7685983324743</v>
      </c>
      <c r="Q752" s="18">
        <f t="shared" si="311"/>
        <v>12.906308559288776</v>
      </c>
      <c r="R752" s="2">
        <f t="shared" si="312"/>
        <v>0.98035129879348704</v>
      </c>
      <c r="S752" s="18">
        <f t="shared" si="313"/>
        <v>12.922647747602001</v>
      </c>
      <c r="T752" s="18">
        <f t="shared" si="314"/>
        <v>12.123767203838428</v>
      </c>
      <c r="U752" s="1">
        <f t="shared" si="304"/>
        <v>0</v>
      </c>
      <c r="V752" s="2">
        <f t="shared" si="315"/>
        <v>3335.6792293518538</v>
      </c>
      <c r="W752" s="19">
        <f t="shared" si="316"/>
        <v>1444.0169824033999</v>
      </c>
      <c r="X752" s="20"/>
      <c r="Y752" s="2">
        <f t="shared" si="317"/>
        <v>1424.34450630935</v>
      </c>
      <c r="Z752" s="21">
        <f t="shared" si="318"/>
        <v>9.7886061407790876</v>
      </c>
      <c r="AA752" s="2">
        <f t="shared" si="319"/>
        <v>1138.3190046927218</v>
      </c>
      <c r="AB752" s="19">
        <f t="shared" si="322"/>
        <v>103.26955670543596</v>
      </c>
      <c r="AC752" s="2"/>
      <c r="AD752" s="18"/>
      <c r="AE752" s="118"/>
      <c r="AG752" s="2"/>
      <c r="AH752" s="19"/>
      <c r="AI752" s="20"/>
      <c r="AJ752" s="21"/>
      <c r="AK752" s="21"/>
      <c r="AM752" s="19"/>
      <c r="AN752" s="18"/>
      <c r="AO752" s="2"/>
      <c r="AP752" s="18"/>
      <c r="AQ752" s="118"/>
      <c r="AS752" s="2"/>
      <c r="AT752" s="19"/>
      <c r="AU752" s="20"/>
      <c r="AV752" s="21"/>
      <c r="AW752" s="21"/>
    </row>
    <row r="753" spans="15:49" x14ac:dyDescent="0.25">
      <c r="O753" s="1">
        <f t="shared" si="309"/>
        <v>727</v>
      </c>
      <c r="P753" s="19">
        <f t="shared" si="310"/>
        <v>1444.0169824033999</v>
      </c>
      <c r="Q753" s="18">
        <f t="shared" si="311"/>
        <v>12.922647747602001</v>
      </c>
      <c r="R753" s="2">
        <f t="shared" si="312"/>
        <v>0.98042269436606488</v>
      </c>
      <c r="S753" s="18">
        <f t="shared" si="313"/>
        <v>12.938988125841435</v>
      </c>
      <c r="T753" s="18">
        <f t="shared" si="314"/>
        <v>12.154009218480137</v>
      </c>
      <c r="U753" s="1">
        <f t="shared" si="304"/>
        <v>0</v>
      </c>
      <c r="V753" s="2">
        <f t="shared" si="315"/>
        <v>3347.8332385703338</v>
      </c>
      <c r="W753" s="19">
        <f t="shared" si="316"/>
        <v>1449.2784582555557</v>
      </c>
      <c r="X753" s="20"/>
      <c r="Y753" s="2">
        <f t="shared" si="317"/>
        <v>1429.607192300952</v>
      </c>
      <c r="Z753" s="21">
        <f t="shared" si="318"/>
        <v>9.8133767073183904</v>
      </c>
      <c r="AA753" s="2">
        <f t="shared" si="319"/>
        <v>1142.567219717535</v>
      </c>
      <c r="AB753" s="19">
        <f t="shared" si="322"/>
        <v>103.32686029293217</v>
      </c>
      <c r="AC753" s="2"/>
      <c r="AD753" s="18"/>
      <c r="AE753" s="118"/>
      <c r="AG753" s="2"/>
      <c r="AH753" s="19"/>
      <c r="AI753" s="20"/>
      <c r="AJ753" s="21"/>
      <c r="AK753" s="21"/>
      <c r="AM753" s="19"/>
      <c r="AN753" s="18"/>
      <c r="AO753" s="2"/>
      <c r="AP753" s="18"/>
      <c r="AQ753" s="118"/>
      <c r="AS753" s="2"/>
      <c r="AT753" s="19"/>
      <c r="AU753" s="20"/>
      <c r="AV753" s="21"/>
      <c r="AW753" s="21"/>
    </row>
    <row r="754" spans="15:49" x14ac:dyDescent="0.25">
      <c r="O754" s="1">
        <f t="shared" si="309"/>
        <v>728</v>
      </c>
      <c r="P754" s="19">
        <f t="shared" si="310"/>
        <v>1449.2784582555557</v>
      </c>
      <c r="Q754" s="18">
        <f t="shared" si="311"/>
        <v>12.938988125841435</v>
      </c>
      <c r="R754" s="2">
        <f t="shared" si="312"/>
        <v>0.98049401323055829</v>
      </c>
      <c r="S754" s="18">
        <f t="shared" si="313"/>
        <v>12.955329692728611</v>
      </c>
      <c r="T754" s="18">
        <f t="shared" si="314"/>
        <v>12.184290629371281</v>
      </c>
      <c r="U754" s="1">
        <f t="shared" si="304"/>
        <v>0</v>
      </c>
      <c r="V754" s="2">
        <f t="shared" si="315"/>
        <v>3360.0175291997052</v>
      </c>
      <c r="W754" s="19">
        <f t="shared" si="316"/>
        <v>1454.5530429435953</v>
      </c>
      <c r="X754" s="20"/>
      <c r="Y754" s="2">
        <f t="shared" si="317"/>
        <v>1434.8829901434697</v>
      </c>
      <c r="Z754" s="21">
        <f t="shared" si="318"/>
        <v>9.838180381155178</v>
      </c>
      <c r="AA754" s="2">
        <f t="shared" si="319"/>
        <v>1146.8261722634895</v>
      </c>
      <c r="AB754" s="19">
        <f t="shared" si="322"/>
        <v>103.38409151292289</v>
      </c>
      <c r="AC754" s="2"/>
      <c r="AD754" s="18"/>
      <c r="AE754" s="118"/>
      <c r="AG754" s="2"/>
      <c r="AH754" s="19"/>
      <c r="AI754" s="20"/>
      <c r="AJ754" s="21"/>
      <c r="AK754" s="21"/>
      <c r="AM754" s="19"/>
      <c r="AN754" s="18"/>
      <c r="AO754" s="2"/>
      <c r="AP754" s="18"/>
      <c r="AQ754" s="118"/>
      <c r="AS754" s="2"/>
      <c r="AT754" s="19"/>
      <c r="AU754" s="20"/>
      <c r="AV754" s="21"/>
      <c r="AW754" s="21"/>
    </row>
    <row r="755" spans="15:49" x14ac:dyDescent="0.25">
      <c r="O755" s="1">
        <f t="shared" si="309"/>
        <v>729</v>
      </c>
      <c r="P755" s="19">
        <f t="shared" si="310"/>
        <v>1454.5530429435953</v>
      </c>
      <c r="Q755" s="18">
        <f t="shared" si="311"/>
        <v>12.955329692728611</v>
      </c>
      <c r="R755" s="2">
        <f t="shared" si="312"/>
        <v>0.98056525554994711</v>
      </c>
      <c r="S755" s="18">
        <f t="shared" si="313"/>
        <v>12.971672446987776</v>
      </c>
      <c r="T755" s="18">
        <f t="shared" si="314"/>
        <v>12.214611441160015</v>
      </c>
      <c r="U755" s="1">
        <f t="shared" si="304"/>
        <v>0</v>
      </c>
      <c r="V755" s="2">
        <f t="shared" si="315"/>
        <v>3372.2321406408651</v>
      </c>
      <c r="W755" s="19">
        <f t="shared" si="316"/>
        <v>1459.840753524184</v>
      </c>
      <c r="X755" s="20"/>
      <c r="Y755" s="2">
        <f t="shared" si="317"/>
        <v>1440.1719168974919</v>
      </c>
      <c r="Z755" s="21">
        <f t="shared" si="318"/>
        <v>9.8630171671808995</v>
      </c>
      <c r="AA755" s="2">
        <f t="shared" si="319"/>
        <v>1151.0958766648666</v>
      </c>
      <c r="AB755" s="19">
        <f t="shared" si="322"/>
        <v>103.44125054271609</v>
      </c>
      <c r="AC755" s="2"/>
      <c r="AD755" s="18"/>
      <c r="AE755" s="118"/>
      <c r="AG755" s="2"/>
      <c r="AH755" s="19"/>
      <c r="AI755" s="20"/>
      <c r="AJ755" s="21"/>
      <c r="AK755" s="21"/>
      <c r="AM755" s="19"/>
      <c r="AN755" s="18"/>
      <c r="AO755" s="2"/>
      <c r="AP755" s="18"/>
      <c r="AQ755" s="118"/>
      <c r="AS755" s="2"/>
      <c r="AT755" s="19"/>
      <c r="AU755" s="20"/>
      <c r="AV755" s="21"/>
      <c r="AW755" s="21"/>
    </row>
    <row r="756" spans="15:49" x14ac:dyDescent="0.25">
      <c r="O756" s="1">
        <f t="shared" si="309"/>
        <v>730</v>
      </c>
      <c r="P756" s="19">
        <f t="shared" si="310"/>
        <v>1459.840753524184</v>
      </c>
      <c r="Q756" s="18">
        <f t="shared" si="311"/>
        <v>12.971672446987776</v>
      </c>
      <c r="R756" s="2">
        <f t="shared" si="312"/>
        <v>0.98063642148672225</v>
      </c>
      <c r="S756" s="18">
        <f t="shared" si="313"/>
        <v>12.988016387345889</v>
      </c>
      <c r="T756" s="18">
        <f t="shared" si="314"/>
        <v>12.244971658489638</v>
      </c>
      <c r="U756" s="1">
        <f t="shared" si="304"/>
        <v>0</v>
      </c>
      <c r="V756" s="2">
        <f t="shared" si="315"/>
        <v>3384.4771122993548</v>
      </c>
      <c r="W756" s="19">
        <f t="shared" si="316"/>
        <v>1465.1416070559976</v>
      </c>
      <c r="X756" s="20"/>
      <c r="Y756" s="2">
        <f t="shared" si="317"/>
        <v>1445.4739896256178</v>
      </c>
      <c r="Z756" s="21">
        <f t="shared" si="318"/>
        <v>9.887887070281872</v>
      </c>
      <c r="AA756" s="2">
        <f t="shared" si="319"/>
        <v>1155.3763472580622</v>
      </c>
      <c r="AB756" s="19">
        <f t="shared" si="322"/>
        <v>103.49833755897508</v>
      </c>
      <c r="AC756" s="2"/>
      <c r="AD756" s="18"/>
      <c r="AE756" s="118"/>
      <c r="AG756" s="2"/>
      <c r="AH756" s="19"/>
      <c r="AI756" s="20"/>
      <c r="AJ756" s="21"/>
      <c r="AK756" s="21"/>
      <c r="AM756" s="19"/>
      <c r="AN756" s="18"/>
      <c r="AO756" s="2"/>
      <c r="AP756" s="18"/>
      <c r="AQ756" s="118"/>
      <c r="AS756" s="2"/>
      <c r="AT756" s="19"/>
      <c r="AU756" s="20"/>
      <c r="AV756" s="21"/>
      <c r="AW756" s="21"/>
    </row>
    <row r="757" spans="15:49" x14ac:dyDescent="0.25">
      <c r="O757" s="1">
        <f t="shared" si="309"/>
        <v>731</v>
      </c>
      <c r="P757" s="19">
        <f t="shared" si="310"/>
        <v>1465.1416070559976</v>
      </c>
      <c r="Q757" s="18">
        <f t="shared" si="311"/>
        <v>12.988016387345889</v>
      </c>
      <c r="R757" s="2">
        <f t="shared" si="312"/>
        <v>0.9807075112028889</v>
      </c>
      <c r="S757" s="18">
        <f t="shared" si="313"/>
        <v>13.004361512532604</v>
      </c>
      <c r="T757" s="18">
        <f t="shared" si="314"/>
        <v>12.275371285998563</v>
      </c>
      <c r="U757" s="1">
        <f t="shared" si="304"/>
        <v>0</v>
      </c>
      <c r="V757" s="2">
        <f t="shared" si="315"/>
        <v>3396.7524835853533</v>
      </c>
      <c r="W757" s="19">
        <f t="shared" si="316"/>
        <v>1470.4556205997201</v>
      </c>
      <c r="X757" s="20"/>
      <c r="Y757" s="2">
        <f t="shared" si="317"/>
        <v>1450.7892253924551</v>
      </c>
      <c r="Z757" s="21">
        <f t="shared" si="318"/>
        <v>9.9127900953392452</v>
      </c>
      <c r="AA757" s="2">
        <f t="shared" si="319"/>
        <v>1159.6675983815858</v>
      </c>
      <c r="AB757" s="19">
        <f t="shared" si="322"/>
        <v>103.55535273772161</v>
      </c>
      <c r="AC757" s="2"/>
      <c r="AD757" s="18"/>
      <c r="AE757" s="118"/>
      <c r="AG757" s="2"/>
      <c r="AH757" s="19"/>
      <c r="AI757" s="20"/>
      <c r="AJ757" s="21"/>
      <c r="AK757" s="21"/>
      <c r="AM757" s="19"/>
      <c r="AN757" s="18"/>
      <c r="AO757" s="2"/>
      <c r="AP757" s="18"/>
      <c r="AQ757" s="118"/>
      <c r="AS757" s="2"/>
      <c r="AT757" s="19"/>
      <c r="AU757" s="20"/>
      <c r="AV757" s="21"/>
      <c r="AW757" s="21"/>
    </row>
    <row r="758" spans="15:49" x14ac:dyDescent="0.25">
      <c r="O758" s="1">
        <f t="shared" si="309"/>
        <v>732</v>
      </c>
      <c r="P758" s="19">
        <f t="shared" si="310"/>
        <v>1470.4556205997201</v>
      </c>
      <c r="Q758" s="18">
        <f t="shared" si="311"/>
        <v>13.004361512532604</v>
      </c>
      <c r="R758" s="2">
        <f t="shared" si="312"/>
        <v>0.98077852485996619</v>
      </c>
      <c r="S758" s="18">
        <f t="shared" si="313"/>
        <v>13.02070782128027</v>
      </c>
      <c r="T758" s="18">
        <f t="shared" si="314"/>
        <v>12.305810328320353</v>
      </c>
      <c r="U758" s="1">
        <f t="shared" si="304"/>
        <v>0</v>
      </c>
      <c r="V758" s="2">
        <f t="shared" si="315"/>
        <v>3409.0582939136734</v>
      </c>
      <c r="W758" s="19">
        <f t="shared" si="316"/>
        <v>1475.7828112180405</v>
      </c>
      <c r="X758" s="20"/>
      <c r="Y758" s="2">
        <f t="shared" si="317"/>
        <v>1456.1176412646178</v>
      </c>
      <c r="Z758" s="21">
        <f t="shared" si="318"/>
        <v>9.9377262472290511</v>
      </c>
      <c r="AA758" s="2">
        <f t="shared" si="319"/>
        <v>1163.9696443760572</v>
      </c>
      <c r="AB758" s="19">
        <f t="shared" si="322"/>
        <v>103.61229625433899</v>
      </c>
      <c r="AC758" s="2"/>
      <c r="AD758" s="18"/>
      <c r="AE758" s="118"/>
      <c r="AG758" s="2"/>
      <c r="AH758" s="19"/>
      <c r="AI758" s="20"/>
      <c r="AJ758" s="21"/>
      <c r="AK758" s="21"/>
      <c r="AM758" s="19"/>
      <c r="AN758" s="18"/>
      <c r="AO758" s="2"/>
      <c r="AP758" s="18"/>
      <c r="AQ758" s="118"/>
      <c r="AS758" s="2"/>
      <c r="AT758" s="19"/>
      <c r="AU758" s="20"/>
      <c r="AV758" s="21"/>
      <c r="AW758" s="21"/>
    </row>
    <row r="759" spans="15:49" x14ac:dyDescent="0.25">
      <c r="O759" s="1">
        <f t="shared" si="309"/>
        <v>733</v>
      </c>
      <c r="P759" s="19">
        <f t="shared" si="310"/>
        <v>1475.7828112180405</v>
      </c>
      <c r="Q759" s="18">
        <f t="shared" si="311"/>
        <v>13.02070782128027</v>
      </c>
      <c r="R759" s="2">
        <f t="shared" si="312"/>
        <v>0.9808494626189902</v>
      </c>
      <c r="S759" s="18">
        <f t="shared" si="313"/>
        <v>13.03705531232392</v>
      </c>
      <c r="T759" s="18">
        <f t="shared" si="314"/>
        <v>12.336288790083724</v>
      </c>
      <c r="U759" s="1">
        <f t="shared" si="304"/>
        <v>0</v>
      </c>
      <c r="V759" s="2">
        <f t="shared" si="315"/>
        <v>3421.3945827037574</v>
      </c>
      <c r="W759" s="19">
        <f t="shared" si="316"/>
        <v>1481.1231959756526</v>
      </c>
      <c r="X759" s="20"/>
      <c r="Y759" s="2">
        <f t="shared" si="317"/>
        <v>1461.459254310724</v>
      </c>
      <c r="Z759" s="21">
        <f t="shared" si="318"/>
        <v>9.9626955308221881</v>
      </c>
      <c r="AA759" s="2">
        <f t="shared" si="319"/>
        <v>1168.2824995842054</v>
      </c>
      <c r="AB759" s="19">
        <f t="shared" si="322"/>
        <v>103.66916828357515</v>
      </c>
      <c r="AC759" s="2"/>
      <c r="AD759" s="18"/>
      <c r="AE759" s="118"/>
      <c r="AG759" s="2"/>
      <c r="AH759" s="19"/>
      <c r="AI759" s="20"/>
      <c r="AJ759" s="21"/>
      <c r="AK759" s="21"/>
      <c r="AM759" s="19"/>
      <c r="AN759" s="18"/>
      <c r="AO759" s="2"/>
      <c r="AP759" s="18"/>
      <c r="AQ759" s="118"/>
      <c r="AS759" s="2"/>
      <c r="AT759" s="19"/>
      <c r="AU759" s="20"/>
      <c r="AV759" s="21"/>
      <c r="AW759" s="21"/>
    </row>
    <row r="760" spans="15:49" x14ac:dyDescent="0.25">
      <c r="O760" s="1">
        <f t="shared" si="309"/>
        <v>734</v>
      </c>
      <c r="P760" s="19">
        <f t="shared" si="310"/>
        <v>1481.1231959756526</v>
      </c>
      <c r="Q760" s="18">
        <f t="shared" si="311"/>
        <v>13.03705531232392</v>
      </c>
      <c r="R760" s="2">
        <f t="shared" si="312"/>
        <v>0.98092032464051537</v>
      </c>
      <c r="S760" s="18">
        <f t="shared" si="313"/>
        <v>13.053403984401262</v>
      </c>
      <c r="T760" s="18">
        <f t="shared" si="314"/>
        <v>12.366806675912553</v>
      </c>
      <c r="U760" s="1">
        <f t="shared" si="304"/>
        <v>0</v>
      </c>
      <c r="V760" s="2">
        <f t="shared" si="315"/>
        <v>3433.7613893796702</v>
      </c>
      <c r="W760" s="19">
        <f t="shared" si="316"/>
        <v>1486.4767919392511</v>
      </c>
      <c r="X760" s="20"/>
      <c r="Y760" s="2">
        <f t="shared" si="317"/>
        <v>1466.814081601394</v>
      </c>
      <c r="Z760" s="21">
        <f t="shared" si="318"/>
        <v>9.987697950984451</v>
      </c>
      <c r="AA760" s="2">
        <f t="shared" si="319"/>
        <v>1172.6061783508653</v>
      </c>
      <c r="AB760" s="19">
        <f t="shared" si="322"/>
        <v>103.72596899954567</v>
      </c>
      <c r="AC760" s="2"/>
      <c r="AD760" s="18"/>
      <c r="AE760" s="118"/>
      <c r="AG760" s="2"/>
      <c r="AH760" s="19"/>
      <c r="AI760" s="20"/>
      <c r="AJ760" s="21"/>
      <c r="AK760" s="21"/>
      <c r="AM760" s="19"/>
      <c r="AN760" s="18"/>
      <c r="AO760" s="2"/>
      <c r="AP760" s="18"/>
      <c r="AQ760" s="118"/>
      <c r="AS760" s="2"/>
      <c r="AT760" s="19"/>
      <c r="AU760" s="20"/>
      <c r="AV760" s="21"/>
      <c r="AW760" s="21"/>
    </row>
    <row r="761" spans="15:49" x14ac:dyDescent="0.25">
      <c r="O761" s="1">
        <f t="shared" si="309"/>
        <v>735</v>
      </c>
      <c r="P761" s="19">
        <f t="shared" si="310"/>
        <v>1486.4767919392511</v>
      </c>
      <c r="Q761" s="18">
        <f t="shared" si="311"/>
        <v>13.053403984401262</v>
      </c>
      <c r="R761" s="2">
        <f t="shared" si="312"/>
        <v>0.98099111108461634</v>
      </c>
      <c r="S761" s="18">
        <f t="shared" si="313"/>
        <v>13.069753836252673</v>
      </c>
      <c r="T761" s="18">
        <f t="shared" si="314"/>
        <v>12.397363990425895</v>
      </c>
      <c r="U761" s="1">
        <f t="shared" si="304"/>
        <v>0</v>
      </c>
      <c r="V761" s="2">
        <f t="shared" si="315"/>
        <v>3446.1587533700958</v>
      </c>
      <c r="W761" s="19">
        <f t="shared" si="316"/>
        <v>1491.8436161775305</v>
      </c>
      <c r="X761" s="20"/>
      <c r="Y761" s="2">
        <f t="shared" si="317"/>
        <v>1472.1821402092485</v>
      </c>
      <c r="Z761" s="21">
        <f t="shared" si="318"/>
        <v>10.01273351257653</v>
      </c>
      <c r="AA761" s="2">
        <f t="shared" si="319"/>
        <v>1176.9406950229763</v>
      </c>
      <c r="AB761" s="19">
        <f t="shared" si="322"/>
        <v>103.78269857573686</v>
      </c>
      <c r="AC761" s="2"/>
      <c r="AD761" s="18"/>
      <c r="AE761" s="118"/>
      <c r="AG761" s="2"/>
      <c r="AH761" s="19"/>
      <c r="AI761" s="20"/>
      <c r="AJ761" s="21"/>
      <c r="AK761" s="21"/>
      <c r="AM761" s="19"/>
      <c r="AN761" s="18"/>
      <c r="AO761" s="2"/>
      <c r="AP761" s="18"/>
      <c r="AQ761" s="118"/>
      <c r="AS761" s="2"/>
      <c r="AT761" s="19"/>
      <c r="AU761" s="20"/>
      <c r="AV761" s="21"/>
      <c r="AW761" s="21"/>
    </row>
    <row r="762" spans="15:49" x14ac:dyDescent="0.25">
      <c r="O762" s="1">
        <f t="shared" si="309"/>
        <v>736</v>
      </c>
      <c r="P762" s="19">
        <f t="shared" si="310"/>
        <v>1491.8436161775305</v>
      </c>
      <c r="Q762" s="18">
        <f t="shared" si="311"/>
        <v>13.069753836252673</v>
      </c>
      <c r="R762" s="2">
        <f t="shared" si="312"/>
        <v>0.98106182211088888</v>
      </c>
      <c r="S762" s="18">
        <f t="shared" si="313"/>
        <v>13.086104866621188</v>
      </c>
      <c r="T762" s="18">
        <f t="shared" si="314"/>
        <v>12.427960738238003</v>
      </c>
      <c r="U762" s="1">
        <f t="shared" si="304"/>
        <v>0</v>
      </c>
      <c r="V762" s="2">
        <f t="shared" si="315"/>
        <v>3458.5867141083336</v>
      </c>
      <c r="W762" s="19">
        <f t="shared" si="316"/>
        <v>1497.2236857611833</v>
      </c>
      <c r="X762" s="20"/>
      <c r="Y762" s="2">
        <f t="shared" si="317"/>
        <v>1477.5634472089055</v>
      </c>
      <c r="Z762" s="21">
        <f t="shared" si="318"/>
        <v>10.037802220454049</v>
      </c>
      <c r="AA762" s="2">
        <f t="shared" si="319"/>
        <v>1181.2860639495798</v>
      </c>
      <c r="AB762" s="19">
        <f t="shared" si="322"/>
        <v>103.83935718500869</v>
      </c>
      <c r="AC762" s="2"/>
      <c r="AD762" s="18"/>
      <c r="AE762" s="118"/>
      <c r="AG762" s="2"/>
      <c r="AH762" s="19"/>
      <c r="AI762" s="20"/>
      <c r="AJ762" s="21"/>
      <c r="AK762" s="21"/>
      <c r="AM762" s="19"/>
      <c r="AN762" s="18"/>
      <c r="AO762" s="2"/>
      <c r="AP762" s="18"/>
      <c r="AQ762" s="118"/>
      <c r="AS762" s="2"/>
      <c r="AT762" s="19"/>
      <c r="AU762" s="20"/>
      <c r="AV762" s="21"/>
      <c r="AW762" s="21"/>
    </row>
    <row r="763" spans="15:49" x14ac:dyDescent="0.25">
      <c r="O763" s="1">
        <f t="shared" si="309"/>
        <v>737</v>
      </c>
      <c r="P763" s="19">
        <f t="shared" si="310"/>
        <v>1497.2236857611833</v>
      </c>
      <c r="Q763" s="18">
        <f t="shared" si="311"/>
        <v>13.086104866621188</v>
      </c>
      <c r="R763" s="2">
        <f t="shared" si="312"/>
        <v>0.98113245787845305</v>
      </c>
      <c r="S763" s="18">
        <f t="shared" si="313"/>
        <v>13.102457074252495</v>
      </c>
      <c r="T763" s="18">
        <f t="shared" si="314"/>
        <v>12.458596923958297</v>
      </c>
      <c r="U763" s="1">
        <f t="shared" si="304"/>
        <v>0</v>
      </c>
      <c r="V763" s="2">
        <f t="shared" si="315"/>
        <v>3471.0453110322919</v>
      </c>
      <c r="W763" s="19">
        <f t="shared" si="316"/>
        <v>1502.6170177628969</v>
      </c>
      <c r="X763" s="20"/>
      <c r="Y763" s="2">
        <f t="shared" si="317"/>
        <v>1482.9580196769793</v>
      </c>
      <c r="Z763" s="21">
        <f t="shared" si="318"/>
        <v>10.062904079467517</v>
      </c>
      <c r="AA763" s="2">
        <f t="shared" si="319"/>
        <v>1185.6422994818167</v>
      </c>
      <c r="AB763" s="19">
        <f t="shared" si="322"/>
        <v>103.89594499959792</v>
      </c>
      <c r="AC763" s="2"/>
      <c r="AD763" s="18"/>
      <c r="AE763" s="118"/>
      <c r="AG763" s="2"/>
      <c r="AH763" s="19"/>
      <c r="AI763" s="20"/>
      <c r="AJ763" s="21"/>
      <c r="AK763" s="21"/>
      <c r="AM763" s="19"/>
      <c r="AN763" s="18"/>
      <c r="AO763" s="2"/>
      <c r="AP763" s="18"/>
      <c r="AQ763" s="118"/>
      <c r="AS763" s="2"/>
      <c r="AT763" s="19"/>
      <c r="AU763" s="20"/>
      <c r="AV763" s="21"/>
      <c r="AW763" s="21"/>
    </row>
    <row r="764" spans="15:49" x14ac:dyDescent="0.25">
      <c r="O764" s="1">
        <f t="shared" si="309"/>
        <v>738</v>
      </c>
      <c r="P764" s="19">
        <f t="shared" si="310"/>
        <v>1502.6170177628969</v>
      </c>
      <c r="Q764" s="18">
        <f t="shared" si="311"/>
        <v>13.102457074252495</v>
      </c>
      <c r="R764" s="2">
        <f t="shared" si="312"/>
        <v>0.98120301854595349</v>
      </c>
      <c r="S764" s="18">
        <f t="shared" si="313"/>
        <v>13.118810457894927</v>
      </c>
      <c r="T764" s="18">
        <f t="shared" si="314"/>
        <v>12.489272552191451</v>
      </c>
      <c r="U764" s="1">
        <f t="shared" si="304"/>
        <v>0</v>
      </c>
      <c r="V764" s="2">
        <f t="shared" si="315"/>
        <v>3483.5345835844832</v>
      </c>
      <c r="W764" s="19">
        <f t="shared" si="316"/>
        <v>1508.023629257352</v>
      </c>
      <c r="X764" s="20"/>
      <c r="Y764" s="2">
        <f t="shared" si="317"/>
        <v>1488.3658746920783</v>
      </c>
      <c r="Z764" s="21">
        <f t="shared" si="318"/>
        <v>10.088039094462424</v>
      </c>
      <c r="AA764" s="2">
        <f t="shared" si="319"/>
        <v>1190.009415972926</v>
      </c>
      <c r="AB764" s="19">
        <f t="shared" si="322"/>
        <v>103.95246219112092</v>
      </c>
      <c r="AC764" s="2"/>
      <c r="AD764" s="18"/>
      <c r="AE764" s="118"/>
      <c r="AG764" s="2"/>
      <c r="AH764" s="19"/>
      <c r="AI764" s="20"/>
      <c r="AJ764" s="21"/>
      <c r="AK764" s="21"/>
      <c r="AM764" s="19"/>
      <c r="AN764" s="18"/>
      <c r="AO764" s="2"/>
      <c r="AP764" s="18"/>
      <c r="AQ764" s="118"/>
      <c r="AS764" s="2"/>
      <c r="AT764" s="19"/>
      <c r="AU764" s="20"/>
      <c r="AV764" s="21"/>
      <c r="AW764" s="21"/>
    </row>
    <row r="765" spans="15:49" x14ac:dyDescent="0.25">
      <c r="O765" s="1">
        <f t="shared" si="309"/>
        <v>739</v>
      </c>
      <c r="P765" s="19">
        <f t="shared" si="310"/>
        <v>1508.023629257352</v>
      </c>
      <c r="Q765" s="18">
        <f t="shared" si="311"/>
        <v>13.118810457894927</v>
      </c>
      <c r="R765" s="2">
        <f t="shared" si="312"/>
        <v>0.98127350427156146</v>
      </c>
      <c r="S765" s="18">
        <f t="shared" si="313"/>
        <v>13.135165016299453</v>
      </c>
      <c r="T765" s="18">
        <f t="shared" si="314"/>
        <v>12.519987627537319</v>
      </c>
      <c r="U765" s="1">
        <f t="shared" si="304"/>
        <v>0</v>
      </c>
      <c r="V765" s="2">
        <f t="shared" si="315"/>
        <v>3496.0545712120206</v>
      </c>
      <c r="W765" s="19">
        <f t="shared" si="316"/>
        <v>1513.4435373212209</v>
      </c>
      <c r="X765" s="20"/>
      <c r="Y765" s="2">
        <f t="shared" si="317"/>
        <v>1493.7870293348019</v>
      </c>
      <c r="Z765" s="21">
        <f t="shared" si="318"/>
        <v>10.113207270279172</v>
      </c>
      <c r="AA765" s="2">
        <f t="shared" si="319"/>
        <v>1194.3874277782418</v>
      </c>
      <c r="AB765" s="19">
        <f t="shared" si="322"/>
        <v>104.00890893057677</v>
      </c>
      <c r="AC765" s="2"/>
      <c r="AD765" s="18"/>
      <c r="AE765" s="118"/>
      <c r="AG765" s="2"/>
      <c r="AH765" s="19"/>
      <c r="AI765" s="20"/>
      <c r="AJ765" s="21"/>
      <c r="AK765" s="21"/>
      <c r="AM765" s="19"/>
      <c r="AN765" s="18"/>
      <c r="AO765" s="2"/>
      <c r="AP765" s="18"/>
      <c r="AQ765" s="118"/>
      <c r="AS765" s="2"/>
      <c r="AT765" s="19"/>
      <c r="AU765" s="20"/>
      <c r="AV765" s="21"/>
      <c r="AW765" s="21"/>
    </row>
    <row r="766" spans="15:49" x14ac:dyDescent="0.25">
      <c r="O766" s="1">
        <f t="shared" si="309"/>
        <v>740</v>
      </c>
      <c r="P766" s="19">
        <f t="shared" si="310"/>
        <v>1513.4435373212209</v>
      </c>
      <c r="Q766" s="18">
        <f t="shared" si="311"/>
        <v>13.135165016299453</v>
      </c>
      <c r="R766" s="2">
        <f t="shared" si="312"/>
        <v>0.98134391521297737</v>
      </c>
      <c r="S766" s="18">
        <f t="shared" si="313"/>
        <v>13.151520748219669</v>
      </c>
      <c r="T766" s="18">
        <f t="shared" si="314"/>
        <v>12.550742154591008</v>
      </c>
      <c r="U766" s="1">
        <f t="shared" si="304"/>
        <v>0</v>
      </c>
      <c r="V766" s="2">
        <f t="shared" si="315"/>
        <v>3508.605313366611</v>
      </c>
      <c r="W766" s="19">
        <f t="shared" si="316"/>
        <v>1518.8767590331649</v>
      </c>
      <c r="X766" s="20"/>
      <c r="Y766" s="2">
        <f t="shared" si="317"/>
        <v>1499.2215006877398</v>
      </c>
      <c r="Z766" s="21">
        <f t="shared" si="318"/>
        <v>10.138408611753144</v>
      </c>
      <c r="AA766" s="2">
        <f t="shared" si="319"/>
        <v>1198.7763492551912</v>
      </c>
      <c r="AB766" s="19">
        <f t="shared" si="322"/>
        <v>104.06528538835012</v>
      </c>
      <c r="AC766" s="2"/>
      <c r="AD766" s="18"/>
      <c r="AE766" s="118"/>
      <c r="AG766" s="2"/>
      <c r="AH766" s="19"/>
      <c r="AI766" s="20"/>
      <c r="AJ766" s="21"/>
      <c r="AK766" s="21"/>
      <c r="AM766" s="19"/>
      <c r="AN766" s="18"/>
      <c r="AO766" s="2"/>
      <c r="AP766" s="18"/>
      <c r="AQ766" s="118"/>
      <c r="AS766" s="2"/>
      <c r="AT766" s="19"/>
      <c r="AU766" s="20"/>
      <c r="AV766" s="21"/>
      <c r="AW766" s="21"/>
    </row>
    <row r="767" spans="15:49" x14ac:dyDescent="0.25">
      <c r="O767" s="1">
        <f t="shared" si="309"/>
        <v>741</v>
      </c>
      <c r="P767" s="19">
        <f t="shared" si="310"/>
        <v>1518.8767590331649</v>
      </c>
      <c r="Q767" s="18">
        <f t="shared" si="311"/>
        <v>13.151520748219669</v>
      </c>
      <c r="R767" s="2">
        <f t="shared" si="312"/>
        <v>0.98141425152743111</v>
      </c>
      <c r="S767" s="18">
        <f t="shared" si="313"/>
        <v>13.167877652411793</v>
      </c>
      <c r="T767" s="18">
        <f t="shared" si="314"/>
        <v>12.581536137942855</v>
      </c>
      <c r="U767" s="1">
        <f t="shared" si="304"/>
        <v>0</v>
      </c>
      <c r="V767" s="2">
        <f t="shared" si="315"/>
        <v>3521.1868495045537</v>
      </c>
      <c r="W767" s="19">
        <f t="shared" si="316"/>
        <v>1524.3233114738327</v>
      </c>
      <c r="X767" s="20"/>
      <c r="Y767" s="2">
        <f t="shared" si="317"/>
        <v>1504.669305835469</v>
      </c>
      <c r="Z767" s="21">
        <f t="shared" si="318"/>
        <v>10.163643123714682</v>
      </c>
      <c r="AA767" s="2">
        <f t="shared" si="319"/>
        <v>1203.1761947632929</v>
      </c>
      <c r="AB767" s="19">
        <f t="shared" si="322"/>
        <v>104.12159173421416</v>
      </c>
      <c r="AC767" s="2"/>
      <c r="AD767" s="18"/>
      <c r="AE767" s="118"/>
      <c r="AG767" s="2"/>
      <c r="AH767" s="19"/>
      <c r="AI767" s="20"/>
      <c r="AJ767" s="21"/>
      <c r="AK767" s="21"/>
      <c r="AM767" s="19"/>
      <c r="AN767" s="18"/>
      <c r="AO767" s="2"/>
      <c r="AP767" s="18"/>
      <c r="AQ767" s="118"/>
      <c r="AS767" s="2"/>
      <c r="AT767" s="19"/>
      <c r="AU767" s="20"/>
      <c r="AV767" s="21"/>
      <c r="AW767" s="21"/>
    </row>
    <row r="768" spans="15:49" x14ac:dyDescent="0.25">
      <c r="O768" s="1">
        <f t="shared" si="309"/>
        <v>742</v>
      </c>
      <c r="P768" s="19">
        <f t="shared" si="310"/>
        <v>1524.3233114738327</v>
      </c>
      <c r="Q768" s="18">
        <f t="shared" si="311"/>
        <v>13.167877652411793</v>
      </c>
      <c r="R768" s="2">
        <f t="shared" si="312"/>
        <v>0.98148451337168463</v>
      </c>
      <c r="S768" s="18">
        <f t="shared" si="313"/>
        <v>13.184235727634654</v>
      </c>
      <c r="T768" s="18">
        <f t="shared" si="314"/>
        <v>12.612369582178452</v>
      </c>
      <c r="U768" s="1">
        <f t="shared" si="304"/>
        <v>0</v>
      </c>
      <c r="V768" s="2">
        <f t="shared" si="315"/>
        <v>3533.7992190867321</v>
      </c>
      <c r="W768" s="19">
        <f t="shared" si="316"/>
        <v>1529.7832117258581</v>
      </c>
      <c r="X768" s="20"/>
      <c r="Y768" s="2">
        <f t="shared" si="317"/>
        <v>1510.1304618645522</v>
      </c>
      <c r="Z768" s="21">
        <f t="shared" si="318"/>
        <v>10.18891081098911</v>
      </c>
      <c r="AA768" s="2">
        <f t="shared" si="319"/>
        <v>1207.586978664154</v>
      </c>
      <c r="AB768" s="19">
        <f t="shared" si="322"/>
        <v>104.17782813733352</v>
      </c>
      <c r="AC768" s="2"/>
      <c r="AD768" s="18"/>
      <c r="AE768" s="118"/>
      <c r="AG768" s="2"/>
      <c r="AH768" s="19"/>
      <c r="AI768" s="20"/>
      <c r="AJ768" s="21"/>
      <c r="AK768" s="21"/>
      <c r="AM768" s="19"/>
      <c r="AN768" s="18"/>
      <c r="AO768" s="2"/>
      <c r="AP768" s="18"/>
      <c r="AQ768" s="118"/>
      <c r="AS768" s="2"/>
      <c r="AT768" s="19"/>
      <c r="AU768" s="20"/>
      <c r="AV768" s="21"/>
      <c r="AW768" s="21"/>
    </row>
    <row r="769" spans="15:49" x14ac:dyDescent="0.25">
      <c r="O769" s="1">
        <f t="shared" si="309"/>
        <v>743</v>
      </c>
      <c r="P769" s="19">
        <f t="shared" si="310"/>
        <v>1529.7832117258581</v>
      </c>
      <c r="Q769" s="18">
        <f t="shared" si="311"/>
        <v>13.184235727634654</v>
      </c>
      <c r="R769" s="2">
        <f t="shared" si="312"/>
        <v>0.98155470090203367</v>
      </c>
      <c r="S769" s="18">
        <f t="shared" si="313"/>
        <v>13.200594972649688</v>
      </c>
      <c r="T769" s="18">
        <f t="shared" si="314"/>
        <v>12.643242491878663</v>
      </c>
      <c r="U769" s="1">
        <f t="shared" si="304"/>
        <v>0</v>
      </c>
      <c r="V769" s="2">
        <f t="shared" si="315"/>
        <v>3546.4424615786106</v>
      </c>
      <c r="W769" s="19">
        <f t="shared" si="316"/>
        <v>1535.2564768738573</v>
      </c>
      <c r="X769" s="20"/>
      <c r="Y769" s="2">
        <f t="shared" si="317"/>
        <v>1515.6049858635356</v>
      </c>
      <c r="Z769" s="21">
        <f t="shared" si="318"/>
        <v>10.21421167839676</v>
      </c>
      <c r="AA769" s="2">
        <f t="shared" si="319"/>
        <v>1212.0087153214686</v>
      </c>
      <c r="AB769" s="19">
        <f t="shared" si="322"/>
        <v>104.23399476626713</v>
      </c>
      <c r="AC769" s="2"/>
      <c r="AD769" s="18"/>
      <c r="AE769" s="118"/>
      <c r="AG769" s="2"/>
      <c r="AH769" s="19"/>
      <c r="AI769" s="20"/>
      <c r="AJ769" s="21"/>
      <c r="AK769" s="21"/>
      <c r="AM769" s="19"/>
      <c r="AN769" s="18"/>
      <c r="AO769" s="2"/>
      <c r="AP769" s="18"/>
      <c r="AQ769" s="118"/>
      <c r="AS769" s="2"/>
      <c r="AT769" s="19"/>
      <c r="AU769" s="20"/>
      <c r="AV769" s="21"/>
      <c r="AW769" s="21"/>
    </row>
    <row r="770" spans="15:49" x14ac:dyDescent="0.25">
      <c r="O770" s="1">
        <f t="shared" si="309"/>
        <v>744</v>
      </c>
      <c r="P770" s="19">
        <f t="shared" si="310"/>
        <v>1535.2564768738573</v>
      </c>
      <c r="Q770" s="18">
        <f t="shared" si="311"/>
        <v>13.200594972649688</v>
      </c>
      <c r="R770" s="2">
        <f t="shared" si="312"/>
        <v>0.98162481427430837</v>
      </c>
      <c r="S770" s="18">
        <f t="shared" si="313"/>
        <v>13.216955386220926</v>
      </c>
      <c r="T770" s="18">
        <f t="shared" si="314"/>
        <v>12.674154871619619</v>
      </c>
      <c r="U770" s="1">
        <f t="shared" si="304"/>
        <v>0</v>
      </c>
      <c r="V770" s="2">
        <f t="shared" si="315"/>
        <v>3559.1166164502301</v>
      </c>
      <c r="W770" s="19">
        <f t="shared" si="316"/>
        <v>1540.7431240044286</v>
      </c>
      <c r="X770" s="20"/>
      <c r="Y770" s="2">
        <f t="shared" si="317"/>
        <v>1521.0928949229469</v>
      </c>
      <c r="Z770" s="21">
        <f t="shared" si="318"/>
        <v>10.239545730752948</v>
      </c>
      <c r="AA770" s="2">
        <f t="shared" si="319"/>
        <v>1216.4414191010153</v>
      </c>
      <c r="AB770" s="19">
        <f t="shared" si="322"/>
        <v>104.29009178897115</v>
      </c>
    </row>
    <row r="771" spans="15:49" x14ac:dyDescent="0.25">
      <c r="O771" s="1">
        <f t="shared" si="309"/>
        <v>745</v>
      </c>
      <c r="P771" s="19">
        <f t="shared" si="310"/>
        <v>1540.7431240044286</v>
      </c>
      <c r="Q771" s="18">
        <f t="shared" si="311"/>
        <v>13.216955386220926</v>
      </c>
      <c r="R771" s="2">
        <f t="shared" si="312"/>
        <v>0.98169485364387632</v>
      </c>
      <c r="S771" s="18">
        <f t="shared" si="313"/>
        <v>13.233316967114991</v>
      </c>
      <c r="T771" s="18">
        <f t="shared" si="314"/>
        <v>12.705106725972731</v>
      </c>
      <c r="U771" s="1">
        <f t="shared" si="304"/>
        <v>0</v>
      </c>
      <c r="V771" s="2">
        <f t="shared" si="315"/>
        <v>3571.8217231762028</v>
      </c>
      <c r="W771" s="19">
        <f t="shared" si="316"/>
        <v>1546.2431702061483</v>
      </c>
      <c r="X771" s="20"/>
      <c r="Y771" s="2">
        <f t="shared" si="317"/>
        <v>1526.594206135293</v>
      </c>
      <c r="Z771" s="21">
        <f t="shared" si="318"/>
        <v>10.264912972868016</v>
      </c>
      <c r="AA771" s="2">
        <f t="shared" si="319"/>
        <v>1220.8851043706552</v>
      </c>
      <c r="AB771" s="19">
        <f t="shared" si="322"/>
        <v>104.34611937280179</v>
      </c>
    </row>
    <row r="772" spans="15:49" x14ac:dyDescent="0.25">
      <c r="O772" s="1">
        <f t="shared" si="309"/>
        <v>746</v>
      </c>
      <c r="P772" s="19">
        <f t="shared" si="310"/>
        <v>1546.2431702061483</v>
      </c>
      <c r="Q772" s="18">
        <f t="shared" si="311"/>
        <v>13.233316967114991</v>
      </c>
      <c r="R772" s="2">
        <f t="shared" si="312"/>
        <v>0.98176481916564307</v>
      </c>
      <c r="S772" s="18">
        <f t="shared" si="313"/>
        <v>13.249679714101084</v>
      </c>
      <c r="T772" s="18">
        <f t="shared" si="314"/>
        <v>12.736098059504709</v>
      </c>
      <c r="U772" s="1">
        <f t="shared" si="304"/>
        <v>0</v>
      </c>
      <c r="V772" s="2">
        <f t="shared" si="315"/>
        <v>3584.5578212357077</v>
      </c>
      <c r="W772" s="19">
        <f t="shared" si="316"/>
        <v>1551.7566325695705</v>
      </c>
      <c r="X772" s="20"/>
      <c r="Y772" s="2">
        <f t="shared" si="317"/>
        <v>1532.1089365950586</v>
      </c>
      <c r="Z772" s="21">
        <f t="shared" si="318"/>
        <v>10.290313409547329</v>
      </c>
      <c r="AA772" s="2">
        <f t="shared" si="319"/>
        <v>1225.3397855003293</v>
      </c>
      <c r="AB772" s="19">
        <f t="shared" si="322"/>
        <v>104.40207768451816</v>
      </c>
    </row>
    <row r="773" spans="15:49" x14ac:dyDescent="0.25">
      <c r="O773" s="1">
        <f t="shared" si="309"/>
        <v>747</v>
      </c>
      <c r="P773" s="19">
        <f t="shared" si="310"/>
        <v>1551.7566325695705</v>
      </c>
      <c r="Q773" s="18">
        <f t="shared" si="311"/>
        <v>13.249679714101084</v>
      </c>
      <c r="R773" s="2">
        <f t="shared" si="312"/>
        <v>0.98183471099405439</v>
      </c>
      <c r="S773" s="18">
        <f t="shared" si="313"/>
        <v>13.266043625950985</v>
      </c>
      <c r="T773" s="18">
        <f t="shared" si="314"/>
        <v>12.767128876777569</v>
      </c>
      <c r="U773" s="1">
        <f t="shared" si="304"/>
        <v>0</v>
      </c>
      <c r="V773" s="2">
        <f t="shared" si="315"/>
        <v>3597.3249501124851</v>
      </c>
      <c r="W773" s="19">
        <f t="shared" si="316"/>
        <v>1557.2835281872231</v>
      </c>
      <c r="X773" s="20"/>
      <c r="Y773" s="2">
        <f t="shared" si="317"/>
        <v>1537.6371033987032</v>
      </c>
      <c r="Z773" s="21">
        <f t="shared" si="318"/>
        <v>10.315747045591296</v>
      </c>
      <c r="AA773" s="2">
        <f t="shared" si="319"/>
        <v>1229.805476862057</v>
      </c>
      <c r="AB773" s="19">
        <f t="shared" si="322"/>
        <v>104.45796689028509</v>
      </c>
    </row>
    <row r="774" spans="15:49" x14ac:dyDescent="0.25">
      <c r="O774" s="1">
        <f t="shared" si="309"/>
        <v>748</v>
      </c>
      <c r="P774" s="19">
        <f t="shared" si="310"/>
        <v>1557.2835281872231</v>
      </c>
      <c r="Q774" s="18">
        <f t="shared" si="311"/>
        <v>13.266043625950985</v>
      </c>
      <c r="R774" s="2">
        <f t="shared" si="312"/>
        <v>0.98190452928309802</v>
      </c>
      <c r="S774" s="18">
        <f t="shared" si="313"/>
        <v>13.282408701439037</v>
      </c>
      <c r="T774" s="18">
        <f t="shared" si="314"/>
        <v>12.79819918234865</v>
      </c>
      <c r="U774" s="1">
        <f t="shared" si="304"/>
        <v>0</v>
      </c>
      <c r="V774" s="2">
        <f t="shared" si="315"/>
        <v>3610.1231492948341</v>
      </c>
      <c r="W774" s="19">
        <f t="shared" si="316"/>
        <v>1562.8238741536079</v>
      </c>
      <c r="X774" s="20"/>
      <c r="Y774" s="2">
        <f t="shared" si="317"/>
        <v>1543.1787236446601</v>
      </c>
      <c r="Z774" s="21">
        <f t="shared" si="318"/>
        <v>10.341213885795371</v>
      </c>
      <c r="AA774" s="2">
        <f t="shared" si="319"/>
        <v>1234.2821928299338</v>
      </c>
      <c r="AB774" s="19">
        <f t="shared" si="322"/>
        <v>104.51378715567596</v>
      </c>
    </row>
    <row r="775" spans="15:49" x14ac:dyDescent="0.25">
      <c r="O775" s="1">
        <f t="shared" si="309"/>
        <v>749</v>
      </c>
      <c r="P775" s="19">
        <f t="shared" si="310"/>
        <v>1562.8238741536079</v>
      </c>
      <c r="Q775" s="18">
        <f t="shared" si="311"/>
        <v>13.282408701439037</v>
      </c>
      <c r="R775" s="2">
        <f t="shared" si="312"/>
        <v>0.98197427418630423</v>
      </c>
      <c r="S775" s="18">
        <f t="shared" si="313"/>
        <v>13.298774939342142</v>
      </c>
      <c r="T775" s="18">
        <f t="shared" si="314"/>
        <v>12.829308980770607</v>
      </c>
      <c r="U775" s="1">
        <f t="shared" si="304"/>
        <v>0</v>
      </c>
      <c r="V775" s="2">
        <f t="shared" si="315"/>
        <v>3622.9524582756053</v>
      </c>
      <c r="W775" s="19">
        <f t="shared" si="316"/>
        <v>1568.377687565197</v>
      </c>
      <c r="X775" s="20"/>
      <c r="Y775" s="2">
        <f t="shared" si="317"/>
        <v>1548.7338144333337</v>
      </c>
      <c r="Z775" s="21">
        <f t="shared" si="318"/>
        <v>10.366713934950068</v>
      </c>
      <c r="AA775" s="2">
        <f t="shared" si="319"/>
        <v>1238.7699477801286</v>
      </c>
      <c r="AB775" s="19">
        <f t="shared" si="322"/>
        <v>104.56953864567545</v>
      </c>
    </row>
    <row r="776" spans="15:49" x14ac:dyDescent="0.25">
      <c r="O776" s="1">
        <f t="shared" si="309"/>
        <v>750</v>
      </c>
      <c r="P776" s="19">
        <f t="shared" si="310"/>
        <v>1568.377687565197</v>
      </c>
      <c r="Q776" s="18">
        <f t="shared" si="311"/>
        <v>13.298774939342142</v>
      </c>
      <c r="R776" s="2">
        <f t="shared" si="312"/>
        <v>0.98204394585674903</v>
      </c>
      <c r="S776" s="18">
        <f t="shared" si="313"/>
        <v>13.315142338439754</v>
      </c>
      <c r="T776" s="18">
        <f t="shared" si="314"/>
        <v>12.860458276591435</v>
      </c>
      <c r="U776" s="1">
        <f t="shared" si="304"/>
        <v>0</v>
      </c>
      <c r="V776" s="2">
        <f t="shared" si="315"/>
        <v>3635.8129165521968</v>
      </c>
      <c r="W776" s="19">
        <f t="shared" si="316"/>
        <v>1573.9449855204316</v>
      </c>
      <c r="X776" s="20"/>
      <c r="Y776" s="2">
        <f t="shared" si="317"/>
        <v>1554.3023928670978</v>
      </c>
      <c r="Z776" s="21">
        <f t="shared" si="318"/>
        <v>10.392247197840973</v>
      </c>
      <c r="AA776" s="2">
        <f t="shared" si="319"/>
        <v>1243.2687560908823</v>
      </c>
      <c r="AB776" s="19">
        <f t="shared" si="322"/>
        <v>104.62522152468235</v>
      </c>
    </row>
    <row r="777" spans="15:49" x14ac:dyDescent="0.25">
      <c r="O777" s="1">
        <f t="shared" si="309"/>
        <v>751</v>
      </c>
      <c r="P777" s="19">
        <f t="shared" si="310"/>
        <v>1573.9449855204316</v>
      </c>
      <c r="Q777" s="18">
        <f t="shared" si="311"/>
        <v>13.315142338439754</v>
      </c>
      <c r="R777" s="2">
        <f t="shared" si="312"/>
        <v>0.98211354444705445</v>
      </c>
      <c r="S777" s="18">
        <f t="shared" si="313"/>
        <v>13.331510897513871</v>
      </c>
      <c r="T777" s="18">
        <f t="shared" si="314"/>
        <v>12.891647074354482</v>
      </c>
      <c r="U777" s="1">
        <f t="shared" si="304"/>
        <v>0</v>
      </c>
      <c r="V777" s="2">
        <f t="shared" si="315"/>
        <v>3648.7045636265516</v>
      </c>
      <c r="W777" s="19">
        <f t="shared" si="316"/>
        <v>1579.5257851197193</v>
      </c>
      <c r="X777" s="20"/>
      <c r="Y777" s="2">
        <f t="shared" si="317"/>
        <v>1559.8844760502932</v>
      </c>
      <c r="Z777" s="21">
        <f t="shared" si="318"/>
        <v>10.41781367924875</v>
      </c>
      <c r="AA777" s="2">
        <f t="shared" si="319"/>
        <v>1247.7786321425051</v>
      </c>
      <c r="AB777" s="19">
        <f t="shared" si="322"/>
        <v>104.68083595651231</v>
      </c>
    </row>
    <row r="778" spans="15:49" x14ac:dyDescent="0.25">
      <c r="O778" s="1">
        <f t="shared" si="309"/>
        <v>752</v>
      </c>
      <c r="P778" s="19">
        <f t="shared" si="310"/>
        <v>1579.5257851197193</v>
      </c>
      <c r="Q778" s="18">
        <f t="shared" si="311"/>
        <v>13.331510897513871</v>
      </c>
      <c r="R778" s="2">
        <f t="shared" si="312"/>
        <v>0.98218307010939088</v>
      </c>
      <c r="S778" s="18">
        <f t="shared" si="313"/>
        <v>13.347880615349027</v>
      </c>
      <c r="T778" s="18">
        <f t="shared" si="314"/>
        <v>12.92287537859845</v>
      </c>
      <c r="U778" s="1">
        <f t="shared" si="304"/>
        <v>0</v>
      </c>
      <c r="V778" s="2">
        <f t="shared" si="315"/>
        <v>3661.6274390051499</v>
      </c>
      <c r="W778" s="19">
        <f t="shared" si="316"/>
        <v>1585.1201034654327</v>
      </c>
      <c r="X778" s="20"/>
      <c r="Y778" s="2">
        <f t="shared" si="317"/>
        <v>1565.4800810892264</v>
      </c>
      <c r="Z778" s="21">
        <f t="shared" si="318"/>
        <v>10.443413383949162</v>
      </c>
      <c r="AA778" s="2">
        <f t="shared" si="319"/>
        <v>1252.2995903173749</v>
      </c>
      <c r="AB778" s="19">
        <f t="shared" si="322"/>
        <v>104.73638210440058</v>
      </c>
    </row>
    <row r="779" spans="15:49" x14ac:dyDescent="0.25">
      <c r="O779" s="1">
        <f t="shared" si="309"/>
        <v>753</v>
      </c>
      <c r="P779" s="19">
        <f t="shared" si="310"/>
        <v>1585.1201034654327</v>
      </c>
      <c r="Q779" s="18">
        <f t="shared" si="311"/>
        <v>13.347880615349027</v>
      </c>
      <c r="R779" s="2">
        <f t="shared" si="312"/>
        <v>0.98225252299547816</v>
      </c>
      <c r="S779" s="18">
        <f t="shared" si="313"/>
        <v>13.364251490732284</v>
      </c>
      <c r="T779" s="18">
        <f t="shared" si="314"/>
        <v>12.954143193857416</v>
      </c>
      <c r="U779" s="1">
        <f t="shared" si="304"/>
        <v>0</v>
      </c>
      <c r="V779" s="2">
        <f t="shared" si="315"/>
        <v>3674.5815821990072</v>
      </c>
      <c r="W779" s="19">
        <f t="shared" si="316"/>
        <v>1590.7279576619078</v>
      </c>
      <c r="X779" s="20"/>
      <c r="Y779" s="2">
        <f t="shared" si="317"/>
        <v>1571.0892250921665</v>
      </c>
      <c r="Z779" s="21">
        <f t="shared" si="318"/>
        <v>10.469046316713081</v>
      </c>
      <c r="AA779" s="2">
        <f t="shared" si="319"/>
        <v>1256.8316449999347</v>
      </c>
      <c r="AB779" s="19">
        <f t="shared" si="322"/>
        <v>104.79186013100473</v>
      </c>
    </row>
    <row r="780" spans="15:49" x14ac:dyDescent="0.25">
      <c r="O780" s="1">
        <f t="shared" si="309"/>
        <v>754</v>
      </c>
      <c r="P780" s="19">
        <f t="shared" si="310"/>
        <v>1590.7279576619078</v>
      </c>
      <c r="Q780" s="18">
        <f t="shared" si="311"/>
        <v>13.364251490732284</v>
      </c>
      <c r="R780" s="2">
        <f t="shared" si="312"/>
        <v>0.98232190325658819</v>
      </c>
      <c r="S780" s="18">
        <f t="shared" si="313"/>
        <v>13.380623522453227</v>
      </c>
      <c r="T780" s="18">
        <f t="shared" si="314"/>
        <v>12.985450524660822</v>
      </c>
      <c r="U780" s="1">
        <f t="shared" si="304"/>
        <v>0</v>
      </c>
      <c r="V780" s="2">
        <f t="shared" si="315"/>
        <v>3687.567032723668</v>
      </c>
      <c r="W780" s="19">
        <f t="shared" si="316"/>
        <v>1596.3493648154406</v>
      </c>
      <c r="X780" s="20"/>
      <c r="Y780" s="2">
        <f t="shared" si="317"/>
        <v>1576.7119251693446</v>
      </c>
      <c r="Z780" s="21">
        <f t="shared" si="318"/>
        <v>10.494712482306477</v>
      </c>
      <c r="AA780" s="2">
        <f t="shared" si="319"/>
        <v>1261.3748105766908</v>
      </c>
      <c r="AB780" s="19">
        <f t="shared" si="322"/>
        <v>104.84727019840737</v>
      </c>
    </row>
    <row r="781" spans="15:49" x14ac:dyDescent="0.25">
      <c r="O781" s="1">
        <f t="shared" si="309"/>
        <v>755</v>
      </c>
      <c r="P781" s="19">
        <f t="shared" si="310"/>
        <v>1596.3493648154406</v>
      </c>
      <c r="Q781" s="18">
        <f t="shared" si="311"/>
        <v>13.380623522453227</v>
      </c>
      <c r="R781" s="2">
        <f t="shared" si="312"/>
        <v>0.98239121104354488</v>
      </c>
      <c r="S781" s="18">
        <f t="shared" si="313"/>
        <v>13.396996709303952</v>
      </c>
      <c r="T781" s="18">
        <f t="shared" si="314"/>
        <v>13.016797375533516</v>
      </c>
      <c r="U781" s="1">
        <f t="shared" si="304"/>
        <v>0</v>
      </c>
      <c r="V781" s="2">
        <f t="shared" si="315"/>
        <v>3700.5838300992014</v>
      </c>
      <c r="W781" s="19">
        <f t="shared" si="316"/>
        <v>1601.9843420342863</v>
      </c>
      <c r="X781" s="20"/>
      <c r="Y781" s="2">
        <f t="shared" si="317"/>
        <v>1582.3481984329505</v>
      </c>
      <c r="Z781" s="21">
        <f t="shared" si="318"/>
        <v>10.520411885490466</v>
      </c>
      <c r="AA781" s="2">
        <f t="shared" si="319"/>
        <v>1265.9291014362104</v>
      </c>
      <c r="AB781" s="19">
        <f t="shared" si="322"/>
        <v>104.90261246811885</v>
      </c>
    </row>
    <row r="782" spans="15:49" x14ac:dyDescent="0.25">
      <c r="O782" s="1">
        <f t="shared" si="309"/>
        <v>756</v>
      </c>
      <c r="P782" s="19">
        <f t="shared" si="310"/>
        <v>1601.9843420342863</v>
      </c>
      <c r="Q782" s="18">
        <f t="shared" si="311"/>
        <v>13.396996709303952</v>
      </c>
      <c r="R782" s="2">
        <f t="shared" si="312"/>
        <v>0.98246044650672704</v>
      </c>
      <c r="S782" s="18">
        <f t="shared" si="313"/>
        <v>13.413371050079064</v>
      </c>
      <c r="T782" s="18">
        <f t="shared" si="314"/>
        <v>13.048183750995728</v>
      </c>
      <c r="U782" s="1">
        <f t="shared" si="304"/>
        <v>0</v>
      </c>
      <c r="V782" s="2">
        <f t="shared" si="315"/>
        <v>3713.6320138501969</v>
      </c>
      <c r="W782" s="19">
        <f t="shared" si="316"/>
        <v>1607.6329064286567</v>
      </c>
      <c r="X782" s="20"/>
      <c r="Y782" s="2">
        <f t="shared" si="317"/>
        <v>1587.9980619971318</v>
      </c>
      <c r="Z782" s="21">
        <f t="shared" si="318"/>
        <v>10.546144531021277</v>
      </c>
      <c r="AA782" s="2">
        <f t="shared" si="319"/>
        <v>1270.4945319691201</v>
      </c>
      <c r="AB782" s="19">
        <f t="shared" si="322"/>
        <v>104.95788710107992</v>
      </c>
    </row>
    <row r="783" spans="15:49" x14ac:dyDescent="0.25">
      <c r="O783" s="1">
        <f t="shared" si="309"/>
        <v>757</v>
      </c>
      <c r="P783" s="19">
        <f t="shared" si="310"/>
        <v>1607.6329064286567</v>
      </c>
      <c r="Q783" s="18">
        <f t="shared" si="311"/>
        <v>13.413371050079064</v>
      </c>
      <c r="R783" s="2">
        <f t="shared" si="312"/>
        <v>0.98252960979606996</v>
      </c>
      <c r="S783" s="18">
        <f t="shared" si="313"/>
        <v>13.429746543575666</v>
      </c>
      <c r="T783" s="18">
        <f t="shared" si="314"/>
        <v>13.079609655563116</v>
      </c>
      <c r="U783" s="1">
        <f t="shared" si="304"/>
        <v>0</v>
      </c>
      <c r="V783" s="2">
        <f t="shared" si="315"/>
        <v>3726.7116235057601</v>
      </c>
      <c r="W783" s="19">
        <f t="shared" si="316"/>
        <v>1613.2950751107187</v>
      </c>
      <c r="X783" s="20"/>
      <c r="Y783" s="2">
        <f t="shared" si="317"/>
        <v>1593.6615329779906</v>
      </c>
      <c r="Z783" s="21">
        <f t="shared" si="318"/>
        <v>10.57191042365031</v>
      </c>
      <c r="AA783" s="2">
        <f t="shared" si="319"/>
        <v>1275.071116568103</v>
      </c>
      <c r="AB783" s="19">
        <f t="shared" si="322"/>
        <v>105.01309425766439</v>
      </c>
    </row>
    <row r="784" spans="15:49" x14ac:dyDescent="0.25">
      <c r="O784" s="1">
        <f t="shared" si="309"/>
        <v>758</v>
      </c>
      <c r="P784" s="19">
        <f t="shared" si="310"/>
        <v>1613.2950751107187</v>
      </c>
      <c r="Q784" s="18">
        <f t="shared" si="311"/>
        <v>13.429746543575666</v>
      </c>
      <c r="R784" s="2">
        <f t="shared" si="312"/>
        <v>0.98259870106106606</v>
      </c>
      <c r="S784" s="18">
        <f t="shared" si="313"/>
        <v>13.446123188593351</v>
      </c>
      <c r="T784" s="18">
        <f t="shared" si="314"/>
        <v>13.111075093746754</v>
      </c>
      <c r="U784" s="1">
        <f t="shared" si="304"/>
        <v>0</v>
      </c>
      <c r="V784" s="2">
        <f t="shared" si="315"/>
        <v>3739.822698599507</v>
      </c>
      <c r="W784" s="19">
        <f t="shared" si="316"/>
        <v>1618.9708651945919</v>
      </c>
      <c r="X784" s="20"/>
      <c r="Y784" s="2">
        <f t="shared" si="317"/>
        <v>1599.338628493583</v>
      </c>
      <c r="Z784" s="21">
        <f t="shared" si="318"/>
        <v>10.597709568124113</v>
      </c>
      <c r="AA784" s="2">
        <f t="shared" si="319"/>
        <v>1279.658869627897</v>
      </c>
      <c r="AB784" s="19">
        <f t="shared" si="322"/>
        <v>105.06823409768182</v>
      </c>
    </row>
    <row r="785" spans="15:28" x14ac:dyDescent="0.25">
      <c r="O785" s="1">
        <f t="shared" si="309"/>
        <v>759</v>
      </c>
      <c r="P785" s="19">
        <f t="shared" si="310"/>
        <v>1618.9708651945919</v>
      </c>
      <c r="Q785" s="18">
        <f t="shared" si="311"/>
        <v>13.446123188593351</v>
      </c>
      <c r="R785" s="2">
        <f t="shared" si="312"/>
        <v>0.98266772045076711</v>
      </c>
      <c r="S785" s="18">
        <f t="shared" si="313"/>
        <v>13.462500983934197</v>
      </c>
      <c r="T785" s="18">
        <f t="shared" si="314"/>
        <v>13.142580070053127</v>
      </c>
      <c r="U785" s="1">
        <f t="shared" si="304"/>
        <v>0</v>
      </c>
      <c r="V785" s="2">
        <f t="shared" si="315"/>
        <v>3752.9652786695606</v>
      </c>
      <c r="W785" s="19">
        <f t="shared" si="316"/>
        <v>1624.6602937963464</v>
      </c>
      <c r="X785" s="20"/>
      <c r="Y785" s="2">
        <f t="shared" si="317"/>
        <v>1605.029365663916</v>
      </c>
      <c r="Z785" s="21">
        <f t="shared" si="318"/>
        <v>10.623541969184394</v>
      </c>
      <c r="AA785" s="2">
        <f t="shared" si="319"/>
        <v>1284.257805545293</v>
      </c>
      <c r="AB785" s="19">
        <f t="shared" si="322"/>
        <v>105.1233067803801</v>
      </c>
    </row>
  </sheetData>
  <sheetProtection algorithmName="SHA-512" hashValue="eNoe+FFA8+ZhVkHtpr3JTrHL3Mj+4MpnLo5cRi9qpKjhGs874VnCVl1xKL4Nh1ZCuTSa4mcPnTzcyY960jYLYg==" saltValue="jxNSbMw2BFdiSEWiqa3/CA==" spinCount="100000" sheet="1" objects="1" scenarios="1"/>
  <printOptions gridLines="1"/>
  <pageMargins left="0.5" right="0.5" top="0.5" bottom="0.5" header="0.5" footer="0.5"/>
  <pageSetup orientation="landscape" horizontalDpi="4294967295" verticalDpi="360" r:id="rId1"/>
  <headerFooter alignWithMargins="0"/>
  <rowBreaks count="2" manualBreakCount="2">
    <brk id="22" max="16383" man="1"/>
    <brk id="576"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D0CA-E9C1-4826-9128-A174F59E9522}">
  <dimension ref="A2:H81"/>
  <sheetViews>
    <sheetView zoomScale="124" zoomScaleNormal="124" workbookViewId="0">
      <pane ySplit="21" topLeftCell="A22" activePane="bottomLeft" state="frozen"/>
      <selection pane="bottomLeft" activeCell="F17" sqref="F17"/>
    </sheetView>
  </sheetViews>
  <sheetFormatPr defaultColWidth="9.1796875" defaultRowHeight="12.5" x14ac:dyDescent="0.25"/>
  <cols>
    <col min="1" max="1" width="20.7265625" style="1" bestFit="1" customWidth="1"/>
    <col min="2" max="2" width="19.26953125" style="1" bestFit="1" customWidth="1"/>
    <col min="3" max="3" width="19.54296875" style="1" bestFit="1" customWidth="1"/>
    <col min="4" max="4" width="20.7265625" style="1" bestFit="1" customWidth="1"/>
    <col min="5" max="5" width="21" style="1" bestFit="1" customWidth="1"/>
    <col min="6" max="6" width="38" style="1" customWidth="1"/>
    <col min="7" max="7" width="21.81640625" style="1" bestFit="1" customWidth="1"/>
    <col min="8" max="16384" width="9.1796875" style="1"/>
  </cols>
  <sheetData>
    <row r="2" spans="1:8" x14ac:dyDescent="0.25">
      <c r="A2" s="1" t="str">
        <f>'[1]Required Inputs'!A3</f>
        <v>G-WHWSGUT-D-15FA</v>
      </c>
      <c r="B2" s="16" t="s">
        <v>117</v>
      </c>
    </row>
    <row r="3" spans="1:8" x14ac:dyDescent="0.25">
      <c r="A3" s="19">
        <f>'[1]Zone Valves Data'!B3</f>
        <v>15.750000000000002</v>
      </c>
      <c r="B3" s="16" t="s">
        <v>161</v>
      </c>
    </row>
    <row r="4" spans="1:8" x14ac:dyDescent="0.25">
      <c r="A4" s="19">
        <f>'[1]Zone Valves Data'!B4</f>
        <v>20.933598531211754</v>
      </c>
      <c r="B4" s="16" t="s">
        <v>162</v>
      </c>
    </row>
    <row r="5" spans="1:8" x14ac:dyDescent="0.25">
      <c r="A5" s="19">
        <f>'[1]Zone Valves Data'!B5</f>
        <v>5.1835985312117518</v>
      </c>
      <c r="B5" s="16" t="s">
        <v>163</v>
      </c>
    </row>
    <row r="7" spans="1:8" x14ac:dyDescent="0.25">
      <c r="B7" s="16" t="s">
        <v>164</v>
      </c>
      <c r="C7" s="57" t="s">
        <v>165</v>
      </c>
      <c r="D7" s="53" t="s">
        <v>0</v>
      </c>
      <c r="E7" s="53" t="s">
        <v>1</v>
      </c>
      <c r="F7" s="57" t="s">
        <v>166</v>
      </c>
    </row>
    <row r="8" spans="1:8" ht="26" x14ac:dyDescent="0.3">
      <c r="B8" s="125" t="s">
        <v>167</v>
      </c>
      <c r="C8" s="125">
        <v>20</v>
      </c>
      <c r="D8" s="125">
        <v>7</v>
      </c>
      <c r="E8" s="125">
        <f>Table6[[#This Row],[Supply]]</f>
        <v>7</v>
      </c>
      <c r="F8" s="126" t="s">
        <v>168</v>
      </c>
    </row>
    <row r="9" spans="1:8" ht="26" x14ac:dyDescent="0.3">
      <c r="B9" s="125" t="s">
        <v>169</v>
      </c>
      <c r="C9" s="125">
        <v>20</v>
      </c>
      <c r="D9" s="125">
        <v>5</v>
      </c>
      <c r="E9" s="125">
        <f>Table6[[#This Row],[Supply]]</f>
        <v>5</v>
      </c>
      <c r="F9" s="126" t="s">
        <v>170</v>
      </c>
      <c r="G9" s="127"/>
      <c r="H9" s="127"/>
    </row>
    <row r="10" spans="1:8" ht="26" x14ac:dyDescent="0.3">
      <c r="B10" s="125" t="s">
        <v>116</v>
      </c>
      <c r="C10" s="125">
        <v>20</v>
      </c>
      <c r="D10" s="125">
        <v>7</v>
      </c>
      <c r="E10" s="125">
        <f>Table6[[#This Row],[Supply]]</f>
        <v>7</v>
      </c>
      <c r="F10" s="126" t="s">
        <v>171</v>
      </c>
      <c r="G10" s="127"/>
      <c r="H10" s="127"/>
    </row>
    <row r="11" spans="1:8" ht="26" x14ac:dyDescent="0.3">
      <c r="B11" s="125" t="s">
        <v>172</v>
      </c>
      <c r="C11" s="125">
        <v>20</v>
      </c>
      <c r="D11" s="125">
        <v>5</v>
      </c>
      <c r="E11" s="125">
        <f>Table6[[#This Row],[Supply]]</f>
        <v>5</v>
      </c>
      <c r="F11" s="126" t="s">
        <v>173</v>
      </c>
      <c r="G11" s="127"/>
      <c r="H11" s="127"/>
    </row>
    <row r="12" spans="1:8" ht="26" x14ac:dyDescent="0.3">
      <c r="B12" s="125" t="s">
        <v>174</v>
      </c>
      <c r="C12" s="125">
        <v>20</v>
      </c>
      <c r="D12" s="125">
        <v>7</v>
      </c>
      <c r="E12" s="125">
        <f>Table6[[#This Row],[Supply]]</f>
        <v>7</v>
      </c>
      <c r="F12" s="126" t="s">
        <v>175</v>
      </c>
      <c r="G12" s="127"/>
      <c r="H12" s="127"/>
    </row>
    <row r="13" spans="1:8" ht="26" x14ac:dyDescent="0.3">
      <c r="B13" s="125" t="s">
        <v>176</v>
      </c>
      <c r="C13" s="125">
        <v>30</v>
      </c>
      <c r="D13" s="125">
        <v>7</v>
      </c>
      <c r="E13" s="125">
        <f>Table6[[#This Row],[Supply]]</f>
        <v>7</v>
      </c>
      <c r="F13" s="126" t="s">
        <v>177</v>
      </c>
      <c r="G13" s="127"/>
      <c r="H13" s="127"/>
    </row>
    <row r="14" spans="1:8" ht="13" x14ac:dyDescent="0.3">
      <c r="B14" s="125"/>
      <c r="C14" s="125"/>
      <c r="D14" s="125"/>
      <c r="E14" s="125"/>
      <c r="F14" s="126"/>
      <c r="G14" s="127"/>
      <c r="H14" s="127"/>
    </row>
    <row r="15" spans="1:8" x14ac:dyDescent="0.25">
      <c r="A15" s="57" t="s">
        <v>117</v>
      </c>
      <c r="B15" s="51" t="s">
        <v>167</v>
      </c>
      <c r="C15" s="51" t="s">
        <v>169</v>
      </c>
      <c r="D15" s="51" t="s">
        <v>116</v>
      </c>
      <c r="E15" s="51" t="s">
        <v>172</v>
      </c>
      <c r="F15" s="51" t="s">
        <v>174</v>
      </c>
      <c r="G15" s="51" t="s">
        <v>176</v>
      </c>
    </row>
    <row r="16" spans="1:8" x14ac:dyDescent="0.25">
      <c r="A16" s="57" t="s">
        <v>3</v>
      </c>
      <c r="B16" s="122">
        <f>LOOKUP($A$3,A22:A81,B22:B81)</f>
        <v>5.6399999999999988</v>
      </c>
      <c r="C16" s="122">
        <f>LOOKUP($A$3,$A$22:$A$81,C22:C81)</f>
        <v>1</v>
      </c>
      <c r="D16" s="122">
        <f>LOOKUP($A$3,$A$22:$A$81,D22:D81)</f>
        <v>5.6399999999999988</v>
      </c>
      <c r="E16" s="122">
        <f>LOOKUP($A$3,$A$22:$A$81,E22:E81)</f>
        <v>1</v>
      </c>
      <c r="F16" s="122">
        <f>LOOKUP($A$3,$A$22:$A$81,F22:F81)</f>
        <v>1</v>
      </c>
      <c r="G16" s="122">
        <f>LOOKUP($A$3,$A$22:$A$81,G22:G81)</f>
        <v>5.6399999999999988</v>
      </c>
    </row>
    <row r="17" spans="1:7" x14ac:dyDescent="0.25">
      <c r="A17" s="57" t="s">
        <v>2</v>
      </c>
      <c r="B17" s="122">
        <f>LOOKUP($A$4,A22:A81,B22:B81)</f>
        <v>6.2999999999999972</v>
      </c>
      <c r="C17" s="122">
        <f>LOOKUP($A$4,A22:A81,C22:C81)</f>
        <v>1</v>
      </c>
      <c r="D17" s="122">
        <f>LOOKUP($A$4,A22:A81,D22:D81)</f>
        <v>6.2999999999999972</v>
      </c>
      <c r="E17" s="122">
        <f>LOOKUP($A$4,A22:A81,E22:E81)</f>
        <v>1</v>
      </c>
      <c r="F17" s="122">
        <f>LOOKUP($A$4,A22:A81,F22:F81)</f>
        <v>1</v>
      </c>
      <c r="G17" s="122">
        <f>LOOKUP($A$3,$A$22:$A$81,G22:G81)</f>
        <v>5.6399999999999988</v>
      </c>
    </row>
    <row r="18" spans="1:7" x14ac:dyDescent="0.25">
      <c r="A18" s="57" t="s">
        <v>1</v>
      </c>
      <c r="B18" s="122">
        <f>LOOKUP($A$5,A23:A82,B23:B82)</f>
        <v>4.5999999999999996</v>
      </c>
      <c r="C18" s="122">
        <f>LOOKUP($A$5,A22:A81,C22:C81)</f>
        <v>1</v>
      </c>
      <c r="D18" s="122">
        <f>LOOKUP($A$5,A22:A81,D22:D81)</f>
        <v>4.5999999999999996</v>
      </c>
      <c r="E18" s="122">
        <f>LOOKUP($A$5,A22:A81,E22:E81)</f>
        <v>1</v>
      </c>
      <c r="F18" s="122">
        <f>LOOKUP($A$5,A22:A81,F22:F81)</f>
        <v>1</v>
      </c>
      <c r="G18" s="122">
        <f>LOOKUP($A$5,A22:A81,G22:G81)</f>
        <v>4.5999999999999996</v>
      </c>
    </row>
    <row r="19" spans="1:7" x14ac:dyDescent="0.25">
      <c r="A19" s="16"/>
      <c r="B19" s="124"/>
    </row>
    <row r="20" spans="1:7" x14ac:dyDescent="0.25">
      <c r="A20" s="16"/>
      <c r="B20" s="124"/>
    </row>
    <row r="21" spans="1:7" x14ac:dyDescent="0.25">
      <c r="A21" s="51" t="s">
        <v>150</v>
      </c>
      <c r="B21" s="51" t="s">
        <v>167</v>
      </c>
      <c r="C21" s="51" t="s">
        <v>169</v>
      </c>
      <c r="D21" s="51" t="s">
        <v>116</v>
      </c>
      <c r="E21" s="51" t="s">
        <v>172</v>
      </c>
      <c r="F21" s="51" t="s">
        <v>174</v>
      </c>
      <c r="G21" s="51" t="s">
        <v>176</v>
      </c>
    </row>
    <row r="22" spans="1:7" x14ac:dyDescent="0.25">
      <c r="A22" s="51">
        <v>1</v>
      </c>
      <c r="B22" s="128">
        <v>4.5999999999999996</v>
      </c>
      <c r="C22" s="51">
        <v>1</v>
      </c>
      <c r="D22" s="128">
        <f>B22</f>
        <v>4.5999999999999996</v>
      </c>
      <c r="E22" s="51">
        <v>1</v>
      </c>
      <c r="F22" s="25">
        <v>1</v>
      </c>
      <c r="G22" s="128">
        <f>D22</f>
        <v>4.5999999999999996</v>
      </c>
    </row>
    <row r="23" spans="1:7" x14ac:dyDescent="0.25">
      <c r="A23" s="51">
        <v>2</v>
      </c>
      <c r="B23" s="128">
        <v>4.5999999999999996</v>
      </c>
      <c r="C23" s="51">
        <v>1</v>
      </c>
      <c r="D23" s="128">
        <f t="shared" ref="D23:D81" si="0">B23</f>
        <v>4.5999999999999996</v>
      </c>
      <c r="E23" s="51">
        <v>1</v>
      </c>
      <c r="F23" s="25">
        <v>1</v>
      </c>
      <c r="G23" s="128">
        <f t="shared" ref="G23:G81" si="1">D23</f>
        <v>4.5999999999999996</v>
      </c>
    </row>
    <row r="24" spans="1:7" x14ac:dyDescent="0.25">
      <c r="A24" s="51">
        <v>3</v>
      </c>
      <c r="B24" s="128">
        <v>4.5999999999999996</v>
      </c>
      <c r="C24" s="51">
        <v>1</v>
      </c>
      <c r="D24" s="128">
        <f t="shared" si="0"/>
        <v>4.5999999999999996</v>
      </c>
      <c r="E24" s="51">
        <v>1</v>
      </c>
      <c r="F24" s="25">
        <v>1</v>
      </c>
      <c r="G24" s="128">
        <f t="shared" si="1"/>
        <v>4.5999999999999996</v>
      </c>
    </row>
    <row r="25" spans="1:7" x14ac:dyDescent="0.25">
      <c r="A25" s="51">
        <v>4</v>
      </c>
      <c r="B25" s="128">
        <v>4.5999999999999996</v>
      </c>
      <c r="C25" s="51">
        <v>1</v>
      </c>
      <c r="D25" s="128">
        <f t="shared" si="0"/>
        <v>4.5999999999999996</v>
      </c>
      <c r="E25" s="51">
        <v>1</v>
      </c>
      <c r="F25" s="25">
        <v>1</v>
      </c>
      <c r="G25" s="128">
        <f t="shared" si="1"/>
        <v>4.5999999999999996</v>
      </c>
    </row>
    <row r="26" spans="1:7" x14ac:dyDescent="0.25">
      <c r="A26" s="51">
        <v>5</v>
      </c>
      <c r="B26" s="96">
        <v>4.5999999999999996</v>
      </c>
      <c r="C26" s="51">
        <v>1</v>
      </c>
      <c r="D26" s="96">
        <f t="shared" si="0"/>
        <v>4.5999999999999996</v>
      </c>
      <c r="E26" s="51">
        <v>1</v>
      </c>
      <c r="F26" s="25">
        <v>1</v>
      </c>
      <c r="G26" s="96">
        <f t="shared" si="1"/>
        <v>4.5999999999999996</v>
      </c>
    </row>
    <row r="27" spans="1:7" x14ac:dyDescent="0.25">
      <c r="A27" s="51">
        <v>6</v>
      </c>
      <c r="B27" s="25">
        <v>4.6500000000000004</v>
      </c>
      <c r="C27" s="51">
        <v>1</v>
      </c>
      <c r="D27" s="96">
        <f t="shared" si="0"/>
        <v>4.6500000000000004</v>
      </c>
      <c r="E27" s="51">
        <v>1</v>
      </c>
      <c r="F27" s="25">
        <v>1</v>
      </c>
      <c r="G27" s="96">
        <f t="shared" si="1"/>
        <v>4.6500000000000004</v>
      </c>
    </row>
    <row r="28" spans="1:7" x14ac:dyDescent="0.25">
      <c r="A28" s="51">
        <v>7</v>
      </c>
      <c r="B28" s="96">
        <v>4.71</v>
      </c>
      <c r="C28" s="51">
        <v>1</v>
      </c>
      <c r="D28" s="96">
        <f t="shared" si="0"/>
        <v>4.71</v>
      </c>
      <c r="E28" s="51">
        <v>1</v>
      </c>
      <c r="F28" s="25">
        <v>1</v>
      </c>
      <c r="G28" s="96">
        <f t="shared" si="1"/>
        <v>4.71</v>
      </c>
    </row>
    <row r="29" spans="1:7" x14ac:dyDescent="0.25">
      <c r="A29" s="51">
        <v>8</v>
      </c>
      <c r="B29" s="96">
        <v>4.8</v>
      </c>
      <c r="C29" s="51">
        <v>1</v>
      </c>
      <c r="D29" s="96">
        <f t="shared" si="0"/>
        <v>4.8</v>
      </c>
      <c r="E29" s="51">
        <v>1</v>
      </c>
      <c r="F29" s="25">
        <v>1</v>
      </c>
      <c r="G29" s="96">
        <f t="shared" si="1"/>
        <v>4.8</v>
      </c>
    </row>
    <row r="30" spans="1:7" x14ac:dyDescent="0.25">
      <c r="A30" s="51">
        <v>9</v>
      </c>
      <c r="B30" s="96">
        <v>4.8899999999999997</v>
      </c>
      <c r="C30" s="51">
        <v>1</v>
      </c>
      <c r="D30" s="96">
        <f t="shared" si="0"/>
        <v>4.8899999999999997</v>
      </c>
      <c r="E30" s="51">
        <v>1</v>
      </c>
      <c r="F30" s="25">
        <v>1</v>
      </c>
      <c r="G30" s="96">
        <f t="shared" si="1"/>
        <v>4.8899999999999997</v>
      </c>
    </row>
    <row r="31" spans="1:7" ht="13" x14ac:dyDescent="0.3">
      <c r="A31" s="51">
        <v>10</v>
      </c>
      <c r="B31" s="74">
        <v>4.9800000000000004</v>
      </c>
      <c r="C31" s="51">
        <v>1</v>
      </c>
      <c r="D31" s="96">
        <f t="shared" si="0"/>
        <v>4.9800000000000004</v>
      </c>
      <c r="E31" s="51">
        <v>1</v>
      </c>
      <c r="F31" s="25">
        <v>1</v>
      </c>
      <c r="G31" s="96">
        <f t="shared" si="1"/>
        <v>4.9800000000000004</v>
      </c>
    </row>
    <row r="32" spans="1:7" x14ac:dyDescent="0.25">
      <c r="A32" s="51">
        <v>11</v>
      </c>
      <c r="B32" s="96">
        <f>B31+0.132</f>
        <v>5.1120000000000001</v>
      </c>
      <c r="C32" s="51">
        <v>1</v>
      </c>
      <c r="D32" s="96">
        <f t="shared" si="0"/>
        <v>5.1120000000000001</v>
      </c>
      <c r="E32" s="51">
        <v>1</v>
      </c>
      <c r="F32" s="25">
        <v>1</v>
      </c>
      <c r="G32" s="96">
        <f t="shared" si="1"/>
        <v>5.1120000000000001</v>
      </c>
    </row>
    <row r="33" spans="1:7" x14ac:dyDescent="0.25">
      <c r="A33" s="51">
        <v>12</v>
      </c>
      <c r="B33" s="96">
        <f t="shared" ref="B33:B41" si="2">B32+0.132</f>
        <v>5.2439999999999998</v>
      </c>
      <c r="C33" s="51">
        <v>1</v>
      </c>
      <c r="D33" s="96">
        <f t="shared" si="0"/>
        <v>5.2439999999999998</v>
      </c>
      <c r="E33" s="51">
        <v>1</v>
      </c>
      <c r="F33" s="25">
        <v>1</v>
      </c>
      <c r="G33" s="96">
        <f t="shared" si="1"/>
        <v>5.2439999999999998</v>
      </c>
    </row>
    <row r="34" spans="1:7" x14ac:dyDescent="0.25">
      <c r="A34" s="51">
        <v>13</v>
      </c>
      <c r="B34" s="96">
        <f t="shared" si="2"/>
        <v>5.3759999999999994</v>
      </c>
      <c r="C34" s="51">
        <v>1</v>
      </c>
      <c r="D34" s="96">
        <f t="shared" si="0"/>
        <v>5.3759999999999994</v>
      </c>
      <c r="E34" s="51">
        <v>1</v>
      </c>
      <c r="F34" s="25">
        <v>1</v>
      </c>
      <c r="G34" s="96">
        <f t="shared" si="1"/>
        <v>5.3759999999999994</v>
      </c>
    </row>
    <row r="35" spans="1:7" x14ac:dyDescent="0.25">
      <c r="A35" s="51">
        <v>14</v>
      </c>
      <c r="B35" s="96">
        <f t="shared" si="2"/>
        <v>5.5079999999999991</v>
      </c>
      <c r="C35" s="51">
        <v>1</v>
      </c>
      <c r="D35" s="96">
        <f t="shared" si="0"/>
        <v>5.5079999999999991</v>
      </c>
      <c r="E35" s="51">
        <v>1</v>
      </c>
      <c r="F35" s="25">
        <v>1</v>
      </c>
      <c r="G35" s="96">
        <f t="shared" si="1"/>
        <v>5.5079999999999991</v>
      </c>
    </row>
    <row r="36" spans="1:7" x14ac:dyDescent="0.25">
      <c r="A36" s="51">
        <v>15</v>
      </c>
      <c r="B36" s="96">
        <f t="shared" si="2"/>
        <v>5.6399999999999988</v>
      </c>
      <c r="C36" s="51">
        <v>1</v>
      </c>
      <c r="D36" s="96">
        <f t="shared" si="0"/>
        <v>5.6399999999999988</v>
      </c>
      <c r="E36" s="51">
        <v>1</v>
      </c>
      <c r="F36" s="25">
        <v>1</v>
      </c>
      <c r="G36" s="96">
        <f t="shared" si="1"/>
        <v>5.6399999999999988</v>
      </c>
    </row>
    <row r="37" spans="1:7" x14ac:dyDescent="0.25">
      <c r="A37" s="51">
        <v>16</v>
      </c>
      <c r="B37" s="96">
        <f t="shared" si="2"/>
        <v>5.7719999999999985</v>
      </c>
      <c r="C37" s="51">
        <v>1</v>
      </c>
      <c r="D37" s="96">
        <f t="shared" si="0"/>
        <v>5.7719999999999985</v>
      </c>
      <c r="E37" s="51">
        <v>1</v>
      </c>
      <c r="F37" s="25">
        <v>1</v>
      </c>
      <c r="G37" s="96">
        <f t="shared" si="1"/>
        <v>5.7719999999999985</v>
      </c>
    </row>
    <row r="38" spans="1:7" x14ac:dyDescent="0.25">
      <c r="A38" s="51">
        <v>17</v>
      </c>
      <c r="B38" s="96">
        <f t="shared" si="2"/>
        <v>5.9039999999999981</v>
      </c>
      <c r="C38" s="51">
        <v>1</v>
      </c>
      <c r="D38" s="96">
        <f t="shared" si="0"/>
        <v>5.9039999999999981</v>
      </c>
      <c r="E38" s="51">
        <v>1</v>
      </c>
      <c r="F38" s="25">
        <v>1</v>
      </c>
      <c r="G38" s="96">
        <f t="shared" si="1"/>
        <v>5.9039999999999981</v>
      </c>
    </row>
    <row r="39" spans="1:7" x14ac:dyDescent="0.25">
      <c r="A39" s="51">
        <v>18</v>
      </c>
      <c r="B39" s="96">
        <f t="shared" si="2"/>
        <v>6.0359999999999978</v>
      </c>
      <c r="C39" s="51">
        <v>1</v>
      </c>
      <c r="D39" s="96">
        <f t="shared" si="0"/>
        <v>6.0359999999999978</v>
      </c>
      <c r="E39" s="51">
        <v>1</v>
      </c>
      <c r="F39" s="25">
        <v>1</v>
      </c>
      <c r="G39" s="96">
        <f t="shared" si="1"/>
        <v>6.0359999999999978</v>
      </c>
    </row>
    <row r="40" spans="1:7" x14ac:dyDescent="0.25">
      <c r="A40" s="51">
        <v>19</v>
      </c>
      <c r="B40" s="96">
        <f t="shared" si="2"/>
        <v>6.1679999999999975</v>
      </c>
      <c r="C40" s="51">
        <v>1</v>
      </c>
      <c r="D40" s="96">
        <f t="shared" si="0"/>
        <v>6.1679999999999975</v>
      </c>
      <c r="E40" s="51">
        <v>1</v>
      </c>
      <c r="F40" s="25">
        <v>1</v>
      </c>
      <c r="G40" s="96">
        <f t="shared" si="1"/>
        <v>6.1679999999999975</v>
      </c>
    </row>
    <row r="41" spans="1:7" ht="13" x14ac:dyDescent="0.3">
      <c r="A41" s="51">
        <v>20</v>
      </c>
      <c r="B41" s="74">
        <f t="shared" si="2"/>
        <v>6.2999999999999972</v>
      </c>
      <c r="C41" s="51">
        <v>1</v>
      </c>
      <c r="D41" s="96">
        <f t="shared" si="0"/>
        <v>6.2999999999999972</v>
      </c>
      <c r="E41" s="51">
        <v>1</v>
      </c>
      <c r="F41" s="25">
        <v>1</v>
      </c>
      <c r="G41" s="96">
        <f t="shared" si="1"/>
        <v>6.2999999999999972</v>
      </c>
    </row>
    <row r="42" spans="1:7" x14ac:dyDescent="0.25">
      <c r="A42" s="51">
        <v>21</v>
      </c>
      <c r="B42" s="96">
        <f>B41+0.24</f>
        <v>6.5399999999999974</v>
      </c>
      <c r="C42" s="51">
        <v>1</v>
      </c>
      <c r="D42" s="96">
        <f t="shared" si="0"/>
        <v>6.5399999999999974</v>
      </c>
      <c r="E42" s="51">
        <v>1</v>
      </c>
      <c r="F42" s="25">
        <v>1</v>
      </c>
      <c r="G42" s="96">
        <f t="shared" si="1"/>
        <v>6.5399999999999974</v>
      </c>
    </row>
    <row r="43" spans="1:7" x14ac:dyDescent="0.25">
      <c r="A43" s="51">
        <v>22</v>
      </c>
      <c r="B43" s="96">
        <f t="shared" ref="B43:B51" si="3">B42+0.24</f>
        <v>6.7799999999999976</v>
      </c>
      <c r="C43" s="51">
        <v>1</v>
      </c>
      <c r="D43" s="96">
        <f t="shared" si="0"/>
        <v>6.7799999999999976</v>
      </c>
      <c r="E43" s="51">
        <v>1</v>
      </c>
      <c r="F43" s="25">
        <v>1</v>
      </c>
      <c r="G43" s="96">
        <f t="shared" si="1"/>
        <v>6.7799999999999976</v>
      </c>
    </row>
    <row r="44" spans="1:7" x14ac:dyDescent="0.25">
      <c r="A44" s="51">
        <v>23</v>
      </c>
      <c r="B44" s="96">
        <f t="shared" si="3"/>
        <v>7.0199999999999978</v>
      </c>
      <c r="C44" s="51">
        <v>1</v>
      </c>
      <c r="D44" s="96">
        <f t="shared" si="0"/>
        <v>7.0199999999999978</v>
      </c>
      <c r="E44" s="51">
        <v>1</v>
      </c>
      <c r="F44" s="25">
        <v>1</v>
      </c>
      <c r="G44" s="96">
        <f t="shared" si="1"/>
        <v>7.0199999999999978</v>
      </c>
    </row>
    <row r="45" spans="1:7" x14ac:dyDescent="0.25">
      <c r="A45" s="51">
        <v>24</v>
      </c>
      <c r="B45" s="96">
        <f t="shared" si="3"/>
        <v>7.259999999999998</v>
      </c>
      <c r="C45" s="51">
        <v>1</v>
      </c>
      <c r="D45" s="96">
        <f t="shared" si="0"/>
        <v>7.259999999999998</v>
      </c>
      <c r="E45" s="51">
        <v>1</v>
      </c>
      <c r="F45" s="25">
        <v>1</v>
      </c>
      <c r="G45" s="96">
        <f t="shared" si="1"/>
        <v>7.259999999999998</v>
      </c>
    </row>
    <row r="46" spans="1:7" x14ac:dyDescent="0.25">
      <c r="A46" s="51">
        <v>25</v>
      </c>
      <c r="B46" s="96">
        <f t="shared" si="3"/>
        <v>7.4999999999999982</v>
      </c>
      <c r="C46" s="51">
        <v>1</v>
      </c>
      <c r="D46" s="96">
        <f t="shared" si="0"/>
        <v>7.4999999999999982</v>
      </c>
      <c r="E46" s="51">
        <v>1</v>
      </c>
      <c r="F46" s="25">
        <v>1</v>
      </c>
      <c r="G46" s="96">
        <f t="shared" si="1"/>
        <v>7.4999999999999982</v>
      </c>
    </row>
    <row r="47" spans="1:7" x14ac:dyDescent="0.25">
      <c r="A47" s="51">
        <v>26</v>
      </c>
      <c r="B47" s="96">
        <f t="shared" si="3"/>
        <v>7.7399999999999984</v>
      </c>
      <c r="C47" s="51">
        <v>1</v>
      </c>
      <c r="D47" s="96">
        <f t="shared" si="0"/>
        <v>7.7399999999999984</v>
      </c>
      <c r="E47" s="51">
        <v>1</v>
      </c>
      <c r="F47" s="25">
        <v>1</v>
      </c>
      <c r="G47" s="96">
        <f t="shared" si="1"/>
        <v>7.7399999999999984</v>
      </c>
    </row>
    <row r="48" spans="1:7" x14ac:dyDescent="0.25">
      <c r="A48" s="51">
        <v>27</v>
      </c>
      <c r="B48" s="96">
        <f t="shared" si="3"/>
        <v>7.9799999999999986</v>
      </c>
      <c r="C48" s="51">
        <v>1</v>
      </c>
      <c r="D48" s="96">
        <f t="shared" si="0"/>
        <v>7.9799999999999986</v>
      </c>
      <c r="E48" s="51">
        <v>1</v>
      </c>
      <c r="F48" s="25">
        <v>1</v>
      </c>
      <c r="G48" s="96">
        <f t="shared" si="1"/>
        <v>7.9799999999999986</v>
      </c>
    </row>
    <row r="49" spans="1:7" x14ac:dyDescent="0.25">
      <c r="A49" s="51">
        <v>28</v>
      </c>
      <c r="B49" s="96">
        <f t="shared" si="3"/>
        <v>8.2199999999999989</v>
      </c>
      <c r="C49" s="51">
        <v>1</v>
      </c>
      <c r="D49" s="96">
        <f t="shared" si="0"/>
        <v>8.2199999999999989</v>
      </c>
      <c r="E49" s="51">
        <v>1</v>
      </c>
      <c r="F49" s="25">
        <v>1</v>
      </c>
      <c r="G49" s="96">
        <f t="shared" si="1"/>
        <v>8.2199999999999989</v>
      </c>
    </row>
    <row r="50" spans="1:7" x14ac:dyDescent="0.25">
      <c r="A50" s="51">
        <v>29</v>
      </c>
      <c r="B50" s="96">
        <f t="shared" si="3"/>
        <v>8.4599999999999991</v>
      </c>
      <c r="C50" s="51">
        <v>1</v>
      </c>
      <c r="D50" s="96">
        <f t="shared" si="0"/>
        <v>8.4599999999999991</v>
      </c>
      <c r="E50" s="51">
        <v>1</v>
      </c>
      <c r="F50" s="25">
        <v>1</v>
      </c>
      <c r="G50" s="96">
        <f t="shared" si="1"/>
        <v>8.4599999999999991</v>
      </c>
    </row>
    <row r="51" spans="1:7" ht="13" x14ac:dyDescent="0.3">
      <c r="A51" s="51">
        <v>30</v>
      </c>
      <c r="B51" s="74">
        <f t="shared" si="3"/>
        <v>8.6999999999999993</v>
      </c>
      <c r="C51" s="51">
        <v>1</v>
      </c>
      <c r="D51" s="96">
        <f t="shared" si="0"/>
        <v>8.6999999999999993</v>
      </c>
      <c r="E51" s="51">
        <v>1</v>
      </c>
      <c r="F51" s="25">
        <v>1</v>
      </c>
      <c r="G51" s="96">
        <f t="shared" si="1"/>
        <v>8.6999999999999993</v>
      </c>
    </row>
    <row r="52" spans="1:7" x14ac:dyDescent="0.25">
      <c r="A52" s="51">
        <v>31</v>
      </c>
      <c r="B52" s="96">
        <f>B51+0.29</f>
        <v>8.9899999999999984</v>
      </c>
      <c r="C52" s="51">
        <v>1</v>
      </c>
      <c r="D52" s="96">
        <f t="shared" si="0"/>
        <v>8.9899999999999984</v>
      </c>
      <c r="E52" s="51">
        <v>1</v>
      </c>
      <c r="F52" s="25">
        <v>1</v>
      </c>
      <c r="G52" s="96">
        <f t="shared" si="1"/>
        <v>8.9899999999999984</v>
      </c>
    </row>
    <row r="53" spans="1:7" x14ac:dyDescent="0.25">
      <c r="A53" s="51">
        <v>32</v>
      </c>
      <c r="B53" s="96">
        <f t="shared" ref="B53:B60" si="4">B52+0.29</f>
        <v>9.2799999999999976</v>
      </c>
      <c r="C53" s="51">
        <v>1</v>
      </c>
      <c r="D53" s="96">
        <f t="shared" si="0"/>
        <v>9.2799999999999976</v>
      </c>
      <c r="E53" s="51">
        <v>1</v>
      </c>
      <c r="F53" s="25">
        <v>1</v>
      </c>
      <c r="G53" s="96">
        <f t="shared" si="1"/>
        <v>9.2799999999999976</v>
      </c>
    </row>
    <row r="54" spans="1:7" x14ac:dyDescent="0.25">
      <c r="A54" s="51">
        <v>33</v>
      </c>
      <c r="B54" s="96">
        <f t="shared" si="4"/>
        <v>9.5699999999999967</v>
      </c>
      <c r="C54" s="51">
        <v>1</v>
      </c>
      <c r="D54" s="96">
        <f t="shared" si="0"/>
        <v>9.5699999999999967</v>
      </c>
      <c r="E54" s="51">
        <v>1</v>
      </c>
      <c r="F54" s="25">
        <v>1</v>
      </c>
      <c r="G54" s="96">
        <f t="shared" si="1"/>
        <v>9.5699999999999967</v>
      </c>
    </row>
    <row r="55" spans="1:7" x14ac:dyDescent="0.25">
      <c r="A55" s="51">
        <v>34</v>
      </c>
      <c r="B55" s="96">
        <f t="shared" si="4"/>
        <v>9.8599999999999959</v>
      </c>
      <c r="C55" s="51">
        <v>1</v>
      </c>
      <c r="D55" s="96">
        <f t="shared" si="0"/>
        <v>9.8599999999999959</v>
      </c>
      <c r="E55" s="51">
        <v>1</v>
      </c>
      <c r="F55" s="25">
        <v>1</v>
      </c>
      <c r="G55" s="96">
        <f t="shared" si="1"/>
        <v>9.8599999999999959</v>
      </c>
    </row>
    <row r="56" spans="1:7" x14ac:dyDescent="0.25">
      <c r="A56" s="51">
        <v>35</v>
      </c>
      <c r="B56" s="96">
        <f t="shared" si="4"/>
        <v>10.149999999999995</v>
      </c>
      <c r="C56" s="51">
        <v>1</v>
      </c>
      <c r="D56" s="96">
        <f t="shared" si="0"/>
        <v>10.149999999999995</v>
      </c>
      <c r="E56" s="51">
        <v>1</v>
      </c>
      <c r="F56" s="25">
        <v>1</v>
      </c>
      <c r="G56" s="96">
        <f t="shared" si="1"/>
        <v>10.149999999999995</v>
      </c>
    </row>
    <row r="57" spans="1:7" x14ac:dyDescent="0.25">
      <c r="A57" s="51">
        <v>36</v>
      </c>
      <c r="B57" s="96">
        <f t="shared" si="4"/>
        <v>10.439999999999994</v>
      </c>
      <c r="C57" s="51">
        <v>1</v>
      </c>
      <c r="D57" s="96">
        <f t="shared" si="0"/>
        <v>10.439999999999994</v>
      </c>
      <c r="E57" s="51">
        <v>1</v>
      </c>
      <c r="F57" s="25">
        <v>1</v>
      </c>
      <c r="G57" s="96">
        <f t="shared" si="1"/>
        <v>10.439999999999994</v>
      </c>
    </row>
    <row r="58" spans="1:7" x14ac:dyDescent="0.25">
      <c r="A58" s="51">
        <v>37</v>
      </c>
      <c r="B58" s="96">
        <f t="shared" si="4"/>
        <v>10.729999999999993</v>
      </c>
      <c r="C58" s="51">
        <v>1</v>
      </c>
      <c r="D58" s="96">
        <f t="shared" si="0"/>
        <v>10.729999999999993</v>
      </c>
      <c r="E58" s="51">
        <v>1</v>
      </c>
      <c r="F58" s="25">
        <v>1</v>
      </c>
      <c r="G58" s="96">
        <f t="shared" si="1"/>
        <v>10.729999999999993</v>
      </c>
    </row>
    <row r="59" spans="1:7" x14ac:dyDescent="0.25">
      <c r="A59" s="51">
        <v>38</v>
      </c>
      <c r="B59" s="96">
        <f t="shared" si="4"/>
        <v>11.019999999999992</v>
      </c>
      <c r="C59" s="51">
        <v>1</v>
      </c>
      <c r="D59" s="96">
        <f t="shared" si="0"/>
        <v>11.019999999999992</v>
      </c>
      <c r="E59" s="51">
        <v>1</v>
      </c>
      <c r="F59" s="25">
        <v>1</v>
      </c>
      <c r="G59" s="96">
        <f t="shared" si="1"/>
        <v>11.019999999999992</v>
      </c>
    </row>
    <row r="60" spans="1:7" x14ac:dyDescent="0.25">
      <c r="A60" s="51">
        <v>39</v>
      </c>
      <c r="B60" s="96">
        <f t="shared" si="4"/>
        <v>11.309999999999992</v>
      </c>
      <c r="C60" s="51">
        <v>1</v>
      </c>
      <c r="D60" s="96">
        <f t="shared" si="0"/>
        <v>11.309999999999992</v>
      </c>
      <c r="E60" s="51">
        <v>1</v>
      </c>
      <c r="F60" s="25">
        <v>1</v>
      </c>
      <c r="G60" s="96">
        <f t="shared" si="1"/>
        <v>11.309999999999992</v>
      </c>
    </row>
    <row r="61" spans="1:7" ht="13" x14ac:dyDescent="0.3">
      <c r="A61" s="51">
        <v>40</v>
      </c>
      <c r="B61" s="74">
        <f>B60+0.29</f>
        <v>11.599999999999991</v>
      </c>
      <c r="C61" s="51">
        <v>1</v>
      </c>
      <c r="D61" s="96">
        <f t="shared" si="0"/>
        <v>11.599999999999991</v>
      </c>
      <c r="E61" s="51">
        <v>1</v>
      </c>
      <c r="F61" s="25">
        <v>1</v>
      </c>
      <c r="G61" s="96">
        <f t="shared" si="1"/>
        <v>11.599999999999991</v>
      </c>
    </row>
    <row r="62" spans="1:7" x14ac:dyDescent="0.25">
      <c r="A62" s="51">
        <v>41</v>
      </c>
      <c r="B62" s="96">
        <f>B61+0.49</f>
        <v>12.089999999999991</v>
      </c>
      <c r="C62" s="51">
        <v>1</v>
      </c>
      <c r="D62" s="96">
        <f t="shared" si="0"/>
        <v>12.089999999999991</v>
      </c>
      <c r="E62" s="51">
        <v>1</v>
      </c>
      <c r="F62" s="25">
        <v>1</v>
      </c>
      <c r="G62" s="96">
        <f t="shared" si="1"/>
        <v>12.089999999999991</v>
      </c>
    </row>
    <row r="63" spans="1:7" x14ac:dyDescent="0.25">
      <c r="A63" s="51">
        <v>42</v>
      </c>
      <c r="B63" s="96">
        <f t="shared" ref="B63:B71" si="5">B62+0.49</f>
        <v>12.579999999999991</v>
      </c>
      <c r="C63" s="51">
        <v>1</v>
      </c>
      <c r="D63" s="96">
        <f t="shared" si="0"/>
        <v>12.579999999999991</v>
      </c>
      <c r="E63" s="51">
        <v>1</v>
      </c>
      <c r="F63" s="25">
        <v>1</v>
      </c>
      <c r="G63" s="96">
        <f t="shared" si="1"/>
        <v>12.579999999999991</v>
      </c>
    </row>
    <row r="64" spans="1:7" x14ac:dyDescent="0.25">
      <c r="A64" s="51">
        <v>43</v>
      </c>
      <c r="B64" s="96">
        <f t="shared" si="5"/>
        <v>13.069999999999991</v>
      </c>
      <c r="C64" s="51">
        <v>1</v>
      </c>
      <c r="D64" s="96">
        <f t="shared" si="0"/>
        <v>13.069999999999991</v>
      </c>
      <c r="E64" s="51">
        <v>1</v>
      </c>
      <c r="F64" s="25">
        <v>1</v>
      </c>
      <c r="G64" s="96">
        <f t="shared" si="1"/>
        <v>13.069999999999991</v>
      </c>
    </row>
    <row r="65" spans="1:7" x14ac:dyDescent="0.25">
      <c r="A65" s="51">
        <v>44</v>
      </c>
      <c r="B65" s="96">
        <f t="shared" si="5"/>
        <v>13.559999999999992</v>
      </c>
      <c r="C65" s="51">
        <v>1</v>
      </c>
      <c r="D65" s="96">
        <f t="shared" si="0"/>
        <v>13.559999999999992</v>
      </c>
      <c r="E65" s="51">
        <v>1</v>
      </c>
      <c r="F65" s="25">
        <v>1</v>
      </c>
      <c r="G65" s="96">
        <f t="shared" si="1"/>
        <v>13.559999999999992</v>
      </c>
    </row>
    <row r="66" spans="1:7" x14ac:dyDescent="0.25">
      <c r="A66" s="51">
        <v>45</v>
      </c>
      <c r="B66" s="96">
        <f t="shared" si="5"/>
        <v>14.049999999999992</v>
      </c>
      <c r="C66" s="51">
        <v>1</v>
      </c>
      <c r="D66" s="96">
        <f t="shared" si="0"/>
        <v>14.049999999999992</v>
      </c>
      <c r="E66" s="51">
        <v>1</v>
      </c>
      <c r="F66" s="25">
        <v>1</v>
      </c>
      <c r="G66" s="96">
        <f t="shared" si="1"/>
        <v>14.049999999999992</v>
      </c>
    </row>
    <row r="67" spans="1:7" x14ac:dyDescent="0.25">
      <c r="A67" s="51">
        <v>46</v>
      </c>
      <c r="B67" s="96">
        <f t="shared" si="5"/>
        <v>14.539999999999992</v>
      </c>
      <c r="C67" s="51">
        <v>1</v>
      </c>
      <c r="D67" s="96">
        <f t="shared" si="0"/>
        <v>14.539999999999992</v>
      </c>
      <c r="E67" s="51">
        <v>1</v>
      </c>
      <c r="F67" s="25">
        <v>1</v>
      </c>
      <c r="G67" s="96">
        <f t="shared" si="1"/>
        <v>14.539999999999992</v>
      </c>
    </row>
    <row r="68" spans="1:7" x14ac:dyDescent="0.25">
      <c r="A68" s="51">
        <v>47</v>
      </c>
      <c r="B68" s="96">
        <f t="shared" si="5"/>
        <v>15.029999999999992</v>
      </c>
      <c r="C68" s="51">
        <v>1</v>
      </c>
      <c r="D68" s="96">
        <f t="shared" si="0"/>
        <v>15.029999999999992</v>
      </c>
      <c r="E68" s="51">
        <v>1</v>
      </c>
      <c r="F68" s="25">
        <v>1</v>
      </c>
      <c r="G68" s="96">
        <f t="shared" si="1"/>
        <v>15.029999999999992</v>
      </c>
    </row>
    <row r="69" spans="1:7" x14ac:dyDescent="0.25">
      <c r="A69" s="51">
        <v>48</v>
      </c>
      <c r="B69" s="96">
        <f t="shared" si="5"/>
        <v>15.519999999999992</v>
      </c>
      <c r="C69" s="51">
        <v>1</v>
      </c>
      <c r="D69" s="96">
        <f t="shared" si="0"/>
        <v>15.519999999999992</v>
      </c>
      <c r="E69" s="51">
        <v>1</v>
      </c>
      <c r="F69" s="25">
        <v>1</v>
      </c>
      <c r="G69" s="96">
        <f t="shared" si="1"/>
        <v>15.519999999999992</v>
      </c>
    </row>
    <row r="70" spans="1:7" x14ac:dyDescent="0.25">
      <c r="A70" s="51">
        <v>49</v>
      </c>
      <c r="B70" s="96">
        <f t="shared" si="5"/>
        <v>16.009999999999991</v>
      </c>
      <c r="C70" s="51">
        <v>1</v>
      </c>
      <c r="D70" s="96">
        <f t="shared" si="0"/>
        <v>16.009999999999991</v>
      </c>
      <c r="E70" s="51">
        <v>1</v>
      </c>
      <c r="F70" s="25">
        <v>1</v>
      </c>
      <c r="G70" s="96">
        <f t="shared" si="1"/>
        <v>16.009999999999991</v>
      </c>
    </row>
    <row r="71" spans="1:7" ht="13" x14ac:dyDescent="0.3">
      <c r="A71" s="51">
        <v>50</v>
      </c>
      <c r="B71" s="74">
        <f t="shared" si="5"/>
        <v>16.499999999999989</v>
      </c>
      <c r="C71" s="51">
        <v>1</v>
      </c>
      <c r="D71" s="96">
        <f t="shared" si="0"/>
        <v>16.499999999999989</v>
      </c>
      <c r="E71" s="51">
        <v>1</v>
      </c>
      <c r="F71" s="25">
        <v>1</v>
      </c>
      <c r="G71" s="96">
        <f t="shared" si="1"/>
        <v>16.499999999999989</v>
      </c>
    </row>
    <row r="72" spans="1:7" x14ac:dyDescent="0.25">
      <c r="A72" s="51">
        <v>51</v>
      </c>
      <c r="B72" s="96">
        <f>B71+0.5</f>
        <v>16.999999999999989</v>
      </c>
      <c r="C72" s="51">
        <v>1</v>
      </c>
      <c r="D72" s="96">
        <f t="shared" si="0"/>
        <v>16.999999999999989</v>
      </c>
      <c r="E72" s="51">
        <v>1</v>
      </c>
      <c r="F72" s="25">
        <v>1</v>
      </c>
      <c r="G72" s="96">
        <f t="shared" si="1"/>
        <v>16.999999999999989</v>
      </c>
    </row>
    <row r="73" spans="1:7" x14ac:dyDescent="0.25">
      <c r="A73" s="51">
        <v>52</v>
      </c>
      <c r="B73" s="96">
        <f t="shared" ref="B73:B81" si="6">B72+0.5</f>
        <v>17.499999999999989</v>
      </c>
      <c r="C73" s="51">
        <v>1</v>
      </c>
      <c r="D73" s="96">
        <f t="shared" si="0"/>
        <v>17.499999999999989</v>
      </c>
      <c r="E73" s="51">
        <v>1</v>
      </c>
      <c r="F73" s="25">
        <v>1</v>
      </c>
      <c r="G73" s="96">
        <f t="shared" si="1"/>
        <v>17.499999999999989</v>
      </c>
    </row>
    <row r="74" spans="1:7" x14ac:dyDescent="0.25">
      <c r="A74" s="51">
        <v>53</v>
      </c>
      <c r="B74" s="96">
        <f t="shared" si="6"/>
        <v>17.999999999999989</v>
      </c>
      <c r="C74" s="51">
        <v>1</v>
      </c>
      <c r="D74" s="96">
        <f t="shared" si="0"/>
        <v>17.999999999999989</v>
      </c>
      <c r="E74" s="51">
        <v>1</v>
      </c>
      <c r="F74" s="25">
        <v>1</v>
      </c>
      <c r="G74" s="96">
        <f t="shared" si="1"/>
        <v>17.999999999999989</v>
      </c>
    </row>
    <row r="75" spans="1:7" x14ac:dyDescent="0.25">
      <c r="A75" s="51">
        <v>54</v>
      </c>
      <c r="B75" s="96">
        <f t="shared" si="6"/>
        <v>18.499999999999989</v>
      </c>
      <c r="C75" s="51">
        <v>1</v>
      </c>
      <c r="D75" s="96">
        <f t="shared" si="0"/>
        <v>18.499999999999989</v>
      </c>
      <c r="E75" s="51">
        <v>1</v>
      </c>
      <c r="F75" s="25">
        <v>1</v>
      </c>
      <c r="G75" s="96">
        <f t="shared" si="1"/>
        <v>18.499999999999989</v>
      </c>
    </row>
    <row r="76" spans="1:7" x14ac:dyDescent="0.25">
      <c r="A76" s="51">
        <v>55</v>
      </c>
      <c r="B76" s="96">
        <f t="shared" si="6"/>
        <v>18.999999999999989</v>
      </c>
      <c r="C76" s="51">
        <v>1</v>
      </c>
      <c r="D76" s="96">
        <f t="shared" si="0"/>
        <v>18.999999999999989</v>
      </c>
      <c r="E76" s="51">
        <v>1</v>
      </c>
      <c r="F76" s="25">
        <v>1</v>
      </c>
      <c r="G76" s="96">
        <f t="shared" si="1"/>
        <v>18.999999999999989</v>
      </c>
    </row>
    <row r="77" spans="1:7" x14ac:dyDescent="0.25">
      <c r="A77" s="51">
        <v>56</v>
      </c>
      <c r="B77" s="96">
        <f t="shared" si="6"/>
        <v>19.499999999999989</v>
      </c>
      <c r="C77" s="51">
        <v>1</v>
      </c>
      <c r="D77" s="96">
        <f t="shared" si="0"/>
        <v>19.499999999999989</v>
      </c>
      <c r="E77" s="51">
        <v>1</v>
      </c>
      <c r="F77" s="25">
        <v>1</v>
      </c>
      <c r="G77" s="96">
        <f t="shared" si="1"/>
        <v>19.499999999999989</v>
      </c>
    </row>
    <row r="78" spans="1:7" x14ac:dyDescent="0.25">
      <c r="A78" s="51">
        <v>57</v>
      </c>
      <c r="B78" s="96">
        <f t="shared" si="6"/>
        <v>19.999999999999989</v>
      </c>
      <c r="C78" s="51">
        <v>1</v>
      </c>
      <c r="D78" s="96">
        <f t="shared" si="0"/>
        <v>19.999999999999989</v>
      </c>
      <c r="E78" s="51">
        <v>1</v>
      </c>
      <c r="F78" s="25">
        <v>1</v>
      </c>
      <c r="G78" s="96">
        <f t="shared" si="1"/>
        <v>19.999999999999989</v>
      </c>
    </row>
    <row r="79" spans="1:7" x14ac:dyDescent="0.25">
      <c r="A79" s="51">
        <v>58</v>
      </c>
      <c r="B79" s="96">
        <f t="shared" si="6"/>
        <v>20.499999999999989</v>
      </c>
      <c r="C79" s="51">
        <v>1</v>
      </c>
      <c r="D79" s="96">
        <f t="shared" si="0"/>
        <v>20.499999999999989</v>
      </c>
      <c r="E79" s="51">
        <v>1</v>
      </c>
      <c r="F79" s="25">
        <v>1</v>
      </c>
      <c r="G79" s="96">
        <f t="shared" si="1"/>
        <v>20.499999999999989</v>
      </c>
    </row>
    <row r="80" spans="1:7" x14ac:dyDescent="0.25">
      <c r="A80" s="51">
        <v>59</v>
      </c>
      <c r="B80" s="96">
        <f t="shared" si="6"/>
        <v>20.999999999999989</v>
      </c>
      <c r="C80" s="51">
        <v>1</v>
      </c>
      <c r="D80" s="96">
        <f t="shared" si="0"/>
        <v>20.999999999999989</v>
      </c>
      <c r="E80" s="51">
        <v>1</v>
      </c>
      <c r="F80" s="25">
        <v>1</v>
      </c>
      <c r="G80" s="96">
        <f t="shared" si="1"/>
        <v>20.999999999999989</v>
      </c>
    </row>
    <row r="81" spans="1:7" ht="13" x14ac:dyDescent="0.3">
      <c r="A81" s="51">
        <v>60</v>
      </c>
      <c r="B81" s="74">
        <f t="shared" si="6"/>
        <v>21.499999999999989</v>
      </c>
      <c r="C81" s="51">
        <v>1</v>
      </c>
      <c r="D81" s="96">
        <f t="shared" si="0"/>
        <v>21.499999999999989</v>
      </c>
      <c r="E81" s="51">
        <v>1</v>
      </c>
      <c r="F81" s="25">
        <v>1</v>
      </c>
      <c r="G81" s="96">
        <f t="shared" si="1"/>
        <v>21.499999999999989</v>
      </c>
    </row>
  </sheetData>
  <sheetProtection algorithmName="SHA-512" hashValue="QnX+BXilUfgYC8cRbSp8JPAIift9HfHopd9L8qVvLZ5uPrGRgP7sUeRDZ4f8mHx5VvVlr5l/UEWnyMgUcb0vig==" saltValue="Sc5g1FeFFc2jdXRg55sBQg==" spinCount="100000" sheet="1" objects="1" scenarios="1"/>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C3D9D-ABE9-4639-8876-F9FDD5615D7F}">
  <dimension ref="A2:V197"/>
  <sheetViews>
    <sheetView topLeftCell="B1" zoomScale="98" zoomScaleNormal="98" workbookViewId="0">
      <pane ySplit="17" topLeftCell="A18" activePane="bottomLeft" state="frozen"/>
      <selection activeCell="Q5" sqref="Q5"/>
      <selection pane="bottomLeft" activeCell="K19" sqref="K19"/>
    </sheetView>
  </sheetViews>
  <sheetFormatPr defaultColWidth="9.1796875" defaultRowHeight="12.5" x14ac:dyDescent="0.25"/>
  <cols>
    <col min="1" max="1" width="9.1796875" style="16"/>
    <col min="2" max="2" width="10.7265625" style="16" bestFit="1" customWidth="1"/>
    <col min="3" max="3" width="14.453125" style="16" bestFit="1" customWidth="1"/>
    <col min="4" max="11" width="12.54296875" style="16" bestFit="1" customWidth="1"/>
    <col min="12" max="13" width="15.453125" style="16" bestFit="1" customWidth="1"/>
    <col min="14" max="18" width="12.1796875" style="16" bestFit="1" customWidth="1"/>
    <col min="19" max="19" width="11.81640625" style="16" bestFit="1" customWidth="1"/>
    <col min="20" max="21" width="12.7265625" style="16" bestFit="1" customWidth="1"/>
    <col min="22" max="16384" width="9.1796875" style="16"/>
  </cols>
  <sheetData>
    <row r="2" spans="1:21" x14ac:dyDescent="0.25">
      <c r="B2" s="16" t="str">
        <f>'[1]Required Inputs'!A4</f>
        <v>G-HT-4404</v>
      </c>
      <c r="C2" s="16" t="s">
        <v>178</v>
      </c>
    </row>
    <row r="3" spans="1:21" x14ac:dyDescent="0.25">
      <c r="B3" s="16">
        <f>'[1]Drip Tube Data'!C32</f>
        <v>15.750000000000002</v>
      </c>
      <c r="C3" s="16" t="s">
        <v>161</v>
      </c>
    </row>
    <row r="4" spans="1:21" x14ac:dyDescent="0.25">
      <c r="B4" s="123">
        <f>'[1]Drip Tube Data'!C34</f>
        <v>20.933598531211754</v>
      </c>
      <c r="C4" s="16" t="s">
        <v>162</v>
      </c>
    </row>
    <row r="5" spans="1:21" x14ac:dyDescent="0.25">
      <c r="B5" s="123">
        <f>B4-B3</f>
        <v>5.1835985312117518</v>
      </c>
      <c r="C5" s="16" t="s">
        <v>163</v>
      </c>
    </row>
    <row r="7" spans="1:21" x14ac:dyDescent="0.25">
      <c r="B7" s="16" t="s">
        <v>179</v>
      </c>
      <c r="C7" s="16" t="s">
        <v>190</v>
      </c>
      <c r="D7" s="16" t="s">
        <v>181</v>
      </c>
      <c r="E7" s="16" t="s">
        <v>182</v>
      </c>
      <c r="F7" s="16" t="s">
        <v>183</v>
      </c>
      <c r="G7" s="16" t="s">
        <v>184</v>
      </c>
      <c r="H7" s="16" t="s">
        <v>185</v>
      </c>
      <c r="I7" s="16" t="s">
        <v>118</v>
      </c>
      <c r="J7" s="16" t="s">
        <v>186</v>
      </c>
      <c r="K7" s="16" t="s">
        <v>187</v>
      </c>
      <c r="L7" s="16" t="s">
        <v>188</v>
      </c>
      <c r="M7" s="16" t="s">
        <v>189</v>
      </c>
    </row>
    <row r="8" spans="1:21" x14ac:dyDescent="0.25">
      <c r="B8" s="16" t="s">
        <v>3</v>
      </c>
      <c r="C8" s="25">
        <f>C13</f>
        <v>0</v>
      </c>
      <c r="D8" s="25">
        <f>LOOKUP($B$3,$B$18:$B$197,D18:D197)</f>
        <v>2.734999999999999</v>
      </c>
      <c r="E8" s="25">
        <f>LOOKUP($B$3,$B$18:$B$197,E18:E197)</f>
        <v>2.734999999999999</v>
      </c>
      <c r="F8" s="25">
        <f t="shared" ref="F8:K8" si="0">LOOKUP($B$3,$B$18:$B$197,F18:F197)</f>
        <v>2.734999999999999</v>
      </c>
      <c r="G8" s="25">
        <f>LOOKUP($B$3,$B$18:$B$197,G18:G197)</f>
        <v>3.3349999999999991</v>
      </c>
      <c r="H8" s="25">
        <f>LOOKUP($B$3,$B$18:$B$197,H18:H197)</f>
        <v>3.3349999999999991</v>
      </c>
      <c r="I8" s="25">
        <f t="shared" si="0"/>
        <v>3.3349999999999991</v>
      </c>
      <c r="J8" s="25">
        <f>LOOKUP($B$3,$B$18:$B$197,J18:J197)</f>
        <v>3.3349999999999991</v>
      </c>
      <c r="K8" s="25">
        <f t="shared" si="0"/>
        <v>3.3349999999999991</v>
      </c>
      <c r="L8" s="25">
        <f>LOOKUP($B$3,$B$18:$B$197,T18:T197)</f>
        <v>5.6399999999999988</v>
      </c>
      <c r="M8" s="25">
        <f>LOOKUP($B$3,$B$18:$B$197,U18:U197)</f>
        <v>4.5</v>
      </c>
      <c r="O8" s="129"/>
    </row>
    <row r="9" spans="1:21" x14ac:dyDescent="0.25">
      <c r="B9" s="16" t="s">
        <v>2</v>
      </c>
      <c r="C9" s="25">
        <f>C14</f>
        <v>0</v>
      </c>
      <c r="D9" s="25">
        <f t="shared" ref="D9:K9" si="1">LOOKUP($B$4,$B$18:$B$197,D18:D197)</f>
        <v>3.469999999999998</v>
      </c>
      <c r="E9" s="25">
        <f t="shared" si="1"/>
        <v>3.469999999999998</v>
      </c>
      <c r="F9" s="25">
        <f t="shared" si="1"/>
        <v>3.469999999999998</v>
      </c>
      <c r="G9" s="25">
        <f t="shared" si="1"/>
        <v>4.1699999999999982</v>
      </c>
      <c r="H9" s="25">
        <f t="shared" si="1"/>
        <v>4.1699999999999982</v>
      </c>
      <c r="I9" s="25">
        <f t="shared" si="1"/>
        <v>4.1699999999999982</v>
      </c>
      <c r="J9" s="25">
        <f t="shared" si="1"/>
        <v>4.1699999999999982</v>
      </c>
      <c r="K9" s="25">
        <f t="shared" si="1"/>
        <v>4.1699999999999982</v>
      </c>
      <c r="L9" s="25">
        <f>LOOKUP($B$4,$B$18:$B$197,T18:T197)</f>
        <v>6.2999999999999972</v>
      </c>
      <c r="M9" s="25">
        <f>LOOKUP($B$4,$B$18:$B$197,U18:U197)</f>
        <v>4.7</v>
      </c>
    </row>
    <row r="10" spans="1:21" x14ac:dyDescent="0.25">
      <c r="L10" s="130"/>
    </row>
    <row r="12" spans="1:21" x14ac:dyDescent="0.25">
      <c r="A12" s="16" t="s">
        <v>179</v>
      </c>
      <c r="C12" s="57" t="s">
        <v>180</v>
      </c>
      <c r="D12" s="16" t="s">
        <v>181</v>
      </c>
      <c r="E12" s="16" t="s">
        <v>182</v>
      </c>
      <c r="F12" s="16" t="s">
        <v>183</v>
      </c>
      <c r="G12" s="16" t="s">
        <v>184</v>
      </c>
      <c r="H12" s="16" t="s">
        <v>185</v>
      </c>
      <c r="I12" s="16" t="s">
        <v>118</v>
      </c>
      <c r="J12" s="16" t="s">
        <v>186</v>
      </c>
      <c r="K12" s="16" t="s">
        <v>187</v>
      </c>
      <c r="L12" s="16">
        <v>6402</v>
      </c>
      <c r="M12" s="16">
        <v>6403</v>
      </c>
      <c r="N12" s="16">
        <v>6404</v>
      </c>
      <c r="O12" s="16">
        <v>6602</v>
      </c>
      <c r="P12" s="16">
        <v>6603</v>
      </c>
      <c r="Q12" s="16">
        <v>6604</v>
      </c>
      <c r="R12" s="16">
        <v>6605</v>
      </c>
      <c r="S12" s="16">
        <v>6606</v>
      </c>
      <c r="T12" s="16" t="s">
        <v>188</v>
      </c>
      <c r="U12" s="16" t="s">
        <v>189</v>
      </c>
    </row>
    <row r="13" spans="1:21" x14ac:dyDescent="0.25">
      <c r="A13" s="16" t="s">
        <v>3</v>
      </c>
      <c r="C13" s="130">
        <f t="shared" ref="C13:U13" si="2">LOOKUP($B$3,$B$18:$B$197,C18:C197)</f>
        <v>0</v>
      </c>
      <c r="D13" s="130">
        <f t="shared" si="2"/>
        <v>2.734999999999999</v>
      </c>
      <c r="E13" s="130">
        <f t="shared" si="2"/>
        <v>2.734999999999999</v>
      </c>
      <c r="F13" s="130">
        <f t="shared" si="2"/>
        <v>2.734999999999999</v>
      </c>
      <c r="G13" s="130">
        <f t="shared" si="2"/>
        <v>3.3349999999999991</v>
      </c>
      <c r="H13" s="130">
        <f t="shared" si="2"/>
        <v>3.3349999999999991</v>
      </c>
      <c r="I13" s="130">
        <f t="shared" si="2"/>
        <v>3.3349999999999991</v>
      </c>
      <c r="J13" s="130">
        <f t="shared" si="2"/>
        <v>3.3349999999999991</v>
      </c>
      <c r="K13" s="130">
        <f t="shared" si="2"/>
        <v>3.3349999999999991</v>
      </c>
      <c r="L13" s="130">
        <f t="shared" si="2"/>
        <v>2.5</v>
      </c>
      <c r="M13" s="130">
        <f t="shared" si="2"/>
        <v>2.5</v>
      </c>
      <c r="N13" s="130">
        <f t="shared" si="2"/>
        <v>2.5</v>
      </c>
      <c r="O13" s="130">
        <f t="shared" si="2"/>
        <v>3</v>
      </c>
      <c r="P13" s="130">
        <f t="shared" si="2"/>
        <v>3</v>
      </c>
      <c r="Q13" s="130">
        <f t="shared" si="2"/>
        <v>3</v>
      </c>
      <c r="R13" s="130">
        <f t="shared" si="2"/>
        <v>3</v>
      </c>
      <c r="S13" s="130">
        <f t="shared" si="2"/>
        <v>3</v>
      </c>
      <c r="T13" s="130">
        <f t="shared" si="2"/>
        <v>5.6399999999999988</v>
      </c>
      <c r="U13" s="130">
        <f t="shared" si="2"/>
        <v>4.5</v>
      </c>
    </row>
    <row r="14" spans="1:21" x14ac:dyDescent="0.25">
      <c r="A14" s="16" t="s">
        <v>2</v>
      </c>
      <c r="C14" s="130">
        <f t="shared" ref="C14:U14" si="3">LOOKUP($B$4,$B$18:$B$197,C18:C197)</f>
        <v>0</v>
      </c>
      <c r="D14" s="130">
        <f t="shared" si="3"/>
        <v>3.469999999999998</v>
      </c>
      <c r="E14" s="130">
        <f t="shared" si="3"/>
        <v>3.469999999999998</v>
      </c>
      <c r="F14" s="130">
        <f t="shared" si="3"/>
        <v>3.469999999999998</v>
      </c>
      <c r="G14" s="130">
        <f t="shared" si="3"/>
        <v>4.1699999999999982</v>
      </c>
      <c r="H14" s="130">
        <f t="shared" si="3"/>
        <v>4.1699999999999982</v>
      </c>
      <c r="I14" s="130">
        <f t="shared" si="3"/>
        <v>4.1699999999999982</v>
      </c>
      <c r="J14" s="130">
        <f t="shared" si="3"/>
        <v>4.1699999999999982</v>
      </c>
      <c r="K14" s="130">
        <f t="shared" si="3"/>
        <v>4.1699999999999982</v>
      </c>
      <c r="L14" s="130">
        <f t="shared" si="3"/>
        <v>2.5</v>
      </c>
      <c r="M14" s="130">
        <f t="shared" si="3"/>
        <v>2.5</v>
      </c>
      <c r="N14" s="130">
        <f t="shared" si="3"/>
        <v>2.5</v>
      </c>
      <c r="O14" s="130">
        <f t="shared" si="3"/>
        <v>3</v>
      </c>
      <c r="P14" s="130">
        <f t="shared" si="3"/>
        <v>3</v>
      </c>
      <c r="Q14" s="130">
        <f t="shared" si="3"/>
        <v>3</v>
      </c>
      <c r="R14" s="130">
        <f t="shared" si="3"/>
        <v>3</v>
      </c>
      <c r="S14" s="130">
        <f t="shared" si="3"/>
        <v>3</v>
      </c>
      <c r="T14" s="130">
        <f t="shared" si="3"/>
        <v>6.2999999999999972</v>
      </c>
      <c r="U14" s="130">
        <f t="shared" si="3"/>
        <v>4.7</v>
      </c>
    </row>
    <row r="17" spans="2:22" x14ac:dyDescent="0.25">
      <c r="B17" s="16" t="s">
        <v>5</v>
      </c>
      <c r="C17" s="57" t="s">
        <v>180</v>
      </c>
      <c r="D17" s="16" t="s">
        <v>181</v>
      </c>
      <c r="E17" s="16" t="s">
        <v>182</v>
      </c>
      <c r="F17" s="16" t="s">
        <v>183</v>
      </c>
      <c r="G17" s="16" t="s">
        <v>184</v>
      </c>
      <c r="H17" s="16" t="s">
        <v>185</v>
      </c>
      <c r="I17" s="16" t="s">
        <v>118</v>
      </c>
      <c r="J17" s="16" t="s">
        <v>186</v>
      </c>
      <c r="K17" s="16" t="s">
        <v>187</v>
      </c>
      <c r="L17" s="16">
        <v>6402</v>
      </c>
      <c r="M17" s="16">
        <v>6403</v>
      </c>
      <c r="N17" s="16">
        <v>6404</v>
      </c>
      <c r="O17" s="16">
        <v>6602</v>
      </c>
      <c r="P17" s="16">
        <v>6603</v>
      </c>
      <c r="Q17" s="16">
        <v>6604</v>
      </c>
      <c r="R17" s="16">
        <v>6605</v>
      </c>
      <c r="S17" s="16">
        <v>6606</v>
      </c>
      <c r="T17" s="16" t="s">
        <v>191</v>
      </c>
      <c r="U17" s="16" t="s">
        <v>192</v>
      </c>
      <c r="V17" s="16" t="s">
        <v>5</v>
      </c>
    </row>
    <row r="18" spans="2:22" x14ac:dyDescent="0.25">
      <c r="B18" s="16">
        <v>1</v>
      </c>
      <c r="C18" s="130">
        <v>0</v>
      </c>
      <c r="D18" s="16" t="s">
        <v>193</v>
      </c>
      <c r="E18" s="16" t="s">
        <v>193</v>
      </c>
      <c r="F18" s="16" t="s">
        <v>193</v>
      </c>
      <c r="G18" s="16" t="s">
        <v>193</v>
      </c>
      <c r="H18" s="16" t="s">
        <v>193</v>
      </c>
      <c r="I18" s="16" t="s">
        <v>193</v>
      </c>
      <c r="J18" s="16" t="s">
        <v>193</v>
      </c>
      <c r="K18" s="16" t="s">
        <v>193</v>
      </c>
      <c r="L18" s="16" t="s">
        <v>193</v>
      </c>
      <c r="M18" s="16" t="s">
        <v>193</v>
      </c>
      <c r="N18" s="16" t="s">
        <v>193</v>
      </c>
      <c r="O18" s="16" t="s">
        <v>193</v>
      </c>
      <c r="P18" s="16" t="s">
        <v>193</v>
      </c>
      <c r="Q18" s="16" t="s">
        <v>193</v>
      </c>
      <c r="R18" s="16" t="s">
        <v>193</v>
      </c>
      <c r="S18" s="16" t="s">
        <v>193</v>
      </c>
      <c r="T18" s="16" t="s">
        <v>193</v>
      </c>
      <c r="U18" s="16" t="s">
        <v>193</v>
      </c>
      <c r="V18" s="16">
        <v>1</v>
      </c>
    </row>
    <row r="19" spans="2:22" x14ac:dyDescent="0.25">
      <c r="B19" s="16">
        <v>2</v>
      </c>
      <c r="C19" s="130">
        <v>0</v>
      </c>
      <c r="D19" s="16" t="s">
        <v>193</v>
      </c>
      <c r="E19" s="16" t="s">
        <v>193</v>
      </c>
      <c r="F19" s="16" t="s">
        <v>193</v>
      </c>
      <c r="G19" s="16" t="s">
        <v>193</v>
      </c>
      <c r="H19" s="16" t="s">
        <v>193</v>
      </c>
      <c r="I19" s="16" t="s">
        <v>193</v>
      </c>
      <c r="J19" s="16" t="s">
        <v>193</v>
      </c>
      <c r="K19" s="16" t="s">
        <v>193</v>
      </c>
      <c r="L19" s="16" t="s">
        <v>193</v>
      </c>
      <c r="M19" s="16" t="s">
        <v>193</v>
      </c>
      <c r="N19" s="16" t="s">
        <v>193</v>
      </c>
      <c r="O19" s="16" t="s">
        <v>193</v>
      </c>
      <c r="P19" s="16" t="s">
        <v>193</v>
      </c>
      <c r="Q19" s="16" t="s">
        <v>193</v>
      </c>
      <c r="R19" s="16" t="s">
        <v>193</v>
      </c>
      <c r="S19" s="16" t="s">
        <v>193</v>
      </c>
      <c r="T19" s="16" t="s">
        <v>193</v>
      </c>
      <c r="U19" s="16" t="s">
        <v>193</v>
      </c>
      <c r="V19" s="16">
        <v>2</v>
      </c>
    </row>
    <row r="20" spans="2:22" x14ac:dyDescent="0.25">
      <c r="B20" s="16">
        <v>3</v>
      </c>
      <c r="C20" s="130">
        <v>0</v>
      </c>
      <c r="D20" s="16" t="s">
        <v>193</v>
      </c>
      <c r="E20" s="16" t="s">
        <v>193</v>
      </c>
      <c r="F20" s="16" t="s">
        <v>193</v>
      </c>
      <c r="G20" s="16" t="s">
        <v>193</v>
      </c>
      <c r="H20" s="16" t="s">
        <v>193</v>
      </c>
      <c r="I20" s="16" t="s">
        <v>193</v>
      </c>
      <c r="J20" s="16" t="s">
        <v>193</v>
      </c>
      <c r="K20" s="16" t="s">
        <v>193</v>
      </c>
      <c r="L20" s="16" t="s">
        <v>193</v>
      </c>
      <c r="M20" s="16" t="s">
        <v>193</v>
      </c>
      <c r="N20" s="16" t="s">
        <v>193</v>
      </c>
      <c r="O20" s="16" t="s">
        <v>193</v>
      </c>
      <c r="P20" s="16" t="s">
        <v>193</v>
      </c>
      <c r="Q20" s="16" t="s">
        <v>193</v>
      </c>
      <c r="R20" s="16" t="s">
        <v>193</v>
      </c>
      <c r="S20" s="16" t="s">
        <v>193</v>
      </c>
      <c r="T20" s="16" t="s">
        <v>193</v>
      </c>
      <c r="U20" s="16" t="s">
        <v>193</v>
      </c>
      <c r="V20" s="16">
        <v>3</v>
      </c>
    </row>
    <row r="21" spans="2:22" x14ac:dyDescent="0.25">
      <c r="B21" s="16">
        <v>4</v>
      </c>
      <c r="C21" s="130">
        <v>0</v>
      </c>
      <c r="D21" s="16" t="s">
        <v>193</v>
      </c>
      <c r="E21" s="16" t="s">
        <v>193</v>
      </c>
      <c r="F21" s="16" t="s">
        <v>193</v>
      </c>
      <c r="G21" s="16" t="s">
        <v>193</v>
      </c>
      <c r="H21" s="16" t="s">
        <v>193</v>
      </c>
      <c r="I21" s="16" t="s">
        <v>193</v>
      </c>
      <c r="J21" s="16" t="s">
        <v>193</v>
      </c>
      <c r="K21" s="16" t="s">
        <v>193</v>
      </c>
      <c r="L21" s="16" t="s">
        <v>193</v>
      </c>
      <c r="M21" s="16" t="s">
        <v>193</v>
      </c>
      <c r="N21" s="16" t="s">
        <v>193</v>
      </c>
      <c r="O21" s="16" t="s">
        <v>193</v>
      </c>
      <c r="P21" s="16" t="s">
        <v>193</v>
      </c>
      <c r="Q21" s="16" t="s">
        <v>193</v>
      </c>
      <c r="R21" s="16" t="s">
        <v>193</v>
      </c>
      <c r="S21" s="16" t="s">
        <v>193</v>
      </c>
      <c r="T21" s="16" t="s">
        <v>193</v>
      </c>
      <c r="U21" s="16" t="s">
        <v>193</v>
      </c>
      <c r="V21" s="16">
        <v>4</v>
      </c>
    </row>
    <row r="22" spans="2:22" x14ac:dyDescent="0.25">
      <c r="B22" s="16">
        <v>5</v>
      </c>
      <c r="C22" s="130">
        <v>0</v>
      </c>
      <c r="D22" s="16" t="s">
        <v>193</v>
      </c>
      <c r="E22" s="16" t="s">
        <v>193</v>
      </c>
      <c r="F22" s="16" t="s">
        <v>193</v>
      </c>
      <c r="G22" s="16" t="s">
        <v>193</v>
      </c>
      <c r="H22" s="16" t="s">
        <v>193</v>
      </c>
      <c r="I22" s="16" t="s">
        <v>193</v>
      </c>
      <c r="J22" s="16" t="s">
        <v>193</v>
      </c>
      <c r="K22" s="16" t="s">
        <v>193</v>
      </c>
      <c r="L22" s="16" t="s">
        <v>193</v>
      </c>
      <c r="M22" s="16" t="s">
        <v>193</v>
      </c>
      <c r="N22" s="16" t="s">
        <v>193</v>
      </c>
      <c r="O22" s="16" t="s">
        <v>193</v>
      </c>
      <c r="P22" s="16" t="s">
        <v>193</v>
      </c>
      <c r="Q22" s="16" t="s">
        <v>193</v>
      </c>
      <c r="R22" s="16" t="s">
        <v>193</v>
      </c>
      <c r="S22" s="16" t="s">
        <v>193</v>
      </c>
      <c r="T22" s="130">
        <v>4.5999999999999996</v>
      </c>
      <c r="U22" s="16" t="s">
        <v>193</v>
      </c>
      <c r="V22" s="16">
        <v>5</v>
      </c>
    </row>
    <row r="23" spans="2:22" x14ac:dyDescent="0.25">
      <c r="B23" s="16">
        <v>6</v>
      </c>
      <c r="C23" s="130">
        <v>0</v>
      </c>
      <c r="D23" s="131">
        <v>2</v>
      </c>
      <c r="E23" s="131">
        <f>D23</f>
        <v>2</v>
      </c>
      <c r="F23" s="131">
        <f>E23</f>
        <v>2</v>
      </c>
      <c r="G23" s="131">
        <v>2.5</v>
      </c>
      <c r="H23" s="131">
        <v>2.5</v>
      </c>
      <c r="I23" s="131">
        <v>2.5</v>
      </c>
      <c r="J23" s="131">
        <v>2.5</v>
      </c>
      <c r="K23" s="131">
        <v>2.5</v>
      </c>
      <c r="L23" s="131">
        <v>2.5</v>
      </c>
      <c r="M23" s="131">
        <v>2.5</v>
      </c>
      <c r="N23" s="131">
        <v>2.5</v>
      </c>
      <c r="O23" s="131">
        <v>3</v>
      </c>
      <c r="P23" s="131">
        <v>3</v>
      </c>
      <c r="Q23" s="131">
        <v>3</v>
      </c>
      <c r="R23" s="131">
        <v>3</v>
      </c>
      <c r="S23" s="131">
        <v>3</v>
      </c>
      <c r="T23" s="130">
        <v>4.6500000000000004</v>
      </c>
      <c r="U23" s="16" t="s">
        <v>193</v>
      </c>
      <c r="V23" s="16">
        <v>6</v>
      </c>
    </row>
    <row r="24" spans="2:22" x14ac:dyDescent="0.25">
      <c r="B24" s="16">
        <v>7</v>
      </c>
      <c r="C24" s="130">
        <v>0</v>
      </c>
      <c r="D24" s="131">
        <v>2</v>
      </c>
      <c r="E24" s="131">
        <f t="shared" ref="E24:F39" si="4">D24</f>
        <v>2</v>
      </c>
      <c r="F24" s="131">
        <f t="shared" si="4"/>
        <v>2</v>
      </c>
      <c r="G24" s="131">
        <v>2.5</v>
      </c>
      <c r="H24" s="131">
        <v>2.5</v>
      </c>
      <c r="I24" s="131">
        <v>2.5</v>
      </c>
      <c r="J24" s="131">
        <v>2.5</v>
      </c>
      <c r="K24" s="131">
        <v>2.5</v>
      </c>
      <c r="L24" s="131">
        <v>2.5</v>
      </c>
      <c r="M24" s="131">
        <v>2.5</v>
      </c>
      <c r="N24" s="131">
        <v>2.5</v>
      </c>
      <c r="O24" s="131">
        <v>3</v>
      </c>
      <c r="P24" s="131">
        <v>3</v>
      </c>
      <c r="Q24" s="131">
        <v>3</v>
      </c>
      <c r="R24" s="131">
        <v>3</v>
      </c>
      <c r="S24" s="131">
        <v>3</v>
      </c>
      <c r="T24" s="130">
        <v>4.71</v>
      </c>
      <c r="U24" s="16" t="s">
        <v>193</v>
      </c>
      <c r="V24" s="16">
        <v>7</v>
      </c>
    </row>
    <row r="25" spans="2:22" x14ac:dyDescent="0.25">
      <c r="B25" s="16">
        <v>8</v>
      </c>
      <c r="C25" s="130">
        <v>0</v>
      </c>
      <c r="D25" s="131">
        <v>2</v>
      </c>
      <c r="E25" s="131">
        <f t="shared" si="4"/>
        <v>2</v>
      </c>
      <c r="F25" s="131">
        <f t="shared" si="4"/>
        <v>2</v>
      </c>
      <c r="G25" s="131">
        <v>2.5</v>
      </c>
      <c r="H25" s="131">
        <v>2.5</v>
      </c>
      <c r="I25" s="131">
        <v>2.5</v>
      </c>
      <c r="J25" s="131">
        <v>2.5</v>
      </c>
      <c r="K25" s="131">
        <v>2.5</v>
      </c>
      <c r="L25" s="131">
        <v>2.5</v>
      </c>
      <c r="M25" s="131">
        <v>2.5</v>
      </c>
      <c r="N25" s="131">
        <v>2.5</v>
      </c>
      <c r="O25" s="131">
        <v>3</v>
      </c>
      <c r="P25" s="131">
        <v>3</v>
      </c>
      <c r="Q25" s="131">
        <v>3</v>
      </c>
      <c r="R25" s="131">
        <v>3</v>
      </c>
      <c r="S25" s="131">
        <v>3</v>
      </c>
      <c r="T25" s="130">
        <v>4.8</v>
      </c>
      <c r="U25" s="16" t="s">
        <v>193</v>
      </c>
      <c r="V25" s="16">
        <v>8</v>
      </c>
    </row>
    <row r="26" spans="2:22" x14ac:dyDescent="0.25">
      <c r="B26" s="16">
        <v>9</v>
      </c>
      <c r="C26" s="130">
        <v>0</v>
      </c>
      <c r="D26" s="131">
        <v>2</v>
      </c>
      <c r="E26" s="131">
        <f t="shared" si="4"/>
        <v>2</v>
      </c>
      <c r="F26" s="131">
        <f t="shared" si="4"/>
        <v>2</v>
      </c>
      <c r="G26" s="131">
        <v>2.5</v>
      </c>
      <c r="H26" s="131">
        <v>2.5</v>
      </c>
      <c r="I26" s="131">
        <v>2.5</v>
      </c>
      <c r="J26" s="131">
        <v>2.5</v>
      </c>
      <c r="K26" s="131">
        <v>2.5</v>
      </c>
      <c r="L26" s="131">
        <v>2.5</v>
      </c>
      <c r="M26" s="131">
        <v>2.5</v>
      </c>
      <c r="N26" s="131">
        <v>2.5</v>
      </c>
      <c r="O26" s="131">
        <v>3</v>
      </c>
      <c r="P26" s="131">
        <v>3</v>
      </c>
      <c r="Q26" s="131">
        <v>3</v>
      </c>
      <c r="R26" s="131">
        <v>3</v>
      </c>
      <c r="S26" s="131">
        <v>3</v>
      </c>
      <c r="T26" s="130">
        <v>4.8899999999999997</v>
      </c>
      <c r="U26" s="16" t="s">
        <v>193</v>
      </c>
      <c r="V26" s="16">
        <v>9</v>
      </c>
    </row>
    <row r="27" spans="2:22" ht="13" x14ac:dyDescent="0.3">
      <c r="B27" s="16">
        <v>10</v>
      </c>
      <c r="C27" s="130">
        <v>0</v>
      </c>
      <c r="D27" s="132">
        <v>2</v>
      </c>
      <c r="E27" s="132">
        <f t="shared" si="4"/>
        <v>2</v>
      </c>
      <c r="F27" s="132">
        <f t="shared" si="4"/>
        <v>2</v>
      </c>
      <c r="G27" s="132">
        <v>2.5</v>
      </c>
      <c r="H27" s="132">
        <v>2.5</v>
      </c>
      <c r="I27" s="132">
        <v>2.5</v>
      </c>
      <c r="J27" s="132">
        <v>2.5</v>
      </c>
      <c r="K27" s="132">
        <v>2.5</v>
      </c>
      <c r="L27" s="105">
        <v>2.5</v>
      </c>
      <c r="M27" s="105">
        <v>2.5</v>
      </c>
      <c r="N27" s="105">
        <v>2.5</v>
      </c>
      <c r="O27" s="105">
        <v>3</v>
      </c>
      <c r="P27" s="105">
        <v>3</v>
      </c>
      <c r="Q27" s="105">
        <v>3</v>
      </c>
      <c r="R27" s="105">
        <v>3</v>
      </c>
      <c r="S27" s="105">
        <v>3</v>
      </c>
      <c r="T27" s="105">
        <v>4.9800000000000004</v>
      </c>
      <c r="U27" s="16" t="s">
        <v>193</v>
      </c>
      <c r="V27" s="16">
        <v>10</v>
      </c>
    </row>
    <row r="28" spans="2:22" x14ac:dyDescent="0.25">
      <c r="B28" s="16">
        <v>11</v>
      </c>
      <c r="C28" s="130">
        <v>0</v>
      </c>
      <c r="D28" s="131">
        <f>D27+0.147</f>
        <v>2.1469999999999998</v>
      </c>
      <c r="E28" s="131">
        <f t="shared" si="4"/>
        <v>2.1469999999999998</v>
      </c>
      <c r="F28" s="131">
        <f t="shared" si="4"/>
        <v>2.1469999999999998</v>
      </c>
      <c r="G28" s="131">
        <f>G27+0.167</f>
        <v>2.6669999999999998</v>
      </c>
      <c r="H28" s="131">
        <f t="shared" ref="H28:K43" si="5">H27+0.167</f>
        <v>2.6669999999999998</v>
      </c>
      <c r="I28" s="131">
        <f t="shared" si="5"/>
        <v>2.6669999999999998</v>
      </c>
      <c r="J28" s="131">
        <f t="shared" si="5"/>
        <v>2.6669999999999998</v>
      </c>
      <c r="K28" s="131">
        <f t="shared" si="5"/>
        <v>2.6669999999999998</v>
      </c>
      <c r="L28" s="131">
        <v>2.5</v>
      </c>
      <c r="M28" s="131">
        <v>2.5</v>
      </c>
      <c r="N28" s="131">
        <v>2.5</v>
      </c>
      <c r="O28" s="131">
        <v>3</v>
      </c>
      <c r="P28" s="131">
        <v>3</v>
      </c>
      <c r="Q28" s="131">
        <v>3</v>
      </c>
      <c r="R28" s="131">
        <v>3</v>
      </c>
      <c r="S28" s="131">
        <v>3</v>
      </c>
      <c r="T28" s="130">
        <f>T27+0.132</f>
        <v>5.1120000000000001</v>
      </c>
      <c r="U28" s="16" t="s">
        <v>193</v>
      </c>
      <c r="V28" s="16">
        <v>11</v>
      </c>
    </row>
    <row r="29" spans="2:22" x14ac:dyDescent="0.25">
      <c r="B29" s="16">
        <v>12</v>
      </c>
      <c r="C29" s="130">
        <v>0</v>
      </c>
      <c r="D29" s="131">
        <f t="shared" ref="D29:D56" si="6">D28+0.147</f>
        <v>2.2939999999999996</v>
      </c>
      <c r="E29" s="131">
        <f t="shared" si="4"/>
        <v>2.2939999999999996</v>
      </c>
      <c r="F29" s="131">
        <f t="shared" si="4"/>
        <v>2.2939999999999996</v>
      </c>
      <c r="G29" s="131">
        <f t="shared" ref="G29:K44" si="7">G28+0.167</f>
        <v>2.8339999999999996</v>
      </c>
      <c r="H29" s="131">
        <f t="shared" si="5"/>
        <v>2.8339999999999996</v>
      </c>
      <c r="I29" s="131">
        <f t="shared" si="5"/>
        <v>2.8339999999999996</v>
      </c>
      <c r="J29" s="131">
        <f t="shared" si="5"/>
        <v>2.8339999999999996</v>
      </c>
      <c r="K29" s="131">
        <f t="shared" si="5"/>
        <v>2.8339999999999996</v>
      </c>
      <c r="L29" s="131">
        <v>2.5</v>
      </c>
      <c r="M29" s="131">
        <v>2.5</v>
      </c>
      <c r="N29" s="131">
        <v>2.5</v>
      </c>
      <c r="O29" s="131">
        <v>3</v>
      </c>
      <c r="P29" s="131">
        <v>3</v>
      </c>
      <c r="Q29" s="131">
        <v>3</v>
      </c>
      <c r="R29" s="131">
        <v>3</v>
      </c>
      <c r="S29" s="131">
        <v>3</v>
      </c>
      <c r="T29" s="130">
        <f t="shared" ref="T29:T37" si="8">T28+0.132</f>
        <v>5.2439999999999998</v>
      </c>
      <c r="U29" s="16" t="s">
        <v>193</v>
      </c>
      <c r="V29" s="16">
        <v>12</v>
      </c>
    </row>
    <row r="30" spans="2:22" x14ac:dyDescent="0.25">
      <c r="B30" s="16">
        <v>13</v>
      </c>
      <c r="C30" s="130">
        <v>0</v>
      </c>
      <c r="D30" s="131">
        <f t="shared" si="6"/>
        <v>2.4409999999999994</v>
      </c>
      <c r="E30" s="131">
        <f t="shared" si="4"/>
        <v>2.4409999999999994</v>
      </c>
      <c r="F30" s="131">
        <f t="shared" si="4"/>
        <v>2.4409999999999994</v>
      </c>
      <c r="G30" s="131">
        <f t="shared" si="7"/>
        <v>3.0009999999999994</v>
      </c>
      <c r="H30" s="131">
        <f t="shared" si="5"/>
        <v>3.0009999999999994</v>
      </c>
      <c r="I30" s="131">
        <f t="shared" si="5"/>
        <v>3.0009999999999994</v>
      </c>
      <c r="J30" s="131">
        <f t="shared" si="5"/>
        <v>3.0009999999999994</v>
      </c>
      <c r="K30" s="131">
        <f t="shared" si="5"/>
        <v>3.0009999999999994</v>
      </c>
      <c r="L30" s="131">
        <v>2.5</v>
      </c>
      <c r="M30" s="131">
        <v>2.5</v>
      </c>
      <c r="N30" s="131">
        <v>2.5</v>
      </c>
      <c r="O30" s="131">
        <v>3</v>
      </c>
      <c r="P30" s="131">
        <v>3</v>
      </c>
      <c r="Q30" s="131">
        <v>3</v>
      </c>
      <c r="R30" s="131">
        <v>3</v>
      </c>
      <c r="S30" s="131">
        <v>3</v>
      </c>
      <c r="T30" s="130">
        <f t="shared" si="8"/>
        <v>5.3759999999999994</v>
      </c>
      <c r="U30" s="16" t="s">
        <v>193</v>
      </c>
      <c r="V30" s="16">
        <v>13</v>
      </c>
    </row>
    <row r="31" spans="2:22" x14ac:dyDescent="0.25">
      <c r="B31" s="16">
        <v>14</v>
      </c>
      <c r="C31" s="130">
        <v>0</v>
      </c>
      <c r="D31" s="131">
        <f t="shared" si="6"/>
        <v>2.5879999999999992</v>
      </c>
      <c r="E31" s="131">
        <f t="shared" si="4"/>
        <v>2.5879999999999992</v>
      </c>
      <c r="F31" s="131">
        <f t="shared" si="4"/>
        <v>2.5879999999999992</v>
      </c>
      <c r="G31" s="131">
        <f t="shared" si="7"/>
        <v>3.1679999999999993</v>
      </c>
      <c r="H31" s="131">
        <f t="shared" si="5"/>
        <v>3.1679999999999993</v>
      </c>
      <c r="I31" s="131">
        <f t="shared" si="5"/>
        <v>3.1679999999999993</v>
      </c>
      <c r="J31" s="131">
        <f t="shared" si="5"/>
        <v>3.1679999999999993</v>
      </c>
      <c r="K31" s="131">
        <f t="shared" si="5"/>
        <v>3.1679999999999993</v>
      </c>
      <c r="L31" s="131">
        <v>2.5</v>
      </c>
      <c r="M31" s="131">
        <v>2.5</v>
      </c>
      <c r="N31" s="131">
        <v>2.5</v>
      </c>
      <c r="O31" s="131">
        <v>3</v>
      </c>
      <c r="P31" s="131">
        <v>3</v>
      </c>
      <c r="Q31" s="131">
        <v>3</v>
      </c>
      <c r="R31" s="131">
        <v>3</v>
      </c>
      <c r="S31" s="131">
        <v>3</v>
      </c>
      <c r="T31" s="130">
        <f t="shared" si="8"/>
        <v>5.5079999999999991</v>
      </c>
      <c r="U31" s="16" t="s">
        <v>193</v>
      </c>
      <c r="V31" s="16">
        <v>14</v>
      </c>
    </row>
    <row r="32" spans="2:22" x14ac:dyDescent="0.25">
      <c r="B32" s="16">
        <v>15</v>
      </c>
      <c r="C32" s="130">
        <v>0</v>
      </c>
      <c r="D32" s="131">
        <f t="shared" si="6"/>
        <v>2.734999999999999</v>
      </c>
      <c r="E32" s="131">
        <f t="shared" si="4"/>
        <v>2.734999999999999</v>
      </c>
      <c r="F32" s="131">
        <f t="shared" si="4"/>
        <v>2.734999999999999</v>
      </c>
      <c r="G32" s="131">
        <f t="shared" si="7"/>
        <v>3.3349999999999991</v>
      </c>
      <c r="H32" s="131">
        <f t="shared" si="5"/>
        <v>3.3349999999999991</v>
      </c>
      <c r="I32" s="131">
        <f t="shared" si="5"/>
        <v>3.3349999999999991</v>
      </c>
      <c r="J32" s="131">
        <f t="shared" si="5"/>
        <v>3.3349999999999991</v>
      </c>
      <c r="K32" s="131">
        <f t="shared" si="5"/>
        <v>3.3349999999999991</v>
      </c>
      <c r="L32" s="131">
        <v>2.5</v>
      </c>
      <c r="M32" s="131">
        <v>2.5</v>
      </c>
      <c r="N32" s="131">
        <v>2.5</v>
      </c>
      <c r="O32" s="131">
        <v>3</v>
      </c>
      <c r="P32" s="131">
        <v>3</v>
      </c>
      <c r="Q32" s="131">
        <v>3</v>
      </c>
      <c r="R32" s="131">
        <v>3</v>
      </c>
      <c r="S32" s="131">
        <v>3</v>
      </c>
      <c r="T32" s="130">
        <f t="shared" si="8"/>
        <v>5.6399999999999988</v>
      </c>
      <c r="U32" s="130">
        <v>4.5</v>
      </c>
      <c r="V32" s="16">
        <v>15</v>
      </c>
    </row>
    <row r="33" spans="2:22" x14ac:dyDescent="0.25">
      <c r="B33" s="16">
        <v>16</v>
      </c>
      <c r="C33" s="130">
        <v>0</v>
      </c>
      <c r="D33" s="131">
        <f t="shared" si="6"/>
        <v>2.8819999999999988</v>
      </c>
      <c r="E33" s="131">
        <f t="shared" si="4"/>
        <v>2.8819999999999988</v>
      </c>
      <c r="F33" s="131">
        <f t="shared" si="4"/>
        <v>2.8819999999999988</v>
      </c>
      <c r="G33" s="131">
        <f t="shared" si="7"/>
        <v>3.5019999999999989</v>
      </c>
      <c r="H33" s="131">
        <f t="shared" si="5"/>
        <v>3.5019999999999989</v>
      </c>
      <c r="I33" s="131">
        <f t="shared" si="5"/>
        <v>3.5019999999999989</v>
      </c>
      <c r="J33" s="131">
        <f t="shared" si="5"/>
        <v>3.5019999999999989</v>
      </c>
      <c r="K33" s="131">
        <f t="shared" si="5"/>
        <v>3.5019999999999989</v>
      </c>
      <c r="L33" s="131">
        <v>2.5</v>
      </c>
      <c r="M33" s="131">
        <v>2.5</v>
      </c>
      <c r="N33" s="131">
        <v>2.5</v>
      </c>
      <c r="O33" s="131">
        <v>3</v>
      </c>
      <c r="P33" s="131">
        <v>3</v>
      </c>
      <c r="Q33" s="131">
        <v>3</v>
      </c>
      <c r="R33" s="131">
        <v>3</v>
      </c>
      <c r="S33" s="131">
        <v>3</v>
      </c>
      <c r="T33" s="130">
        <f t="shared" si="8"/>
        <v>5.7719999999999985</v>
      </c>
      <c r="U33" s="130">
        <f>U32+0.04</f>
        <v>4.54</v>
      </c>
      <c r="V33" s="16">
        <v>16</v>
      </c>
    </row>
    <row r="34" spans="2:22" x14ac:dyDescent="0.25">
      <c r="B34" s="16">
        <v>17</v>
      </c>
      <c r="C34" s="130">
        <v>0</v>
      </c>
      <c r="D34" s="131">
        <f t="shared" si="6"/>
        <v>3.0289999999999986</v>
      </c>
      <c r="E34" s="131">
        <f t="shared" si="4"/>
        <v>3.0289999999999986</v>
      </c>
      <c r="F34" s="131">
        <f t="shared" si="4"/>
        <v>3.0289999999999986</v>
      </c>
      <c r="G34" s="131">
        <f t="shared" si="7"/>
        <v>3.6689999999999987</v>
      </c>
      <c r="H34" s="131">
        <f t="shared" si="5"/>
        <v>3.6689999999999987</v>
      </c>
      <c r="I34" s="131">
        <f t="shared" si="5"/>
        <v>3.6689999999999987</v>
      </c>
      <c r="J34" s="131">
        <f t="shared" si="5"/>
        <v>3.6689999999999987</v>
      </c>
      <c r="K34" s="131">
        <f t="shared" si="5"/>
        <v>3.6689999999999987</v>
      </c>
      <c r="L34" s="131">
        <v>2.5</v>
      </c>
      <c r="M34" s="131">
        <v>2.5</v>
      </c>
      <c r="N34" s="131">
        <v>2.5</v>
      </c>
      <c r="O34" s="131">
        <v>3</v>
      </c>
      <c r="P34" s="131">
        <v>3</v>
      </c>
      <c r="Q34" s="131">
        <v>3</v>
      </c>
      <c r="R34" s="131">
        <v>3</v>
      </c>
      <c r="S34" s="131">
        <v>3</v>
      </c>
      <c r="T34" s="130">
        <f t="shared" si="8"/>
        <v>5.9039999999999981</v>
      </c>
      <c r="U34" s="130">
        <f t="shared" ref="U34:U37" si="9">U33+0.04</f>
        <v>4.58</v>
      </c>
      <c r="V34" s="16">
        <v>17</v>
      </c>
    </row>
    <row r="35" spans="2:22" x14ac:dyDescent="0.25">
      <c r="B35" s="16">
        <v>18</v>
      </c>
      <c r="C35" s="130">
        <v>0</v>
      </c>
      <c r="D35" s="131">
        <f t="shared" si="6"/>
        <v>3.1759999999999984</v>
      </c>
      <c r="E35" s="131">
        <f t="shared" si="4"/>
        <v>3.1759999999999984</v>
      </c>
      <c r="F35" s="131">
        <f t="shared" si="4"/>
        <v>3.1759999999999984</v>
      </c>
      <c r="G35" s="131">
        <f t="shared" si="7"/>
        <v>3.8359999999999985</v>
      </c>
      <c r="H35" s="131">
        <f t="shared" si="5"/>
        <v>3.8359999999999985</v>
      </c>
      <c r="I35" s="131">
        <f t="shared" si="5"/>
        <v>3.8359999999999985</v>
      </c>
      <c r="J35" s="131">
        <f t="shared" si="5"/>
        <v>3.8359999999999985</v>
      </c>
      <c r="K35" s="131">
        <f t="shared" si="5"/>
        <v>3.8359999999999985</v>
      </c>
      <c r="L35" s="131">
        <v>2.5</v>
      </c>
      <c r="M35" s="131">
        <v>2.5</v>
      </c>
      <c r="N35" s="131">
        <v>2.5</v>
      </c>
      <c r="O35" s="131">
        <v>3</v>
      </c>
      <c r="P35" s="131">
        <v>3</v>
      </c>
      <c r="Q35" s="131">
        <v>3</v>
      </c>
      <c r="R35" s="131">
        <v>3</v>
      </c>
      <c r="S35" s="131">
        <v>3</v>
      </c>
      <c r="T35" s="130">
        <f t="shared" si="8"/>
        <v>6.0359999999999978</v>
      </c>
      <c r="U35" s="130">
        <f t="shared" si="9"/>
        <v>4.62</v>
      </c>
      <c r="V35" s="16">
        <v>18</v>
      </c>
    </row>
    <row r="36" spans="2:22" x14ac:dyDescent="0.25">
      <c r="B36" s="16">
        <v>19</v>
      </c>
      <c r="C36" s="130">
        <v>0</v>
      </c>
      <c r="D36" s="131">
        <f t="shared" si="6"/>
        <v>3.3229999999999982</v>
      </c>
      <c r="E36" s="131">
        <f t="shared" si="4"/>
        <v>3.3229999999999982</v>
      </c>
      <c r="F36" s="131">
        <f t="shared" si="4"/>
        <v>3.3229999999999982</v>
      </c>
      <c r="G36" s="131">
        <f t="shared" si="7"/>
        <v>4.0029999999999983</v>
      </c>
      <c r="H36" s="131">
        <f t="shared" si="5"/>
        <v>4.0029999999999983</v>
      </c>
      <c r="I36" s="131">
        <f t="shared" si="5"/>
        <v>4.0029999999999983</v>
      </c>
      <c r="J36" s="131">
        <f t="shared" si="5"/>
        <v>4.0029999999999983</v>
      </c>
      <c r="K36" s="131">
        <f t="shared" si="5"/>
        <v>4.0029999999999983</v>
      </c>
      <c r="L36" s="131">
        <v>2.5</v>
      </c>
      <c r="M36" s="131">
        <v>2.5</v>
      </c>
      <c r="N36" s="131">
        <v>2.5</v>
      </c>
      <c r="O36" s="131">
        <v>3</v>
      </c>
      <c r="P36" s="131">
        <v>3</v>
      </c>
      <c r="Q36" s="131">
        <v>3</v>
      </c>
      <c r="R36" s="131">
        <v>3</v>
      </c>
      <c r="S36" s="131">
        <v>3</v>
      </c>
      <c r="T36" s="130">
        <f t="shared" si="8"/>
        <v>6.1679999999999975</v>
      </c>
      <c r="U36" s="130">
        <f t="shared" si="9"/>
        <v>4.66</v>
      </c>
      <c r="V36" s="16">
        <v>19</v>
      </c>
    </row>
    <row r="37" spans="2:22" ht="13" x14ac:dyDescent="0.3">
      <c r="B37" s="16">
        <v>20</v>
      </c>
      <c r="C37" s="130">
        <v>0</v>
      </c>
      <c r="D37" s="132">
        <f t="shared" si="6"/>
        <v>3.469999999999998</v>
      </c>
      <c r="E37" s="132">
        <f t="shared" si="4"/>
        <v>3.469999999999998</v>
      </c>
      <c r="F37" s="132">
        <f t="shared" si="4"/>
        <v>3.469999999999998</v>
      </c>
      <c r="G37" s="132">
        <f t="shared" si="7"/>
        <v>4.1699999999999982</v>
      </c>
      <c r="H37" s="132">
        <f t="shared" si="5"/>
        <v>4.1699999999999982</v>
      </c>
      <c r="I37" s="132">
        <f t="shared" si="5"/>
        <v>4.1699999999999982</v>
      </c>
      <c r="J37" s="132">
        <f t="shared" si="5"/>
        <v>4.1699999999999982</v>
      </c>
      <c r="K37" s="132">
        <f t="shared" si="5"/>
        <v>4.1699999999999982</v>
      </c>
      <c r="L37" s="132">
        <v>2.5</v>
      </c>
      <c r="M37" s="132">
        <v>2.5</v>
      </c>
      <c r="N37" s="132">
        <v>2.5</v>
      </c>
      <c r="O37" s="132">
        <v>3</v>
      </c>
      <c r="P37" s="132">
        <v>3</v>
      </c>
      <c r="Q37" s="132">
        <v>3</v>
      </c>
      <c r="R37" s="132">
        <v>3</v>
      </c>
      <c r="S37" s="132">
        <v>3</v>
      </c>
      <c r="T37" s="105">
        <f t="shared" si="8"/>
        <v>6.2999999999999972</v>
      </c>
      <c r="U37" s="105">
        <f t="shared" si="9"/>
        <v>4.7</v>
      </c>
      <c r="V37" s="16">
        <v>20</v>
      </c>
    </row>
    <row r="38" spans="2:22" x14ac:dyDescent="0.25">
      <c r="B38" s="16">
        <v>21</v>
      </c>
      <c r="C38" s="130">
        <v>0</v>
      </c>
      <c r="D38" s="131">
        <f t="shared" si="6"/>
        <v>3.6169999999999978</v>
      </c>
      <c r="E38" s="131">
        <f t="shared" si="4"/>
        <v>3.6169999999999978</v>
      </c>
      <c r="F38" s="131">
        <f t="shared" si="4"/>
        <v>3.6169999999999978</v>
      </c>
      <c r="G38" s="131">
        <f t="shared" si="7"/>
        <v>4.336999999999998</v>
      </c>
      <c r="H38" s="131">
        <f t="shared" si="5"/>
        <v>4.336999999999998</v>
      </c>
      <c r="I38" s="131">
        <f t="shared" si="5"/>
        <v>4.336999999999998</v>
      </c>
      <c r="J38" s="131">
        <f t="shared" si="5"/>
        <v>4.336999999999998</v>
      </c>
      <c r="K38" s="131">
        <f t="shared" si="5"/>
        <v>4.336999999999998</v>
      </c>
      <c r="L38" s="131">
        <f>L37+0.05</f>
        <v>2.5499999999999998</v>
      </c>
      <c r="M38" s="131">
        <f t="shared" ref="M38:S53" si="10">M37+0.05</f>
        <v>2.5499999999999998</v>
      </c>
      <c r="N38" s="131">
        <f t="shared" si="10"/>
        <v>2.5499999999999998</v>
      </c>
      <c r="O38" s="131">
        <f t="shared" si="10"/>
        <v>3.05</v>
      </c>
      <c r="P38" s="131">
        <f t="shared" si="10"/>
        <v>3.05</v>
      </c>
      <c r="Q38" s="131">
        <f t="shared" si="10"/>
        <v>3.05</v>
      </c>
      <c r="R38" s="131">
        <f t="shared" si="10"/>
        <v>3.05</v>
      </c>
      <c r="S38" s="131">
        <f t="shared" si="10"/>
        <v>3.05</v>
      </c>
      <c r="T38" s="130">
        <f>T37+0.24</f>
        <v>6.5399999999999974</v>
      </c>
      <c r="U38" s="130">
        <f>U37+0.03</f>
        <v>4.7300000000000004</v>
      </c>
      <c r="V38" s="16">
        <v>21</v>
      </c>
    </row>
    <row r="39" spans="2:22" x14ac:dyDescent="0.25">
      <c r="B39" s="16">
        <v>22</v>
      </c>
      <c r="C39" s="130">
        <v>0</v>
      </c>
      <c r="D39" s="131">
        <f t="shared" si="6"/>
        <v>3.7639999999999976</v>
      </c>
      <c r="E39" s="131">
        <f t="shared" si="4"/>
        <v>3.7639999999999976</v>
      </c>
      <c r="F39" s="131">
        <f t="shared" si="4"/>
        <v>3.7639999999999976</v>
      </c>
      <c r="G39" s="131">
        <f t="shared" si="7"/>
        <v>4.5039999999999978</v>
      </c>
      <c r="H39" s="131">
        <f t="shared" si="5"/>
        <v>4.5039999999999978</v>
      </c>
      <c r="I39" s="131">
        <f t="shared" si="5"/>
        <v>4.5039999999999978</v>
      </c>
      <c r="J39" s="131">
        <f t="shared" si="5"/>
        <v>4.5039999999999978</v>
      </c>
      <c r="K39" s="131">
        <f t="shared" si="5"/>
        <v>4.5039999999999978</v>
      </c>
      <c r="L39" s="131">
        <f t="shared" ref="L39:S54" si="11">L38+0.05</f>
        <v>2.5999999999999996</v>
      </c>
      <c r="M39" s="131">
        <f t="shared" si="10"/>
        <v>2.5999999999999996</v>
      </c>
      <c r="N39" s="131">
        <f t="shared" si="10"/>
        <v>2.5999999999999996</v>
      </c>
      <c r="O39" s="131">
        <f t="shared" si="10"/>
        <v>3.0999999999999996</v>
      </c>
      <c r="P39" s="131">
        <f t="shared" si="10"/>
        <v>3.0999999999999996</v>
      </c>
      <c r="Q39" s="131">
        <f t="shared" si="10"/>
        <v>3.0999999999999996</v>
      </c>
      <c r="R39" s="131">
        <f t="shared" si="10"/>
        <v>3.0999999999999996</v>
      </c>
      <c r="S39" s="131">
        <f t="shared" si="10"/>
        <v>3.0999999999999996</v>
      </c>
      <c r="T39" s="130">
        <f t="shared" ref="T39:T47" si="12">T38+0.24</f>
        <v>6.7799999999999976</v>
      </c>
      <c r="U39" s="130">
        <f t="shared" ref="U39:U47" si="13">U38+0.03</f>
        <v>4.7600000000000007</v>
      </c>
      <c r="V39" s="16">
        <v>22</v>
      </c>
    </row>
    <row r="40" spans="2:22" x14ac:dyDescent="0.25">
      <c r="B40" s="16">
        <v>23</v>
      </c>
      <c r="C40" s="130">
        <v>0</v>
      </c>
      <c r="D40" s="131">
        <f t="shared" si="6"/>
        <v>3.9109999999999974</v>
      </c>
      <c r="E40" s="131">
        <f t="shared" ref="E40:F50" si="14">D40</f>
        <v>3.9109999999999974</v>
      </c>
      <c r="F40" s="131">
        <f t="shared" si="14"/>
        <v>3.9109999999999974</v>
      </c>
      <c r="G40" s="131">
        <f t="shared" si="7"/>
        <v>4.6709999999999976</v>
      </c>
      <c r="H40" s="131">
        <f t="shared" si="5"/>
        <v>4.6709999999999976</v>
      </c>
      <c r="I40" s="131">
        <f t="shared" si="5"/>
        <v>4.6709999999999976</v>
      </c>
      <c r="J40" s="131">
        <f t="shared" si="5"/>
        <v>4.6709999999999976</v>
      </c>
      <c r="K40" s="131">
        <f t="shared" si="5"/>
        <v>4.6709999999999976</v>
      </c>
      <c r="L40" s="131">
        <f t="shared" si="11"/>
        <v>2.6499999999999995</v>
      </c>
      <c r="M40" s="131">
        <f t="shared" si="10"/>
        <v>2.6499999999999995</v>
      </c>
      <c r="N40" s="131">
        <f t="shared" si="10"/>
        <v>2.6499999999999995</v>
      </c>
      <c r="O40" s="131">
        <f t="shared" si="10"/>
        <v>3.1499999999999995</v>
      </c>
      <c r="P40" s="131">
        <f t="shared" si="10"/>
        <v>3.1499999999999995</v>
      </c>
      <c r="Q40" s="131">
        <f t="shared" si="10"/>
        <v>3.1499999999999995</v>
      </c>
      <c r="R40" s="131">
        <f t="shared" si="10"/>
        <v>3.1499999999999995</v>
      </c>
      <c r="S40" s="131">
        <f t="shared" si="10"/>
        <v>3.1499999999999995</v>
      </c>
      <c r="T40" s="130">
        <f t="shared" si="12"/>
        <v>7.0199999999999978</v>
      </c>
      <c r="U40" s="130">
        <f t="shared" si="13"/>
        <v>4.7900000000000009</v>
      </c>
      <c r="V40" s="16">
        <v>23</v>
      </c>
    </row>
    <row r="41" spans="2:22" x14ac:dyDescent="0.25">
      <c r="B41" s="16">
        <v>24</v>
      </c>
      <c r="C41" s="130">
        <v>0</v>
      </c>
      <c r="D41" s="131">
        <f t="shared" si="6"/>
        <v>4.0579999999999972</v>
      </c>
      <c r="E41" s="131">
        <f t="shared" si="14"/>
        <v>4.0579999999999972</v>
      </c>
      <c r="F41" s="131">
        <f t="shared" si="14"/>
        <v>4.0579999999999972</v>
      </c>
      <c r="G41" s="131">
        <f t="shared" si="7"/>
        <v>4.8379999999999974</v>
      </c>
      <c r="H41" s="131">
        <f t="shared" si="5"/>
        <v>4.8379999999999974</v>
      </c>
      <c r="I41" s="131">
        <f t="shared" si="5"/>
        <v>4.8379999999999974</v>
      </c>
      <c r="J41" s="131">
        <f t="shared" si="5"/>
        <v>4.8379999999999974</v>
      </c>
      <c r="K41" s="131">
        <f t="shared" si="5"/>
        <v>4.8379999999999974</v>
      </c>
      <c r="L41" s="131">
        <f t="shared" si="11"/>
        <v>2.6999999999999993</v>
      </c>
      <c r="M41" s="131">
        <f t="shared" si="10"/>
        <v>2.6999999999999993</v>
      </c>
      <c r="N41" s="131">
        <f t="shared" si="10"/>
        <v>2.6999999999999993</v>
      </c>
      <c r="O41" s="131">
        <f t="shared" si="10"/>
        <v>3.1999999999999993</v>
      </c>
      <c r="P41" s="131">
        <f t="shared" si="10"/>
        <v>3.1999999999999993</v>
      </c>
      <c r="Q41" s="131">
        <f t="shared" si="10"/>
        <v>3.1999999999999993</v>
      </c>
      <c r="R41" s="131">
        <f t="shared" si="10"/>
        <v>3.1999999999999993</v>
      </c>
      <c r="S41" s="131">
        <f t="shared" si="10"/>
        <v>3.1999999999999993</v>
      </c>
      <c r="T41" s="130">
        <f t="shared" si="12"/>
        <v>7.259999999999998</v>
      </c>
      <c r="U41" s="130">
        <f t="shared" si="13"/>
        <v>4.8200000000000012</v>
      </c>
      <c r="V41" s="16">
        <v>24</v>
      </c>
    </row>
    <row r="42" spans="2:22" x14ac:dyDescent="0.25">
      <c r="B42" s="16">
        <v>25</v>
      </c>
      <c r="C42" s="130">
        <v>0</v>
      </c>
      <c r="D42" s="131">
        <f t="shared" si="6"/>
        <v>4.2049999999999974</v>
      </c>
      <c r="E42" s="131">
        <f t="shared" si="14"/>
        <v>4.2049999999999974</v>
      </c>
      <c r="F42" s="131">
        <f t="shared" si="14"/>
        <v>4.2049999999999974</v>
      </c>
      <c r="G42" s="131">
        <f t="shared" si="7"/>
        <v>5.0049999999999972</v>
      </c>
      <c r="H42" s="131">
        <f t="shared" si="5"/>
        <v>5.0049999999999972</v>
      </c>
      <c r="I42" s="131">
        <f t="shared" si="5"/>
        <v>5.0049999999999972</v>
      </c>
      <c r="J42" s="131">
        <f t="shared" si="5"/>
        <v>5.0049999999999972</v>
      </c>
      <c r="K42" s="131">
        <f t="shared" si="5"/>
        <v>5.0049999999999972</v>
      </c>
      <c r="L42" s="131">
        <f t="shared" si="11"/>
        <v>2.7499999999999991</v>
      </c>
      <c r="M42" s="131">
        <f t="shared" si="10"/>
        <v>2.7499999999999991</v>
      </c>
      <c r="N42" s="131">
        <f t="shared" si="10"/>
        <v>2.7499999999999991</v>
      </c>
      <c r="O42" s="131">
        <f t="shared" si="10"/>
        <v>3.2499999999999991</v>
      </c>
      <c r="P42" s="131">
        <f t="shared" si="10"/>
        <v>3.2499999999999991</v>
      </c>
      <c r="Q42" s="131">
        <f t="shared" si="10"/>
        <v>3.2499999999999991</v>
      </c>
      <c r="R42" s="131">
        <f t="shared" si="10"/>
        <v>3.2499999999999991</v>
      </c>
      <c r="S42" s="131">
        <f t="shared" si="10"/>
        <v>3.2499999999999991</v>
      </c>
      <c r="T42" s="130">
        <f t="shared" si="12"/>
        <v>7.4999999999999982</v>
      </c>
      <c r="U42" s="130">
        <f t="shared" si="13"/>
        <v>4.8500000000000014</v>
      </c>
      <c r="V42" s="16">
        <v>25</v>
      </c>
    </row>
    <row r="43" spans="2:22" x14ac:dyDescent="0.25">
      <c r="B43" s="16">
        <v>26</v>
      </c>
      <c r="C43" s="130">
        <v>0</v>
      </c>
      <c r="D43" s="131">
        <f t="shared" si="6"/>
        <v>4.3519999999999976</v>
      </c>
      <c r="E43" s="131">
        <f t="shared" si="14"/>
        <v>4.3519999999999976</v>
      </c>
      <c r="F43" s="131">
        <f t="shared" si="14"/>
        <v>4.3519999999999976</v>
      </c>
      <c r="G43" s="131">
        <f t="shared" si="7"/>
        <v>5.171999999999997</v>
      </c>
      <c r="H43" s="131">
        <f t="shared" si="5"/>
        <v>5.171999999999997</v>
      </c>
      <c r="I43" s="131">
        <f t="shared" si="5"/>
        <v>5.171999999999997</v>
      </c>
      <c r="J43" s="131">
        <f t="shared" si="5"/>
        <v>5.171999999999997</v>
      </c>
      <c r="K43" s="131">
        <f t="shared" si="5"/>
        <v>5.171999999999997</v>
      </c>
      <c r="L43" s="131">
        <f t="shared" si="11"/>
        <v>2.7999999999999989</v>
      </c>
      <c r="M43" s="131">
        <f t="shared" si="10"/>
        <v>2.7999999999999989</v>
      </c>
      <c r="N43" s="131">
        <f t="shared" si="10"/>
        <v>2.7999999999999989</v>
      </c>
      <c r="O43" s="131">
        <f t="shared" si="10"/>
        <v>3.2999999999999989</v>
      </c>
      <c r="P43" s="131">
        <f t="shared" si="10"/>
        <v>3.2999999999999989</v>
      </c>
      <c r="Q43" s="131">
        <f t="shared" si="10"/>
        <v>3.2999999999999989</v>
      </c>
      <c r="R43" s="131">
        <f t="shared" si="10"/>
        <v>3.2999999999999989</v>
      </c>
      <c r="S43" s="131">
        <f t="shared" si="10"/>
        <v>3.2999999999999989</v>
      </c>
      <c r="T43" s="130">
        <f t="shared" si="12"/>
        <v>7.7399999999999984</v>
      </c>
      <c r="U43" s="130">
        <f t="shared" si="13"/>
        <v>4.8800000000000017</v>
      </c>
      <c r="V43" s="16">
        <v>26</v>
      </c>
    </row>
    <row r="44" spans="2:22" x14ac:dyDescent="0.25">
      <c r="B44" s="16">
        <v>27</v>
      </c>
      <c r="C44" s="130">
        <v>0</v>
      </c>
      <c r="D44" s="131">
        <f t="shared" si="6"/>
        <v>4.4989999999999979</v>
      </c>
      <c r="E44" s="131">
        <f t="shared" si="14"/>
        <v>4.4989999999999979</v>
      </c>
      <c r="F44" s="131">
        <f t="shared" si="14"/>
        <v>4.4989999999999979</v>
      </c>
      <c r="G44" s="131">
        <f t="shared" si="7"/>
        <v>5.3389999999999969</v>
      </c>
      <c r="H44" s="131">
        <f t="shared" si="7"/>
        <v>5.3389999999999969</v>
      </c>
      <c r="I44" s="131">
        <f t="shared" si="7"/>
        <v>5.3389999999999969</v>
      </c>
      <c r="J44" s="131">
        <f t="shared" si="7"/>
        <v>5.3389999999999969</v>
      </c>
      <c r="K44" s="131">
        <f t="shared" si="7"/>
        <v>5.3389999999999969</v>
      </c>
      <c r="L44" s="131">
        <f t="shared" si="11"/>
        <v>2.8499999999999988</v>
      </c>
      <c r="M44" s="131">
        <f t="shared" si="10"/>
        <v>2.8499999999999988</v>
      </c>
      <c r="N44" s="131">
        <f t="shared" si="10"/>
        <v>2.8499999999999988</v>
      </c>
      <c r="O44" s="131">
        <f t="shared" si="10"/>
        <v>3.3499999999999988</v>
      </c>
      <c r="P44" s="131">
        <f t="shared" si="10"/>
        <v>3.3499999999999988</v>
      </c>
      <c r="Q44" s="131">
        <f t="shared" si="10"/>
        <v>3.3499999999999988</v>
      </c>
      <c r="R44" s="131">
        <f t="shared" si="10"/>
        <v>3.3499999999999988</v>
      </c>
      <c r="S44" s="131">
        <f t="shared" si="10"/>
        <v>3.3499999999999988</v>
      </c>
      <c r="T44" s="130">
        <f t="shared" si="12"/>
        <v>7.9799999999999986</v>
      </c>
      <c r="U44" s="130">
        <f t="shared" si="13"/>
        <v>4.9100000000000019</v>
      </c>
      <c r="V44" s="16">
        <v>27</v>
      </c>
    </row>
    <row r="45" spans="2:22" x14ac:dyDescent="0.25">
      <c r="B45" s="16">
        <v>28</v>
      </c>
      <c r="C45" s="130">
        <v>0</v>
      </c>
      <c r="D45" s="131">
        <f t="shared" si="6"/>
        <v>4.6459999999999981</v>
      </c>
      <c r="E45" s="131">
        <f t="shared" si="14"/>
        <v>4.6459999999999981</v>
      </c>
      <c r="F45" s="131">
        <f t="shared" si="14"/>
        <v>4.6459999999999981</v>
      </c>
      <c r="G45" s="131">
        <f t="shared" ref="G45:K47" si="15">G44+0.167</f>
        <v>5.5059999999999967</v>
      </c>
      <c r="H45" s="131">
        <f t="shared" si="15"/>
        <v>5.5059999999999967</v>
      </c>
      <c r="I45" s="131">
        <f t="shared" si="15"/>
        <v>5.5059999999999967</v>
      </c>
      <c r="J45" s="131">
        <f t="shared" si="15"/>
        <v>5.5059999999999967</v>
      </c>
      <c r="K45" s="131">
        <f t="shared" si="15"/>
        <v>5.5059999999999967</v>
      </c>
      <c r="L45" s="131">
        <f t="shared" si="11"/>
        <v>2.8999999999999986</v>
      </c>
      <c r="M45" s="131">
        <f t="shared" si="10"/>
        <v>2.8999999999999986</v>
      </c>
      <c r="N45" s="131">
        <f t="shared" si="10"/>
        <v>2.8999999999999986</v>
      </c>
      <c r="O45" s="131">
        <f t="shared" si="10"/>
        <v>3.3999999999999986</v>
      </c>
      <c r="P45" s="131">
        <f t="shared" si="10"/>
        <v>3.3999999999999986</v>
      </c>
      <c r="Q45" s="131">
        <f t="shared" si="10"/>
        <v>3.3999999999999986</v>
      </c>
      <c r="R45" s="131">
        <f t="shared" si="10"/>
        <v>3.3999999999999986</v>
      </c>
      <c r="S45" s="131">
        <f t="shared" si="10"/>
        <v>3.3999999999999986</v>
      </c>
      <c r="T45" s="130">
        <f t="shared" si="12"/>
        <v>8.2199999999999989</v>
      </c>
      <c r="U45" s="130">
        <f t="shared" si="13"/>
        <v>4.9400000000000022</v>
      </c>
      <c r="V45" s="16">
        <v>28</v>
      </c>
    </row>
    <row r="46" spans="2:22" x14ac:dyDescent="0.25">
      <c r="B46" s="16">
        <v>29</v>
      </c>
      <c r="C46" s="130">
        <v>0</v>
      </c>
      <c r="D46" s="131">
        <f t="shared" si="6"/>
        <v>4.7929999999999984</v>
      </c>
      <c r="E46" s="131">
        <f t="shared" si="14"/>
        <v>4.7929999999999984</v>
      </c>
      <c r="F46" s="131">
        <f t="shared" si="14"/>
        <v>4.7929999999999984</v>
      </c>
      <c r="G46" s="131">
        <f t="shared" si="15"/>
        <v>5.6729999999999965</v>
      </c>
      <c r="H46" s="131">
        <f t="shared" si="15"/>
        <v>5.6729999999999965</v>
      </c>
      <c r="I46" s="131">
        <f t="shared" si="15"/>
        <v>5.6729999999999965</v>
      </c>
      <c r="J46" s="131">
        <f t="shared" si="15"/>
        <v>5.6729999999999965</v>
      </c>
      <c r="K46" s="131">
        <f t="shared" si="15"/>
        <v>5.6729999999999965</v>
      </c>
      <c r="L46" s="131">
        <f t="shared" si="11"/>
        <v>2.9499999999999984</v>
      </c>
      <c r="M46" s="131">
        <f t="shared" si="10"/>
        <v>2.9499999999999984</v>
      </c>
      <c r="N46" s="131">
        <f t="shared" si="10"/>
        <v>2.9499999999999984</v>
      </c>
      <c r="O46" s="131">
        <f t="shared" si="10"/>
        <v>3.4499999999999984</v>
      </c>
      <c r="P46" s="131">
        <f t="shared" si="10"/>
        <v>3.4499999999999984</v>
      </c>
      <c r="Q46" s="131">
        <f t="shared" si="10"/>
        <v>3.4499999999999984</v>
      </c>
      <c r="R46" s="131">
        <f t="shared" si="10"/>
        <v>3.4499999999999984</v>
      </c>
      <c r="S46" s="131">
        <f t="shared" si="10"/>
        <v>3.4499999999999984</v>
      </c>
      <c r="T46" s="130">
        <f t="shared" si="12"/>
        <v>8.4599999999999991</v>
      </c>
      <c r="U46" s="130">
        <f t="shared" si="13"/>
        <v>4.9700000000000024</v>
      </c>
      <c r="V46" s="16">
        <v>29</v>
      </c>
    </row>
    <row r="47" spans="2:22" ht="13" x14ac:dyDescent="0.3">
      <c r="B47" s="16">
        <v>30</v>
      </c>
      <c r="C47" s="130">
        <v>0</v>
      </c>
      <c r="D47" s="132">
        <f t="shared" si="6"/>
        <v>4.9399999999999986</v>
      </c>
      <c r="E47" s="132">
        <f t="shared" si="14"/>
        <v>4.9399999999999986</v>
      </c>
      <c r="F47" s="132">
        <f t="shared" si="14"/>
        <v>4.9399999999999986</v>
      </c>
      <c r="G47" s="132">
        <f t="shared" si="15"/>
        <v>5.8399999999999963</v>
      </c>
      <c r="H47" s="132">
        <f t="shared" si="15"/>
        <v>5.8399999999999963</v>
      </c>
      <c r="I47" s="132">
        <f t="shared" si="15"/>
        <v>5.8399999999999963</v>
      </c>
      <c r="J47" s="132">
        <f t="shared" si="15"/>
        <v>5.8399999999999963</v>
      </c>
      <c r="K47" s="132">
        <f t="shared" si="15"/>
        <v>5.8399999999999963</v>
      </c>
      <c r="L47" s="105">
        <f t="shared" si="11"/>
        <v>2.9999999999999982</v>
      </c>
      <c r="M47" s="105">
        <f t="shared" si="10"/>
        <v>2.9999999999999982</v>
      </c>
      <c r="N47" s="105">
        <f t="shared" si="10"/>
        <v>2.9999999999999982</v>
      </c>
      <c r="O47" s="105">
        <f t="shared" si="10"/>
        <v>3.4999999999999982</v>
      </c>
      <c r="P47" s="105">
        <f t="shared" si="10"/>
        <v>3.4999999999999982</v>
      </c>
      <c r="Q47" s="105">
        <f t="shared" si="10"/>
        <v>3.4999999999999982</v>
      </c>
      <c r="R47" s="105">
        <f t="shared" si="10"/>
        <v>3.4999999999999982</v>
      </c>
      <c r="S47" s="105">
        <f t="shared" si="10"/>
        <v>3.4999999999999982</v>
      </c>
      <c r="T47" s="105">
        <f t="shared" si="12"/>
        <v>8.6999999999999993</v>
      </c>
      <c r="U47" s="105">
        <f t="shared" si="13"/>
        <v>5.0000000000000027</v>
      </c>
      <c r="V47" s="16">
        <v>30</v>
      </c>
    </row>
    <row r="48" spans="2:22" x14ac:dyDescent="0.25">
      <c r="B48" s="16">
        <v>31</v>
      </c>
      <c r="C48" s="130">
        <v>0</v>
      </c>
      <c r="D48" s="131">
        <f t="shared" si="6"/>
        <v>5.0869999999999989</v>
      </c>
      <c r="E48" s="131">
        <f t="shared" si="14"/>
        <v>5.0869999999999989</v>
      </c>
      <c r="F48" s="131">
        <f t="shared" si="14"/>
        <v>5.0869999999999989</v>
      </c>
      <c r="G48" s="131" t="s">
        <v>193</v>
      </c>
      <c r="H48" s="131" t="s">
        <v>193</v>
      </c>
      <c r="I48" s="131" t="s">
        <v>193</v>
      </c>
      <c r="J48" s="131" t="s">
        <v>193</v>
      </c>
      <c r="K48" s="131" t="s">
        <v>193</v>
      </c>
      <c r="L48" s="131">
        <f t="shared" si="11"/>
        <v>3.049999999999998</v>
      </c>
      <c r="M48" s="131">
        <f t="shared" si="10"/>
        <v>3.049999999999998</v>
      </c>
      <c r="N48" s="131">
        <f t="shared" si="10"/>
        <v>3.049999999999998</v>
      </c>
      <c r="O48" s="131">
        <f t="shared" si="10"/>
        <v>3.549999999999998</v>
      </c>
      <c r="P48" s="131">
        <f t="shared" si="10"/>
        <v>3.549999999999998</v>
      </c>
      <c r="Q48" s="131">
        <f t="shared" si="10"/>
        <v>3.549999999999998</v>
      </c>
      <c r="R48" s="131">
        <f t="shared" si="10"/>
        <v>3.549999999999998</v>
      </c>
      <c r="S48" s="131">
        <f t="shared" si="10"/>
        <v>3.549999999999998</v>
      </c>
      <c r="T48" s="130">
        <f>T47+0.29</f>
        <v>8.9899999999999984</v>
      </c>
      <c r="U48" s="130">
        <f>U47+0.02</f>
        <v>5.0200000000000022</v>
      </c>
      <c r="V48" s="16">
        <v>31</v>
      </c>
    </row>
    <row r="49" spans="2:22" x14ac:dyDescent="0.25">
      <c r="B49" s="16">
        <v>32</v>
      </c>
      <c r="C49" s="130">
        <v>0</v>
      </c>
      <c r="D49" s="131">
        <f t="shared" si="6"/>
        <v>5.2339999999999991</v>
      </c>
      <c r="E49" s="131">
        <f t="shared" si="14"/>
        <v>5.2339999999999991</v>
      </c>
      <c r="F49" s="131">
        <f t="shared" si="14"/>
        <v>5.2339999999999991</v>
      </c>
      <c r="G49" s="131" t="s">
        <v>193</v>
      </c>
      <c r="H49" s="131" t="s">
        <v>193</v>
      </c>
      <c r="I49" s="131" t="s">
        <v>193</v>
      </c>
      <c r="J49" s="131" t="s">
        <v>193</v>
      </c>
      <c r="K49" s="131" t="s">
        <v>193</v>
      </c>
      <c r="L49" s="131">
        <f t="shared" si="11"/>
        <v>3.0999999999999979</v>
      </c>
      <c r="M49" s="131">
        <f t="shared" si="10"/>
        <v>3.0999999999999979</v>
      </c>
      <c r="N49" s="131">
        <f t="shared" si="10"/>
        <v>3.0999999999999979</v>
      </c>
      <c r="O49" s="131">
        <f t="shared" si="10"/>
        <v>3.5999999999999979</v>
      </c>
      <c r="P49" s="131">
        <f t="shared" si="10"/>
        <v>3.5999999999999979</v>
      </c>
      <c r="Q49" s="131">
        <f t="shared" si="10"/>
        <v>3.5999999999999979</v>
      </c>
      <c r="R49" s="131">
        <f t="shared" si="10"/>
        <v>3.5999999999999979</v>
      </c>
      <c r="S49" s="131">
        <f t="shared" si="10"/>
        <v>3.5999999999999979</v>
      </c>
      <c r="T49" s="130">
        <f t="shared" ref="T49:T56" si="16">T48+0.29</f>
        <v>9.2799999999999976</v>
      </c>
      <c r="U49" s="130">
        <f t="shared" ref="U49:U57" si="17">U48+0.02</f>
        <v>5.0400000000000018</v>
      </c>
      <c r="V49" s="16">
        <v>32</v>
      </c>
    </row>
    <row r="50" spans="2:22" x14ac:dyDescent="0.25">
      <c r="B50" s="16">
        <v>33</v>
      </c>
      <c r="C50" s="130">
        <v>0</v>
      </c>
      <c r="D50" s="131">
        <f t="shared" si="6"/>
        <v>5.3809999999999993</v>
      </c>
      <c r="E50" s="131">
        <f t="shared" si="14"/>
        <v>5.3809999999999993</v>
      </c>
      <c r="F50" s="131">
        <f t="shared" si="14"/>
        <v>5.3809999999999993</v>
      </c>
      <c r="G50" s="131" t="s">
        <v>193</v>
      </c>
      <c r="H50" s="131" t="s">
        <v>193</v>
      </c>
      <c r="I50" s="131" t="s">
        <v>193</v>
      </c>
      <c r="J50" s="131" t="s">
        <v>193</v>
      </c>
      <c r="K50" s="131" t="s">
        <v>193</v>
      </c>
      <c r="L50" s="131">
        <f t="shared" si="11"/>
        <v>3.1499999999999977</v>
      </c>
      <c r="M50" s="131">
        <f t="shared" si="10"/>
        <v>3.1499999999999977</v>
      </c>
      <c r="N50" s="131">
        <f t="shared" si="10"/>
        <v>3.1499999999999977</v>
      </c>
      <c r="O50" s="131">
        <f t="shared" si="10"/>
        <v>3.6499999999999977</v>
      </c>
      <c r="P50" s="131">
        <f t="shared" si="10"/>
        <v>3.6499999999999977</v>
      </c>
      <c r="Q50" s="131">
        <f t="shared" si="10"/>
        <v>3.6499999999999977</v>
      </c>
      <c r="R50" s="131">
        <f t="shared" si="10"/>
        <v>3.6499999999999977</v>
      </c>
      <c r="S50" s="131">
        <f t="shared" si="10"/>
        <v>3.6499999999999977</v>
      </c>
      <c r="T50" s="130">
        <f t="shared" si="16"/>
        <v>9.5699999999999967</v>
      </c>
      <c r="U50" s="130">
        <f t="shared" si="17"/>
        <v>5.0600000000000014</v>
      </c>
      <c r="V50" s="16">
        <v>33</v>
      </c>
    </row>
    <row r="51" spans="2:22" x14ac:dyDescent="0.25">
      <c r="B51" s="16">
        <v>34</v>
      </c>
      <c r="C51" s="130">
        <v>0</v>
      </c>
      <c r="D51" s="131">
        <f t="shared" si="6"/>
        <v>5.5279999999999996</v>
      </c>
      <c r="E51" s="131">
        <f>D51</f>
        <v>5.5279999999999996</v>
      </c>
      <c r="F51" s="131">
        <f>E51</f>
        <v>5.5279999999999996</v>
      </c>
      <c r="G51" s="131" t="s">
        <v>193</v>
      </c>
      <c r="H51" s="131" t="s">
        <v>193</v>
      </c>
      <c r="I51" s="131" t="s">
        <v>193</v>
      </c>
      <c r="J51" s="131" t="s">
        <v>193</v>
      </c>
      <c r="K51" s="131" t="s">
        <v>193</v>
      </c>
      <c r="L51" s="131">
        <f t="shared" si="11"/>
        <v>3.1999999999999975</v>
      </c>
      <c r="M51" s="131">
        <f t="shared" si="10"/>
        <v>3.1999999999999975</v>
      </c>
      <c r="N51" s="131">
        <f t="shared" si="10"/>
        <v>3.1999999999999975</v>
      </c>
      <c r="O51" s="131">
        <f t="shared" si="10"/>
        <v>3.6999999999999975</v>
      </c>
      <c r="P51" s="131">
        <f t="shared" si="10"/>
        <v>3.6999999999999975</v>
      </c>
      <c r="Q51" s="131">
        <f t="shared" si="10"/>
        <v>3.6999999999999975</v>
      </c>
      <c r="R51" s="131">
        <f t="shared" si="10"/>
        <v>3.6999999999999975</v>
      </c>
      <c r="S51" s="131">
        <f t="shared" si="10"/>
        <v>3.6999999999999975</v>
      </c>
      <c r="T51" s="130">
        <f t="shared" si="16"/>
        <v>9.8599999999999959</v>
      </c>
      <c r="U51" s="130">
        <f t="shared" si="17"/>
        <v>5.080000000000001</v>
      </c>
      <c r="V51" s="16">
        <v>34</v>
      </c>
    </row>
    <row r="52" spans="2:22" x14ac:dyDescent="0.25">
      <c r="B52" s="16">
        <v>35</v>
      </c>
      <c r="C52" s="130">
        <v>0</v>
      </c>
      <c r="D52" s="131">
        <f t="shared" si="6"/>
        <v>5.6749999999999998</v>
      </c>
      <c r="E52" s="131">
        <f t="shared" ref="E52:F56" si="18">D52</f>
        <v>5.6749999999999998</v>
      </c>
      <c r="F52" s="131">
        <f t="shared" si="18"/>
        <v>5.6749999999999998</v>
      </c>
      <c r="G52" s="131" t="s">
        <v>193</v>
      </c>
      <c r="H52" s="131" t="s">
        <v>193</v>
      </c>
      <c r="I52" s="131" t="s">
        <v>193</v>
      </c>
      <c r="J52" s="131" t="s">
        <v>193</v>
      </c>
      <c r="K52" s="131" t="s">
        <v>193</v>
      </c>
      <c r="L52" s="131">
        <f t="shared" si="11"/>
        <v>3.2499999999999973</v>
      </c>
      <c r="M52" s="131">
        <f t="shared" si="10"/>
        <v>3.2499999999999973</v>
      </c>
      <c r="N52" s="131">
        <f t="shared" si="10"/>
        <v>3.2499999999999973</v>
      </c>
      <c r="O52" s="131">
        <f t="shared" si="10"/>
        <v>3.7499999999999973</v>
      </c>
      <c r="P52" s="131">
        <f t="shared" si="10"/>
        <v>3.7499999999999973</v>
      </c>
      <c r="Q52" s="131">
        <f t="shared" si="10"/>
        <v>3.7499999999999973</v>
      </c>
      <c r="R52" s="131">
        <f t="shared" si="10"/>
        <v>3.7499999999999973</v>
      </c>
      <c r="S52" s="131">
        <f t="shared" si="10"/>
        <v>3.7499999999999973</v>
      </c>
      <c r="T52" s="130">
        <f t="shared" si="16"/>
        <v>10.149999999999995</v>
      </c>
      <c r="U52" s="130">
        <f t="shared" si="17"/>
        <v>5.1000000000000005</v>
      </c>
      <c r="V52" s="16">
        <v>35</v>
      </c>
    </row>
    <row r="53" spans="2:22" x14ac:dyDescent="0.25">
      <c r="B53" s="16">
        <v>36</v>
      </c>
      <c r="C53" s="130">
        <v>0</v>
      </c>
      <c r="D53" s="131">
        <f t="shared" si="6"/>
        <v>5.8220000000000001</v>
      </c>
      <c r="E53" s="131">
        <f t="shared" si="18"/>
        <v>5.8220000000000001</v>
      </c>
      <c r="F53" s="131">
        <f t="shared" si="18"/>
        <v>5.8220000000000001</v>
      </c>
      <c r="G53" s="131" t="s">
        <v>193</v>
      </c>
      <c r="H53" s="131" t="s">
        <v>193</v>
      </c>
      <c r="I53" s="131" t="s">
        <v>193</v>
      </c>
      <c r="J53" s="131" t="s">
        <v>193</v>
      </c>
      <c r="K53" s="131" t="s">
        <v>193</v>
      </c>
      <c r="L53" s="131">
        <f t="shared" si="11"/>
        <v>3.2999999999999972</v>
      </c>
      <c r="M53" s="131">
        <f t="shared" si="10"/>
        <v>3.2999999999999972</v>
      </c>
      <c r="N53" s="131">
        <f t="shared" si="10"/>
        <v>3.2999999999999972</v>
      </c>
      <c r="O53" s="131">
        <f t="shared" si="10"/>
        <v>3.7999999999999972</v>
      </c>
      <c r="P53" s="131">
        <f t="shared" si="10"/>
        <v>3.7999999999999972</v>
      </c>
      <c r="Q53" s="131">
        <f t="shared" si="10"/>
        <v>3.7999999999999972</v>
      </c>
      <c r="R53" s="131">
        <f t="shared" si="10"/>
        <v>3.7999999999999972</v>
      </c>
      <c r="S53" s="131">
        <f t="shared" si="10"/>
        <v>3.7999999999999972</v>
      </c>
      <c r="T53" s="130">
        <f t="shared" si="16"/>
        <v>10.439999999999994</v>
      </c>
      <c r="U53" s="130">
        <f t="shared" si="17"/>
        <v>5.12</v>
      </c>
      <c r="V53" s="16">
        <v>36</v>
      </c>
    </row>
    <row r="54" spans="2:22" x14ac:dyDescent="0.25">
      <c r="B54" s="16">
        <v>37</v>
      </c>
      <c r="C54" s="130">
        <v>0</v>
      </c>
      <c r="D54" s="131">
        <f t="shared" si="6"/>
        <v>5.9690000000000003</v>
      </c>
      <c r="E54" s="131">
        <f t="shared" si="18"/>
        <v>5.9690000000000003</v>
      </c>
      <c r="F54" s="131">
        <f t="shared" si="18"/>
        <v>5.9690000000000003</v>
      </c>
      <c r="G54" s="131" t="s">
        <v>193</v>
      </c>
      <c r="H54" s="131" t="s">
        <v>193</v>
      </c>
      <c r="I54" s="131" t="s">
        <v>193</v>
      </c>
      <c r="J54" s="131" t="s">
        <v>193</v>
      </c>
      <c r="K54" s="131" t="s">
        <v>193</v>
      </c>
      <c r="L54" s="131">
        <f t="shared" si="11"/>
        <v>3.349999999999997</v>
      </c>
      <c r="M54" s="131">
        <f t="shared" si="11"/>
        <v>3.349999999999997</v>
      </c>
      <c r="N54" s="131">
        <f t="shared" si="11"/>
        <v>3.349999999999997</v>
      </c>
      <c r="O54" s="131">
        <f t="shared" si="11"/>
        <v>3.849999999999997</v>
      </c>
      <c r="P54" s="131">
        <f t="shared" si="11"/>
        <v>3.849999999999997</v>
      </c>
      <c r="Q54" s="131">
        <f t="shared" si="11"/>
        <v>3.849999999999997</v>
      </c>
      <c r="R54" s="131">
        <f t="shared" si="11"/>
        <v>3.849999999999997</v>
      </c>
      <c r="S54" s="131">
        <f t="shared" si="11"/>
        <v>3.849999999999997</v>
      </c>
      <c r="T54" s="130">
        <f t="shared" si="16"/>
        <v>10.729999999999993</v>
      </c>
      <c r="U54" s="130">
        <f t="shared" si="17"/>
        <v>5.14</v>
      </c>
      <c r="V54" s="16">
        <v>37</v>
      </c>
    </row>
    <row r="55" spans="2:22" x14ac:dyDescent="0.25">
      <c r="B55" s="16">
        <v>38</v>
      </c>
      <c r="C55" s="130">
        <v>0</v>
      </c>
      <c r="D55" s="131">
        <f t="shared" si="6"/>
        <v>6.1160000000000005</v>
      </c>
      <c r="E55" s="131">
        <f t="shared" si="18"/>
        <v>6.1160000000000005</v>
      </c>
      <c r="F55" s="131">
        <f t="shared" si="18"/>
        <v>6.1160000000000005</v>
      </c>
      <c r="G55" s="131" t="s">
        <v>193</v>
      </c>
      <c r="H55" s="131" t="s">
        <v>193</v>
      </c>
      <c r="I55" s="131" t="s">
        <v>193</v>
      </c>
      <c r="J55" s="131" t="s">
        <v>193</v>
      </c>
      <c r="K55" s="131" t="s">
        <v>193</v>
      </c>
      <c r="L55" s="131">
        <f t="shared" ref="L55:S57" si="19">L54+0.05</f>
        <v>3.3999999999999968</v>
      </c>
      <c r="M55" s="131">
        <f t="shared" si="19"/>
        <v>3.3999999999999968</v>
      </c>
      <c r="N55" s="131">
        <f t="shared" si="19"/>
        <v>3.3999999999999968</v>
      </c>
      <c r="O55" s="131">
        <f t="shared" si="19"/>
        <v>3.8999999999999968</v>
      </c>
      <c r="P55" s="131">
        <f t="shared" si="19"/>
        <v>3.8999999999999968</v>
      </c>
      <c r="Q55" s="131">
        <f t="shared" si="19"/>
        <v>3.8999999999999968</v>
      </c>
      <c r="R55" s="131">
        <f t="shared" si="19"/>
        <v>3.8999999999999968</v>
      </c>
      <c r="S55" s="131">
        <f t="shared" si="19"/>
        <v>3.8999999999999968</v>
      </c>
      <c r="T55" s="130">
        <f t="shared" si="16"/>
        <v>11.019999999999992</v>
      </c>
      <c r="U55" s="130">
        <f t="shared" si="17"/>
        <v>5.1599999999999993</v>
      </c>
      <c r="V55" s="16">
        <v>38</v>
      </c>
    </row>
    <row r="56" spans="2:22" x14ac:dyDescent="0.25">
      <c r="B56" s="16">
        <v>39</v>
      </c>
      <c r="C56" s="130">
        <v>0</v>
      </c>
      <c r="D56" s="131">
        <f t="shared" si="6"/>
        <v>6.2630000000000008</v>
      </c>
      <c r="E56" s="131">
        <f t="shared" si="18"/>
        <v>6.2630000000000008</v>
      </c>
      <c r="F56" s="131">
        <f t="shared" si="18"/>
        <v>6.2630000000000008</v>
      </c>
      <c r="G56" s="131" t="s">
        <v>193</v>
      </c>
      <c r="H56" s="131" t="s">
        <v>193</v>
      </c>
      <c r="I56" s="131" t="s">
        <v>193</v>
      </c>
      <c r="J56" s="131" t="s">
        <v>193</v>
      </c>
      <c r="K56" s="131" t="s">
        <v>193</v>
      </c>
      <c r="L56" s="131">
        <f t="shared" si="19"/>
        <v>3.4499999999999966</v>
      </c>
      <c r="M56" s="131">
        <f t="shared" si="19"/>
        <v>3.4499999999999966</v>
      </c>
      <c r="N56" s="131">
        <f t="shared" si="19"/>
        <v>3.4499999999999966</v>
      </c>
      <c r="O56" s="131">
        <f t="shared" si="19"/>
        <v>3.9499999999999966</v>
      </c>
      <c r="P56" s="131">
        <f t="shared" si="19"/>
        <v>3.9499999999999966</v>
      </c>
      <c r="Q56" s="131">
        <f t="shared" si="19"/>
        <v>3.9499999999999966</v>
      </c>
      <c r="R56" s="131">
        <f t="shared" si="19"/>
        <v>3.9499999999999966</v>
      </c>
      <c r="S56" s="131">
        <f t="shared" si="19"/>
        <v>3.9499999999999966</v>
      </c>
      <c r="T56" s="130">
        <f t="shared" si="16"/>
        <v>11.309999999999992</v>
      </c>
      <c r="U56" s="130">
        <f t="shared" si="17"/>
        <v>5.1799999999999988</v>
      </c>
      <c r="V56" s="16">
        <v>39</v>
      </c>
    </row>
    <row r="57" spans="2:22" ht="13" x14ac:dyDescent="0.3">
      <c r="B57" s="16">
        <v>40</v>
      </c>
      <c r="C57" s="130">
        <v>0</v>
      </c>
      <c r="D57" s="132">
        <f>D56+0.147</f>
        <v>6.410000000000001</v>
      </c>
      <c r="E57" s="132">
        <f>D57</f>
        <v>6.410000000000001</v>
      </c>
      <c r="F57" s="132">
        <f>E57</f>
        <v>6.410000000000001</v>
      </c>
      <c r="G57" s="131" t="s">
        <v>193</v>
      </c>
      <c r="H57" s="131" t="s">
        <v>193</v>
      </c>
      <c r="I57" s="131" t="s">
        <v>193</v>
      </c>
      <c r="J57" s="131" t="s">
        <v>193</v>
      </c>
      <c r="K57" s="131" t="s">
        <v>193</v>
      </c>
      <c r="L57" s="132">
        <f t="shared" si="19"/>
        <v>3.4999999999999964</v>
      </c>
      <c r="M57" s="132">
        <f t="shared" si="19"/>
        <v>3.4999999999999964</v>
      </c>
      <c r="N57" s="132">
        <f t="shared" si="19"/>
        <v>3.4999999999999964</v>
      </c>
      <c r="O57" s="132">
        <f t="shared" si="19"/>
        <v>3.9999999999999964</v>
      </c>
      <c r="P57" s="132">
        <f t="shared" si="19"/>
        <v>3.9999999999999964</v>
      </c>
      <c r="Q57" s="132">
        <f t="shared" si="19"/>
        <v>3.9999999999999964</v>
      </c>
      <c r="R57" s="132">
        <f t="shared" si="19"/>
        <v>3.9999999999999964</v>
      </c>
      <c r="S57" s="132">
        <f t="shared" si="19"/>
        <v>3.9999999999999964</v>
      </c>
      <c r="T57" s="105">
        <f>T56+0.29</f>
        <v>11.599999999999991</v>
      </c>
      <c r="U57" s="105">
        <f t="shared" si="17"/>
        <v>5.1999999999999984</v>
      </c>
      <c r="V57" s="16">
        <v>40</v>
      </c>
    </row>
    <row r="58" spans="2:22" x14ac:dyDescent="0.25">
      <c r="B58" s="16">
        <v>41</v>
      </c>
      <c r="C58" s="130">
        <v>0</v>
      </c>
      <c r="D58" s="131" t="s">
        <v>193</v>
      </c>
      <c r="E58" s="131" t="s">
        <v>193</v>
      </c>
      <c r="F58" s="131" t="s">
        <v>193</v>
      </c>
      <c r="G58" s="131" t="s">
        <v>193</v>
      </c>
      <c r="H58" s="131" t="s">
        <v>193</v>
      </c>
      <c r="I58" s="131" t="s">
        <v>193</v>
      </c>
      <c r="J58" s="131" t="s">
        <v>193</v>
      </c>
      <c r="K58" s="131" t="s">
        <v>193</v>
      </c>
      <c r="L58" s="131">
        <f>L57+0.075</f>
        <v>3.5749999999999966</v>
      </c>
      <c r="M58" s="131">
        <f t="shared" ref="M58:N73" si="20">M57+0.075</f>
        <v>3.5749999999999966</v>
      </c>
      <c r="N58" s="131">
        <f t="shared" si="20"/>
        <v>3.5749999999999966</v>
      </c>
      <c r="O58" s="131">
        <f>O57+0.1</f>
        <v>4.0999999999999961</v>
      </c>
      <c r="P58" s="131">
        <f t="shared" ref="P58:S73" si="21">P57+0.1</f>
        <v>4.0999999999999961</v>
      </c>
      <c r="Q58" s="131">
        <f t="shared" si="21"/>
        <v>4.0999999999999961</v>
      </c>
      <c r="R58" s="131">
        <f t="shared" si="21"/>
        <v>4.0999999999999961</v>
      </c>
      <c r="S58" s="131">
        <f t="shared" si="21"/>
        <v>4.0999999999999961</v>
      </c>
      <c r="T58" s="130">
        <f>T57+0.49</f>
        <v>12.089999999999991</v>
      </c>
      <c r="U58" s="130">
        <f>U57+0.08</f>
        <v>5.2799999999999985</v>
      </c>
      <c r="V58" s="16">
        <v>41</v>
      </c>
    </row>
    <row r="59" spans="2:22" x14ac:dyDescent="0.25">
      <c r="B59" s="16">
        <v>42</v>
      </c>
      <c r="C59" s="130">
        <v>0</v>
      </c>
      <c r="D59" s="131" t="s">
        <v>193</v>
      </c>
      <c r="E59" s="131" t="s">
        <v>193</v>
      </c>
      <c r="F59" s="131" t="s">
        <v>193</v>
      </c>
      <c r="G59" s="131" t="s">
        <v>193</v>
      </c>
      <c r="H59" s="131" t="s">
        <v>193</v>
      </c>
      <c r="I59" s="131" t="s">
        <v>193</v>
      </c>
      <c r="J59" s="131" t="s">
        <v>193</v>
      </c>
      <c r="K59" s="131" t="s">
        <v>193</v>
      </c>
      <c r="L59" s="131">
        <f t="shared" ref="L59:N74" si="22">L58+0.075</f>
        <v>3.6499999999999968</v>
      </c>
      <c r="M59" s="131">
        <f t="shared" si="20"/>
        <v>3.6499999999999968</v>
      </c>
      <c r="N59" s="131">
        <f t="shared" si="20"/>
        <v>3.6499999999999968</v>
      </c>
      <c r="O59" s="131">
        <f t="shared" ref="O59:S74" si="23">O58+0.1</f>
        <v>4.1999999999999957</v>
      </c>
      <c r="P59" s="131">
        <f t="shared" si="21"/>
        <v>4.1999999999999957</v>
      </c>
      <c r="Q59" s="131">
        <f t="shared" si="21"/>
        <v>4.1999999999999957</v>
      </c>
      <c r="R59" s="131">
        <f t="shared" si="21"/>
        <v>4.1999999999999957</v>
      </c>
      <c r="S59" s="131">
        <f t="shared" si="21"/>
        <v>4.1999999999999957</v>
      </c>
      <c r="T59" s="130">
        <f t="shared" ref="T59:T67" si="24">T58+0.49</f>
        <v>12.579999999999991</v>
      </c>
      <c r="U59" s="130">
        <f t="shared" ref="U59:U67" si="25">U58+0.08</f>
        <v>5.3599999999999985</v>
      </c>
      <c r="V59" s="16">
        <v>42</v>
      </c>
    </row>
    <row r="60" spans="2:22" x14ac:dyDescent="0.25">
      <c r="B60" s="16">
        <v>43</v>
      </c>
      <c r="C60" s="130">
        <v>0</v>
      </c>
      <c r="D60" s="131" t="s">
        <v>193</v>
      </c>
      <c r="E60" s="131" t="s">
        <v>193</v>
      </c>
      <c r="F60" s="131" t="s">
        <v>193</v>
      </c>
      <c r="G60" s="131" t="s">
        <v>193</v>
      </c>
      <c r="H60" s="131" t="s">
        <v>193</v>
      </c>
      <c r="I60" s="131" t="s">
        <v>193</v>
      </c>
      <c r="J60" s="131" t="s">
        <v>193</v>
      </c>
      <c r="K60" s="131" t="s">
        <v>193</v>
      </c>
      <c r="L60" s="131">
        <f t="shared" si="22"/>
        <v>3.724999999999997</v>
      </c>
      <c r="M60" s="131">
        <f t="shared" si="20"/>
        <v>3.724999999999997</v>
      </c>
      <c r="N60" s="131">
        <f t="shared" si="20"/>
        <v>3.724999999999997</v>
      </c>
      <c r="O60" s="131">
        <f t="shared" si="23"/>
        <v>4.2999999999999954</v>
      </c>
      <c r="P60" s="131">
        <f t="shared" si="21"/>
        <v>4.2999999999999954</v>
      </c>
      <c r="Q60" s="131">
        <f t="shared" si="21"/>
        <v>4.2999999999999954</v>
      </c>
      <c r="R60" s="131">
        <f t="shared" si="21"/>
        <v>4.2999999999999954</v>
      </c>
      <c r="S60" s="131">
        <f t="shared" si="21"/>
        <v>4.2999999999999954</v>
      </c>
      <c r="T60" s="130">
        <f t="shared" si="24"/>
        <v>13.069999999999991</v>
      </c>
      <c r="U60" s="130">
        <f t="shared" si="25"/>
        <v>5.4399999999999986</v>
      </c>
      <c r="V60" s="16">
        <v>43</v>
      </c>
    </row>
    <row r="61" spans="2:22" x14ac:dyDescent="0.25">
      <c r="B61" s="16">
        <v>44</v>
      </c>
      <c r="C61" s="130">
        <v>0</v>
      </c>
      <c r="D61" s="131" t="s">
        <v>193</v>
      </c>
      <c r="E61" s="131" t="s">
        <v>193</v>
      </c>
      <c r="F61" s="131" t="s">
        <v>193</v>
      </c>
      <c r="G61" s="131" t="s">
        <v>193</v>
      </c>
      <c r="H61" s="131" t="s">
        <v>193</v>
      </c>
      <c r="I61" s="131" t="s">
        <v>193</v>
      </c>
      <c r="J61" s="131" t="s">
        <v>193</v>
      </c>
      <c r="K61" s="131" t="s">
        <v>193</v>
      </c>
      <c r="L61" s="131">
        <f t="shared" si="22"/>
        <v>3.7999999999999972</v>
      </c>
      <c r="M61" s="131">
        <f t="shared" si="20"/>
        <v>3.7999999999999972</v>
      </c>
      <c r="N61" s="131">
        <f t="shared" si="20"/>
        <v>3.7999999999999972</v>
      </c>
      <c r="O61" s="131">
        <f t="shared" si="23"/>
        <v>4.399999999999995</v>
      </c>
      <c r="P61" s="131">
        <f t="shared" si="21"/>
        <v>4.399999999999995</v>
      </c>
      <c r="Q61" s="131">
        <f t="shared" si="21"/>
        <v>4.399999999999995</v>
      </c>
      <c r="R61" s="131">
        <f t="shared" si="21"/>
        <v>4.399999999999995</v>
      </c>
      <c r="S61" s="131">
        <f t="shared" si="21"/>
        <v>4.399999999999995</v>
      </c>
      <c r="T61" s="130">
        <f t="shared" si="24"/>
        <v>13.559999999999992</v>
      </c>
      <c r="U61" s="130">
        <f t="shared" si="25"/>
        <v>5.5199999999999987</v>
      </c>
      <c r="V61" s="16">
        <v>44</v>
      </c>
    </row>
    <row r="62" spans="2:22" x14ac:dyDescent="0.25">
      <c r="B62" s="16">
        <v>45</v>
      </c>
      <c r="C62" s="130">
        <v>0</v>
      </c>
      <c r="D62" s="131" t="s">
        <v>193</v>
      </c>
      <c r="E62" s="131" t="s">
        <v>193</v>
      </c>
      <c r="F62" s="131" t="s">
        <v>193</v>
      </c>
      <c r="G62" s="131" t="s">
        <v>193</v>
      </c>
      <c r="H62" s="131" t="s">
        <v>193</v>
      </c>
      <c r="I62" s="131" t="s">
        <v>193</v>
      </c>
      <c r="J62" s="131" t="s">
        <v>193</v>
      </c>
      <c r="K62" s="131" t="s">
        <v>193</v>
      </c>
      <c r="L62" s="131">
        <f t="shared" si="22"/>
        <v>3.8749999999999973</v>
      </c>
      <c r="M62" s="131">
        <f t="shared" si="20"/>
        <v>3.8749999999999973</v>
      </c>
      <c r="N62" s="131">
        <f t="shared" si="20"/>
        <v>3.8749999999999973</v>
      </c>
      <c r="O62" s="131">
        <f t="shared" si="23"/>
        <v>4.4999999999999947</v>
      </c>
      <c r="P62" s="131">
        <f t="shared" si="21"/>
        <v>4.4999999999999947</v>
      </c>
      <c r="Q62" s="131">
        <f t="shared" si="21"/>
        <v>4.4999999999999947</v>
      </c>
      <c r="R62" s="131">
        <f t="shared" si="21"/>
        <v>4.4999999999999947</v>
      </c>
      <c r="S62" s="131">
        <f t="shared" si="21"/>
        <v>4.4999999999999947</v>
      </c>
      <c r="T62" s="130">
        <f t="shared" si="24"/>
        <v>14.049999999999992</v>
      </c>
      <c r="U62" s="130">
        <f t="shared" si="25"/>
        <v>5.5999999999999988</v>
      </c>
      <c r="V62" s="16">
        <v>45</v>
      </c>
    </row>
    <row r="63" spans="2:22" x14ac:dyDescent="0.25">
      <c r="B63" s="16">
        <v>46</v>
      </c>
      <c r="C63" s="130">
        <v>0</v>
      </c>
      <c r="D63" s="131" t="s">
        <v>193</v>
      </c>
      <c r="E63" s="131" t="s">
        <v>193</v>
      </c>
      <c r="F63" s="131" t="s">
        <v>193</v>
      </c>
      <c r="G63" s="131" t="s">
        <v>193</v>
      </c>
      <c r="H63" s="131" t="s">
        <v>193</v>
      </c>
      <c r="I63" s="131" t="s">
        <v>193</v>
      </c>
      <c r="J63" s="131" t="s">
        <v>193</v>
      </c>
      <c r="K63" s="131" t="s">
        <v>193</v>
      </c>
      <c r="L63" s="131">
        <f t="shared" si="22"/>
        <v>3.9499999999999975</v>
      </c>
      <c r="M63" s="131">
        <f t="shared" si="20"/>
        <v>3.9499999999999975</v>
      </c>
      <c r="N63" s="131">
        <f t="shared" si="20"/>
        <v>3.9499999999999975</v>
      </c>
      <c r="O63" s="131">
        <f t="shared" si="23"/>
        <v>4.5999999999999943</v>
      </c>
      <c r="P63" s="131">
        <f t="shared" si="21"/>
        <v>4.5999999999999943</v>
      </c>
      <c r="Q63" s="131">
        <f t="shared" si="21"/>
        <v>4.5999999999999943</v>
      </c>
      <c r="R63" s="131">
        <f t="shared" si="21"/>
        <v>4.5999999999999943</v>
      </c>
      <c r="S63" s="131">
        <f t="shared" si="21"/>
        <v>4.5999999999999943</v>
      </c>
      <c r="T63" s="130">
        <f t="shared" si="24"/>
        <v>14.539999999999992</v>
      </c>
      <c r="U63" s="130">
        <f t="shared" si="25"/>
        <v>5.6799999999999988</v>
      </c>
      <c r="V63" s="16">
        <v>46</v>
      </c>
    </row>
    <row r="64" spans="2:22" x14ac:dyDescent="0.25">
      <c r="B64" s="16">
        <v>47</v>
      </c>
      <c r="C64" s="130">
        <v>0</v>
      </c>
      <c r="D64" s="131" t="s">
        <v>193</v>
      </c>
      <c r="E64" s="131" t="s">
        <v>193</v>
      </c>
      <c r="F64" s="131" t="s">
        <v>193</v>
      </c>
      <c r="G64" s="131" t="s">
        <v>193</v>
      </c>
      <c r="H64" s="131" t="s">
        <v>193</v>
      </c>
      <c r="I64" s="131" t="s">
        <v>193</v>
      </c>
      <c r="J64" s="131" t="s">
        <v>193</v>
      </c>
      <c r="K64" s="131" t="s">
        <v>193</v>
      </c>
      <c r="L64" s="131">
        <f t="shared" si="22"/>
        <v>4.0249999999999977</v>
      </c>
      <c r="M64" s="131">
        <f t="shared" si="20"/>
        <v>4.0249999999999977</v>
      </c>
      <c r="N64" s="131">
        <f t="shared" si="20"/>
        <v>4.0249999999999977</v>
      </c>
      <c r="O64" s="131">
        <f t="shared" si="23"/>
        <v>4.699999999999994</v>
      </c>
      <c r="P64" s="131">
        <f t="shared" si="21"/>
        <v>4.699999999999994</v>
      </c>
      <c r="Q64" s="131">
        <f t="shared" si="21"/>
        <v>4.699999999999994</v>
      </c>
      <c r="R64" s="131">
        <f t="shared" si="21"/>
        <v>4.699999999999994</v>
      </c>
      <c r="S64" s="131">
        <f t="shared" si="21"/>
        <v>4.699999999999994</v>
      </c>
      <c r="T64" s="130">
        <f t="shared" si="24"/>
        <v>15.029999999999992</v>
      </c>
      <c r="U64" s="130">
        <f t="shared" si="25"/>
        <v>5.7599999999999989</v>
      </c>
      <c r="V64" s="16">
        <v>47</v>
      </c>
    </row>
    <row r="65" spans="2:22" x14ac:dyDescent="0.25">
      <c r="B65" s="16">
        <v>48</v>
      </c>
      <c r="C65" s="130">
        <v>0</v>
      </c>
      <c r="D65" s="131" t="s">
        <v>193</v>
      </c>
      <c r="E65" s="131" t="s">
        <v>193</v>
      </c>
      <c r="F65" s="131" t="s">
        <v>193</v>
      </c>
      <c r="G65" s="131" t="s">
        <v>193</v>
      </c>
      <c r="H65" s="131" t="s">
        <v>193</v>
      </c>
      <c r="I65" s="131" t="s">
        <v>193</v>
      </c>
      <c r="J65" s="131" t="s">
        <v>193</v>
      </c>
      <c r="K65" s="131" t="s">
        <v>193</v>
      </c>
      <c r="L65" s="131">
        <f t="shared" si="22"/>
        <v>4.0999999999999979</v>
      </c>
      <c r="M65" s="131">
        <f t="shared" si="20"/>
        <v>4.0999999999999979</v>
      </c>
      <c r="N65" s="131">
        <f t="shared" si="20"/>
        <v>4.0999999999999979</v>
      </c>
      <c r="O65" s="131">
        <f t="shared" si="23"/>
        <v>4.7999999999999936</v>
      </c>
      <c r="P65" s="131">
        <f t="shared" si="21"/>
        <v>4.7999999999999936</v>
      </c>
      <c r="Q65" s="131">
        <f t="shared" si="21"/>
        <v>4.7999999999999936</v>
      </c>
      <c r="R65" s="131">
        <f t="shared" si="21"/>
        <v>4.7999999999999936</v>
      </c>
      <c r="S65" s="131">
        <f t="shared" si="21"/>
        <v>4.7999999999999936</v>
      </c>
      <c r="T65" s="130">
        <f t="shared" si="24"/>
        <v>15.519999999999992</v>
      </c>
      <c r="U65" s="130">
        <f t="shared" si="25"/>
        <v>5.839999999999999</v>
      </c>
      <c r="V65" s="16">
        <v>48</v>
      </c>
    </row>
    <row r="66" spans="2:22" x14ac:dyDescent="0.25">
      <c r="B66" s="16">
        <v>49</v>
      </c>
      <c r="C66" s="130">
        <v>0</v>
      </c>
      <c r="D66" s="131" t="s">
        <v>193</v>
      </c>
      <c r="E66" s="131" t="s">
        <v>193</v>
      </c>
      <c r="F66" s="131" t="s">
        <v>193</v>
      </c>
      <c r="G66" s="131" t="s">
        <v>193</v>
      </c>
      <c r="H66" s="131" t="s">
        <v>193</v>
      </c>
      <c r="I66" s="131" t="s">
        <v>193</v>
      </c>
      <c r="J66" s="131" t="s">
        <v>193</v>
      </c>
      <c r="K66" s="131" t="s">
        <v>193</v>
      </c>
      <c r="L66" s="131">
        <f t="shared" si="22"/>
        <v>4.174999999999998</v>
      </c>
      <c r="M66" s="131">
        <f t="shared" si="20"/>
        <v>4.174999999999998</v>
      </c>
      <c r="N66" s="131">
        <f t="shared" si="20"/>
        <v>4.174999999999998</v>
      </c>
      <c r="O66" s="131">
        <f t="shared" si="23"/>
        <v>4.8999999999999932</v>
      </c>
      <c r="P66" s="131">
        <f t="shared" si="21"/>
        <v>4.8999999999999932</v>
      </c>
      <c r="Q66" s="131">
        <f t="shared" si="21"/>
        <v>4.8999999999999932</v>
      </c>
      <c r="R66" s="131">
        <f t="shared" si="21"/>
        <v>4.8999999999999932</v>
      </c>
      <c r="S66" s="131">
        <f t="shared" si="21"/>
        <v>4.8999999999999932</v>
      </c>
      <c r="T66" s="130">
        <f t="shared" si="24"/>
        <v>16.009999999999991</v>
      </c>
      <c r="U66" s="130">
        <f t="shared" si="25"/>
        <v>5.919999999999999</v>
      </c>
      <c r="V66" s="16">
        <v>49</v>
      </c>
    </row>
    <row r="67" spans="2:22" ht="13" x14ac:dyDescent="0.3">
      <c r="B67" s="16">
        <v>50</v>
      </c>
      <c r="C67" s="130">
        <v>0</v>
      </c>
      <c r="D67" s="131" t="s">
        <v>193</v>
      </c>
      <c r="E67" s="131" t="s">
        <v>193</v>
      </c>
      <c r="F67" s="131" t="s">
        <v>193</v>
      </c>
      <c r="G67" s="131" t="s">
        <v>193</v>
      </c>
      <c r="H67" s="131" t="s">
        <v>193</v>
      </c>
      <c r="I67" s="131" t="s">
        <v>193</v>
      </c>
      <c r="J67" s="131" t="s">
        <v>193</v>
      </c>
      <c r="K67" s="131" t="s">
        <v>193</v>
      </c>
      <c r="L67" s="105">
        <f t="shared" si="22"/>
        <v>4.2499999999999982</v>
      </c>
      <c r="M67" s="105">
        <f t="shared" si="20"/>
        <v>4.2499999999999982</v>
      </c>
      <c r="N67" s="105">
        <f t="shared" si="20"/>
        <v>4.2499999999999982</v>
      </c>
      <c r="O67" s="105">
        <f t="shared" si="23"/>
        <v>4.9999999999999929</v>
      </c>
      <c r="P67" s="105">
        <f t="shared" si="21"/>
        <v>4.9999999999999929</v>
      </c>
      <c r="Q67" s="105">
        <f t="shared" si="21"/>
        <v>4.9999999999999929</v>
      </c>
      <c r="R67" s="105">
        <f t="shared" si="21"/>
        <v>4.9999999999999929</v>
      </c>
      <c r="S67" s="105">
        <f t="shared" si="21"/>
        <v>4.9999999999999929</v>
      </c>
      <c r="T67" s="105">
        <f t="shared" si="24"/>
        <v>16.499999999999989</v>
      </c>
      <c r="U67" s="105">
        <f t="shared" si="25"/>
        <v>5.9999999999999991</v>
      </c>
      <c r="V67" s="16">
        <v>50</v>
      </c>
    </row>
    <row r="68" spans="2:22" x14ac:dyDescent="0.25">
      <c r="B68" s="16">
        <v>51</v>
      </c>
      <c r="C68" s="130">
        <v>0</v>
      </c>
      <c r="D68" s="131" t="s">
        <v>193</v>
      </c>
      <c r="E68" s="131" t="s">
        <v>193</v>
      </c>
      <c r="F68" s="131" t="s">
        <v>193</v>
      </c>
      <c r="G68" s="131" t="s">
        <v>193</v>
      </c>
      <c r="H68" s="131" t="s">
        <v>193</v>
      </c>
      <c r="I68" s="131" t="s">
        <v>193</v>
      </c>
      <c r="J68" s="131" t="s">
        <v>193</v>
      </c>
      <c r="K68" s="131" t="s">
        <v>193</v>
      </c>
      <c r="L68" s="131">
        <f t="shared" si="22"/>
        <v>4.3249999999999984</v>
      </c>
      <c r="M68" s="131">
        <f t="shared" si="20"/>
        <v>4.3249999999999984</v>
      </c>
      <c r="N68" s="131">
        <f t="shared" si="20"/>
        <v>4.3249999999999984</v>
      </c>
      <c r="O68" s="131">
        <f t="shared" si="23"/>
        <v>5.0999999999999925</v>
      </c>
      <c r="P68" s="131">
        <f t="shared" si="21"/>
        <v>5.0999999999999925</v>
      </c>
      <c r="Q68" s="131">
        <f t="shared" si="21"/>
        <v>5.0999999999999925</v>
      </c>
      <c r="R68" s="131">
        <f t="shared" si="21"/>
        <v>5.0999999999999925</v>
      </c>
      <c r="S68" s="131">
        <f t="shared" si="21"/>
        <v>5.0999999999999925</v>
      </c>
      <c r="T68" s="130">
        <f>T67+0.5</f>
        <v>16.999999999999989</v>
      </c>
      <c r="U68" s="130">
        <f>U67+0.05</f>
        <v>6.0499999999999989</v>
      </c>
      <c r="V68" s="16">
        <v>51</v>
      </c>
    </row>
    <row r="69" spans="2:22" x14ac:dyDescent="0.25">
      <c r="B69" s="16">
        <v>52</v>
      </c>
      <c r="C69" s="130">
        <v>0</v>
      </c>
      <c r="D69" s="131" t="s">
        <v>193</v>
      </c>
      <c r="E69" s="131" t="s">
        <v>193</v>
      </c>
      <c r="F69" s="131" t="s">
        <v>193</v>
      </c>
      <c r="G69" s="131" t="s">
        <v>193</v>
      </c>
      <c r="H69" s="131" t="s">
        <v>193</v>
      </c>
      <c r="I69" s="131" t="s">
        <v>193</v>
      </c>
      <c r="J69" s="131" t="s">
        <v>193</v>
      </c>
      <c r="K69" s="131" t="s">
        <v>193</v>
      </c>
      <c r="L69" s="131">
        <f t="shared" si="22"/>
        <v>4.3999999999999986</v>
      </c>
      <c r="M69" s="131">
        <f t="shared" si="20"/>
        <v>4.3999999999999986</v>
      </c>
      <c r="N69" s="131">
        <f t="shared" si="20"/>
        <v>4.3999999999999986</v>
      </c>
      <c r="O69" s="131">
        <f t="shared" si="23"/>
        <v>5.1999999999999922</v>
      </c>
      <c r="P69" s="131">
        <f t="shared" si="21"/>
        <v>5.1999999999999922</v>
      </c>
      <c r="Q69" s="131">
        <f t="shared" si="21"/>
        <v>5.1999999999999922</v>
      </c>
      <c r="R69" s="131">
        <f t="shared" si="21"/>
        <v>5.1999999999999922</v>
      </c>
      <c r="S69" s="131">
        <f t="shared" si="21"/>
        <v>5.1999999999999922</v>
      </c>
      <c r="T69" s="130">
        <f t="shared" ref="T69:T77" si="26">T68+0.5</f>
        <v>17.499999999999989</v>
      </c>
      <c r="U69" s="130">
        <f t="shared" ref="U69:U77" si="27">U68+0.05</f>
        <v>6.0999999999999988</v>
      </c>
      <c r="V69" s="16">
        <v>52</v>
      </c>
    </row>
    <row r="70" spans="2:22" x14ac:dyDescent="0.25">
      <c r="B70" s="16">
        <v>53</v>
      </c>
      <c r="C70" s="130">
        <v>0</v>
      </c>
      <c r="D70" s="131" t="s">
        <v>193</v>
      </c>
      <c r="E70" s="131" t="s">
        <v>193</v>
      </c>
      <c r="F70" s="131" t="s">
        <v>193</v>
      </c>
      <c r="G70" s="131" t="s">
        <v>193</v>
      </c>
      <c r="H70" s="131" t="s">
        <v>193</v>
      </c>
      <c r="I70" s="131" t="s">
        <v>193</v>
      </c>
      <c r="J70" s="131" t="s">
        <v>193</v>
      </c>
      <c r="K70" s="131" t="s">
        <v>193</v>
      </c>
      <c r="L70" s="131">
        <f t="shared" si="22"/>
        <v>4.4749999999999988</v>
      </c>
      <c r="M70" s="131">
        <f t="shared" si="20"/>
        <v>4.4749999999999988</v>
      </c>
      <c r="N70" s="131">
        <f t="shared" si="20"/>
        <v>4.4749999999999988</v>
      </c>
      <c r="O70" s="131">
        <f t="shared" si="23"/>
        <v>5.2999999999999918</v>
      </c>
      <c r="P70" s="131">
        <f t="shared" si="21"/>
        <v>5.2999999999999918</v>
      </c>
      <c r="Q70" s="131">
        <f t="shared" si="21"/>
        <v>5.2999999999999918</v>
      </c>
      <c r="R70" s="131">
        <f t="shared" si="21"/>
        <v>5.2999999999999918</v>
      </c>
      <c r="S70" s="131">
        <f t="shared" si="21"/>
        <v>5.2999999999999918</v>
      </c>
      <c r="T70" s="130">
        <f t="shared" si="26"/>
        <v>17.999999999999989</v>
      </c>
      <c r="U70" s="130">
        <f t="shared" si="27"/>
        <v>6.1499999999999986</v>
      </c>
      <c r="V70" s="16">
        <v>53</v>
      </c>
    </row>
    <row r="71" spans="2:22" x14ac:dyDescent="0.25">
      <c r="B71" s="16">
        <v>54</v>
      </c>
      <c r="C71" s="130">
        <v>0</v>
      </c>
      <c r="D71" s="131" t="s">
        <v>193</v>
      </c>
      <c r="E71" s="131" t="s">
        <v>193</v>
      </c>
      <c r="F71" s="131" t="s">
        <v>193</v>
      </c>
      <c r="G71" s="131" t="s">
        <v>193</v>
      </c>
      <c r="H71" s="131" t="s">
        <v>193</v>
      </c>
      <c r="I71" s="131" t="s">
        <v>193</v>
      </c>
      <c r="J71" s="131" t="s">
        <v>193</v>
      </c>
      <c r="K71" s="131" t="s">
        <v>193</v>
      </c>
      <c r="L71" s="131">
        <f t="shared" si="22"/>
        <v>4.5499999999999989</v>
      </c>
      <c r="M71" s="131">
        <f t="shared" si="20"/>
        <v>4.5499999999999989</v>
      </c>
      <c r="N71" s="131">
        <f t="shared" si="20"/>
        <v>4.5499999999999989</v>
      </c>
      <c r="O71" s="131">
        <f t="shared" si="23"/>
        <v>5.3999999999999915</v>
      </c>
      <c r="P71" s="131">
        <f t="shared" si="21"/>
        <v>5.3999999999999915</v>
      </c>
      <c r="Q71" s="131">
        <f t="shared" si="21"/>
        <v>5.3999999999999915</v>
      </c>
      <c r="R71" s="131">
        <f t="shared" si="21"/>
        <v>5.3999999999999915</v>
      </c>
      <c r="S71" s="131">
        <f t="shared" si="21"/>
        <v>5.3999999999999915</v>
      </c>
      <c r="T71" s="130">
        <f t="shared" si="26"/>
        <v>18.499999999999989</v>
      </c>
      <c r="U71" s="130">
        <f t="shared" si="27"/>
        <v>6.1999999999999984</v>
      </c>
      <c r="V71" s="16">
        <v>54</v>
      </c>
    </row>
    <row r="72" spans="2:22" x14ac:dyDescent="0.25">
      <c r="B72" s="16">
        <v>55</v>
      </c>
      <c r="C72" s="130">
        <v>0</v>
      </c>
      <c r="D72" s="131" t="s">
        <v>193</v>
      </c>
      <c r="E72" s="131" t="s">
        <v>193</v>
      </c>
      <c r="F72" s="131" t="s">
        <v>193</v>
      </c>
      <c r="G72" s="131" t="s">
        <v>193</v>
      </c>
      <c r="H72" s="131" t="s">
        <v>193</v>
      </c>
      <c r="I72" s="131" t="s">
        <v>193</v>
      </c>
      <c r="J72" s="131" t="s">
        <v>193</v>
      </c>
      <c r="K72" s="131" t="s">
        <v>193</v>
      </c>
      <c r="L72" s="131">
        <f t="shared" si="22"/>
        <v>4.6249999999999991</v>
      </c>
      <c r="M72" s="131">
        <f t="shared" si="20"/>
        <v>4.6249999999999991</v>
      </c>
      <c r="N72" s="131">
        <f t="shared" si="20"/>
        <v>4.6249999999999991</v>
      </c>
      <c r="O72" s="131">
        <f t="shared" si="23"/>
        <v>5.4999999999999911</v>
      </c>
      <c r="P72" s="131">
        <f t="shared" si="21"/>
        <v>5.4999999999999911</v>
      </c>
      <c r="Q72" s="131">
        <f t="shared" si="21"/>
        <v>5.4999999999999911</v>
      </c>
      <c r="R72" s="131">
        <f t="shared" si="21"/>
        <v>5.4999999999999911</v>
      </c>
      <c r="S72" s="131">
        <f t="shared" si="21"/>
        <v>5.4999999999999911</v>
      </c>
      <c r="T72" s="130">
        <f t="shared" si="26"/>
        <v>18.999999999999989</v>
      </c>
      <c r="U72" s="130">
        <f t="shared" si="27"/>
        <v>6.2499999999999982</v>
      </c>
      <c r="V72" s="16">
        <v>55</v>
      </c>
    </row>
    <row r="73" spans="2:22" x14ac:dyDescent="0.25">
      <c r="B73" s="16">
        <v>56</v>
      </c>
      <c r="C73" s="130">
        <v>0</v>
      </c>
      <c r="D73" s="131" t="s">
        <v>193</v>
      </c>
      <c r="E73" s="131" t="s">
        <v>193</v>
      </c>
      <c r="F73" s="131" t="s">
        <v>193</v>
      </c>
      <c r="G73" s="131" t="s">
        <v>193</v>
      </c>
      <c r="H73" s="131" t="s">
        <v>193</v>
      </c>
      <c r="I73" s="131" t="s">
        <v>193</v>
      </c>
      <c r="J73" s="131" t="s">
        <v>193</v>
      </c>
      <c r="K73" s="131" t="s">
        <v>193</v>
      </c>
      <c r="L73" s="131">
        <f t="shared" si="22"/>
        <v>4.6999999999999993</v>
      </c>
      <c r="M73" s="131">
        <f t="shared" si="20"/>
        <v>4.6999999999999993</v>
      </c>
      <c r="N73" s="131">
        <f t="shared" si="20"/>
        <v>4.6999999999999993</v>
      </c>
      <c r="O73" s="131">
        <f t="shared" si="23"/>
        <v>5.5999999999999908</v>
      </c>
      <c r="P73" s="131">
        <f t="shared" si="21"/>
        <v>5.5999999999999908</v>
      </c>
      <c r="Q73" s="131">
        <f t="shared" si="21"/>
        <v>5.5999999999999908</v>
      </c>
      <c r="R73" s="131">
        <f t="shared" si="21"/>
        <v>5.5999999999999908</v>
      </c>
      <c r="S73" s="131">
        <f t="shared" si="21"/>
        <v>5.5999999999999908</v>
      </c>
      <c r="T73" s="130">
        <f t="shared" si="26"/>
        <v>19.499999999999989</v>
      </c>
      <c r="U73" s="130">
        <f t="shared" si="27"/>
        <v>6.299999999999998</v>
      </c>
      <c r="V73" s="16">
        <v>56</v>
      </c>
    </row>
    <row r="74" spans="2:22" x14ac:dyDescent="0.25">
      <c r="B74" s="16">
        <v>57</v>
      </c>
      <c r="C74" s="130">
        <v>0</v>
      </c>
      <c r="D74" s="131" t="s">
        <v>193</v>
      </c>
      <c r="E74" s="131" t="s">
        <v>193</v>
      </c>
      <c r="F74" s="131" t="s">
        <v>193</v>
      </c>
      <c r="G74" s="131" t="s">
        <v>193</v>
      </c>
      <c r="H74" s="131" t="s">
        <v>193</v>
      </c>
      <c r="I74" s="131" t="s">
        <v>193</v>
      </c>
      <c r="J74" s="131" t="s">
        <v>193</v>
      </c>
      <c r="K74" s="131" t="s">
        <v>193</v>
      </c>
      <c r="L74" s="131">
        <f t="shared" si="22"/>
        <v>4.7749999999999995</v>
      </c>
      <c r="M74" s="131">
        <f t="shared" si="22"/>
        <v>4.7749999999999995</v>
      </c>
      <c r="N74" s="131">
        <f t="shared" si="22"/>
        <v>4.7749999999999995</v>
      </c>
      <c r="O74" s="131">
        <f t="shared" si="23"/>
        <v>5.6999999999999904</v>
      </c>
      <c r="P74" s="131">
        <f t="shared" si="23"/>
        <v>5.6999999999999904</v>
      </c>
      <c r="Q74" s="131">
        <f t="shared" si="23"/>
        <v>5.6999999999999904</v>
      </c>
      <c r="R74" s="131">
        <f t="shared" si="23"/>
        <v>5.6999999999999904</v>
      </c>
      <c r="S74" s="131">
        <f t="shared" si="23"/>
        <v>5.6999999999999904</v>
      </c>
      <c r="T74" s="130">
        <f t="shared" si="26"/>
        <v>19.999999999999989</v>
      </c>
      <c r="U74" s="130">
        <f t="shared" si="27"/>
        <v>6.3499999999999979</v>
      </c>
      <c r="V74" s="16">
        <v>57</v>
      </c>
    </row>
    <row r="75" spans="2:22" x14ac:dyDescent="0.25">
      <c r="B75" s="16">
        <v>58</v>
      </c>
      <c r="C75" s="130">
        <v>0</v>
      </c>
      <c r="D75" s="131" t="s">
        <v>193</v>
      </c>
      <c r="E75" s="131" t="s">
        <v>193</v>
      </c>
      <c r="F75" s="131" t="s">
        <v>193</v>
      </c>
      <c r="G75" s="131" t="s">
        <v>193</v>
      </c>
      <c r="H75" s="131" t="s">
        <v>193</v>
      </c>
      <c r="I75" s="131" t="s">
        <v>193</v>
      </c>
      <c r="J75" s="131" t="s">
        <v>193</v>
      </c>
      <c r="K75" s="131" t="s">
        <v>193</v>
      </c>
      <c r="L75" s="131">
        <f t="shared" ref="L75:N77" si="28">L74+0.075</f>
        <v>4.8499999999999996</v>
      </c>
      <c r="M75" s="131">
        <f t="shared" si="28"/>
        <v>4.8499999999999996</v>
      </c>
      <c r="N75" s="131">
        <f t="shared" si="28"/>
        <v>4.8499999999999996</v>
      </c>
      <c r="O75" s="131">
        <f t="shared" ref="O75:S77" si="29">O74+0.1</f>
        <v>5.7999999999999901</v>
      </c>
      <c r="P75" s="131">
        <f t="shared" si="29"/>
        <v>5.7999999999999901</v>
      </c>
      <c r="Q75" s="131">
        <f t="shared" si="29"/>
        <v>5.7999999999999901</v>
      </c>
      <c r="R75" s="131">
        <f t="shared" si="29"/>
        <v>5.7999999999999901</v>
      </c>
      <c r="S75" s="131">
        <f t="shared" si="29"/>
        <v>5.7999999999999901</v>
      </c>
      <c r="T75" s="130">
        <f t="shared" si="26"/>
        <v>20.499999999999989</v>
      </c>
      <c r="U75" s="130">
        <f t="shared" si="27"/>
        <v>6.3999999999999977</v>
      </c>
      <c r="V75" s="16">
        <v>58</v>
      </c>
    </row>
    <row r="76" spans="2:22" x14ac:dyDescent="0.25">
      <c r="B76" s="16">
        <v>59</v>
      </c>
      <c r="C76" s="130">
        <v>0</v>
      </c>
      <c r="D76" s="131" t="s">
        <v>193</v>
      </c>
      <c r="E76" s="131" t="s">
        <v>193</v>
      </c>
      <c r="F76" s="131" t="s">
        <v>193</v>
      </c>
      <c r="G76" s="131" t="s">
        <v>193</v>
      </c>
      <c r="H76" s="131" t="s">
        <v>193</v>
      </c>
      <c r="I76" s="131" t="s">
        <v>193</v>
      </c>
      <c r="J76" s="131" t="s">
        <v>193</v>
      </c>
      <c r="K76" s="131" t="s">
        <v>193</v>
      </c>
      <c r="L76" s="131">
        <f t="shared" si="28"/>
        <v>4.9249999999999998</v>
      </c>
      <c r="M76" s="131">
        <f t="shared" si="28"/>
        <v>4.9249999999999998</v>
      </c>
      <c r="N76" s="131">
        <f t="shared" si="28"/>
        <v>4.9249999999999998</v>
      </c>
      <c r="O76" s="131">
        <f t="shared" si="29"/>
        <v>5.8999999999999897</v>
      </c>
      <c r="P76" s="131">
        <f t="shared" si="29"/>
        <v>5.8999999999999897</v>
      </c>
      <c r="Q76" s="131">
        <f t="shared" si="29"/>
        <v>5.8999999999999897</v>
      </c>
      <c r="R76" s="131">
        <f t="shared" si="29"/>
        <v>5.8999999999999897</v>
      </c>
      <c r="S76" s="131">
        <f t="shared" si="29"/>
        <v>5.8999999999999897</v>
      </c>
      <c r="T76" s="130">
        <f t="shared" si="26"/>
        <v>20.999999999999989</v>
      </c>
      <c r="U76" s="130">
        <f t="shared" si="27"/>
        <v>6.4499999999999975</v>
      </c>
      <c r="V76" s="16">
        <v>59</v>
      </c>
    </row>
    <row r="77" spans="2:22" ht="13" x14ac:dyDescent="0.3">
      <c r="B77" s="16">
        <v>60</v>
      </c>
      <c r="C77" s="130">
        <v>0</v>
      </c>
      <c r="D77" s="131" t="s">
        <v>193</v>
      </c>
      <c r="E77" s="131" t="s">
        <v>193</v>
      </c>
      <c r="F77" s="131" t="s">
        <v>193</v>
      </c>
      <c r="G77" s="131" t="s">
        <v>193</v>
      </c>
      <c r="H77" s="131" t="s">
        <v>193</v>
      </c>
      <c r="I77" s="131" t="s">
        <v>193</v>
      </c>
      <c r="J77" s="131" t="s">
        <v>193</v>
      </c>
      <c r="K77" s="131" t="s">
        <v>193</v>
      </c>
      <c r="L77" s="132">
        <f t="shared" si="28"/>
        <v>5</v>
      </c>
      <c r="M77" s="132">
        <f t="shared" si="28"/>
        <v>5</v>
      </c>
      <c r="N77" s="132">
        <f t="shared" si="28"/>
        <v>5</v>
      </c>
      <c r="O77" s="132">
        <f t="shared" si="29"/>
        <v>5.9999999999999893</v>
      </c>
      <c r="P77" s="132">
        <f t="shared" si="29"/>
        <v>5.9999999999999893</v>
      </c>
      <c r="Q77" s="132">
        <f t="shared" si="29"/>
        <v>5.9999999999999893</v>
      </c>
      <c r="R77" s="132">
        <f t="shared" si="29"/>
        <v>5.9999999999999893</v>
      </c>
      <c r="S77" s="132">
        <f t="shared" si="29"/>
        <v>5.9999999999999893</v>
      </c>
      <c r="T77" s="105">
        <f t="shared" si="26"/>
        <v>21.499999999999989</v>
      </c>
      <c r="U77" s="105">
        <f t="shared" si="27"/>
        <v>6.4999999999999973</v>
      </c>
      <c r="V77" s="16">
        <v>60</v>
      </c>
    </row>
    <row r="78" spans="2:22" x14ac:dyDescent="0.25">
      <c r="B78" s="16">
        <v>61</v>
      </c>
      <c r="C78" s="130">
        <v>0</v>
      </c>
      <c r="D78" s="131" t="s">
        <v>193</v>
      </c>
      <c r="E78" s="131" t="s">
        <v>193</v>
      </c>
      <c r="F78" s="131" t="s">
        <v>193</v>
      </c>
      <c r="G78" s="131" t="s">
        <v>193</v>
      </c>
      <c r="H78" s="131" t="s">
        <v>193</v>
      </c>
      <c r="I78" s="131" t="s">
        <v>193</v>
      </c>
      <c r="J78" s="131" t="s">
        <v>193</v>
      </c>
      <c r="K78" s="131" t="s">
        <v>193</v>
      </c>
      <c r="L78" s="131">
        <f>L77+0.125</f>
        <v>5.125</v>
      </c>
      <c r="M78" s="131">
        <f t="shared" ref="M78:N93" si="30">M77+0.125</f>
        <v>5.125</v>
      </c>
      <c r="N78" s="131">
        <f t="shared" si="30"/>
        <v>5.125</v>
      </c>
      <c r="O78" s="131">
        <f>O77+0.15</f>
        <v>6.1499999999999897</v>
      </c>
      <c r="P78" s="131">
        <f t="shared" ref="P78:S93" si="31">P77+0.15</f>
        <v>6.1499999999999897</v>
      </c>
      <c r="Q78" s="131">
        <f t="shared" si="31"/>
        <v>6.1499999999999897</v>
      </c>
      <c r="R78" s="131">
        <f t="shared" si="31"/>
        <v>6.1499999999999897</v>
      </c>
      <c r="S78" s="131">
        <f t="shared" si="31"/>
        <v>6.1499999999999897</v>
      </c>
      <c r="T78" s="131" t="s">
        <v>193</v>
      </c>
      <c r="U78" s="130">
        <f>U77+0.08</f>
        <v>6.5799999999999974</v>
      </c>
      <c r="V78" s="16">
        <v>61</v>
      </c>
    </row>
    <row r="79" spans="2:22" x14ac:dyDescent="0.25">
      <c r="B79" s="16">
        <v>62</v>
      </c>
      <c r="C79" s="130">
        <v>0</v>
      </c>
      <c r="D79" s="131" t="s">
        <v>193</v>
      </c>
      <c r="E79" s="131" t="s">
        <v>193</v>
      </c>
      <c r="F79" s="131" t="s">
        <v>193</v>
      </c>
      <c r="G79" s="131" t="s">
        <v>193</v>
      </c>
      <c r="H79" s="131" t="s">
        <v>193</v>
      </c>
      <c r="I79" s="131" t="s">
        <v>193</v>
      </c>
      <c r="J79" s="131" t="s">
        <v>193</v>
      </c>
      <c r="K79" s="131" t="s">
        <v>193</v>
      </c>
      <c r="L79" s="131">
        <f t="shared" ref="L79:N94" si="32">L78+0.125</f>
        <v>5.25</v>
      </c>
      <c r="M79" s="131">
        <f t="shared" si="30"/>
        <v>5.25</v>
      </c>
      <c r="N79" s="131">
        <f t="shared" si="30"/>
        <v>5.25</v>
      </c>
      <c r="O79" s="131">
        <f t="shared" ref="O79:S94" si="33">O78+0.15</f>
        <v>6.2999999999999901</v>
      </c>
      <c r="P79" s="131">
        <f t="shared" si="31"/>
        <v>6.2999999999999901</v>
      </c>
      <c r="Q79" s="131">
        <f t="shared" si="31"/>
        <v>6.2999999999999901</v>
      </c>
      <c r="R79" s="131">
        <f t="shared" si="31"/>
        <v>6.2999999999999901</v>
      </c>
      <c r="S79" s="131">
        <f t="shared" si="31"/>
        <v>6.2999999999999901</v>
      </c>
      <c r="T79" s="131" t="s">
        <v>193</v>
      </c>
      <c r="U79" s="130">
        <f t="shared" ref="U79:U87" si="34">U78+0.08</f>
        <v>6.6599999999999975</v>
      </c>
      <c r="V79" s="16">
        <v>62</v>
      </c>
    </row>
    <row r="80" spans="2:22" x14ac:dyDescent="0.25">
      <c r="B80" s="16">
        <v>63</v>
      </c>
      <c r="C80" s="130">
        <v>0</v>
      </c>
      <c r="D80" s="131" t="s">
        <v>193</v>
      </c>
      <c r="E80" s="131" t="s">
        <v>193</v>
      </c>
      <c r="F80" s="131" t="s">
        <v>193</v>
      </c>
      <c r="G80" s="131" t="s">
        <v>193</v>
      </c>
      <c r="H80" s="131" t="s">
        <v>193</v>
      </c>
      <c r="I80" s="131" t="s">
        <v>193</v>
      </c>
      <c r="J80" s="131" t="s">
        <v>193</v>
      </c>
      <c r="K80" s="131" t="s">
        <v>193</v>
      </c>
      <c r="L80" s="131">
        <f t="shared" si="32"/>
        <v>5.375</v>
      </c>
      <c r="M80" s="131">
        <f t="shared" si="30"/>
        <v>5.375</v>
      </c>
      <c r="N80" s="131">
        <f t="shared" si="30"/>
        <v>5.375</v>
      </c>
      <c r="O80" s="131">
        <f t="shared" si="33"/>
        <v>6.4499999999999904</v>
      </c>
      <c r="P80" s="131">
        <f t="shared" si="31"/>
        <v>6.4499999999999904</v>
      </c>
      <c r="Q80" s="131">
        <f t="shared" si="31"/>
        <v>6.4499999999999904</v>
      </c>
      <c r="R80" s="131">
        <f t="shared" si="31"/>
        <v>6.4499999999999904</v>
      </c>
      <c r="S80" s="131">
        <f t="shared" si="31"/>
        <v>6.4499999999999904</v>
      </c>
      <c r="T80" s="131" t="s">
        <v>193</v>
      </c>
      <c r="U80" s="130">
        <f t="shared" si="34"/>
        <v>6.7399999999999975</v>
      </c>
      <c r="V80" s="16">
        <v>63</v>
      </c>
    </row>
    <row r="81" spans="2:22" x14ac:dyDescent="0.25">
      <c r="B81" s="16">
        <v>64</v>
      </c>
      <c r="C81" s="130">
        <v>0</v>
      </c>
      <c r="D81" s="131" t="s">
        <v>193</v>
      </c>
      <c r="E81" s="131" t="s">
        <v>193</v>
      </c>
      <c r="F81" s="131" t="s">
        <v>193</v>
      </c>
      <c r="G81" s="131" t="s">
        <v>193</v>
      </c>
      <c r="H81" s="131" t="s">
        <v>193</v>
      </c>
      <c r="I81" s="131" t="s">
        <v>193</v>
      </c>
      <c r="J81" s="131" t="s">
        <v>193</v>
      </c>
      <c r="K81" s="131" t="s">
        <v>193</v>
      </c>
      <c r="L81" s="131">
        <f t="shared" si="32"/>
        <v>5.5</v>
      </c>
      <c r="M81" s="131">
        <f t="shared" si="30"/>
        <v>5.5</v>
      </c>
      <c r="N81" s="131">
        <f t="shared" si="30"/>
        <v>5.5</v>
      </c>
      <c r="O81" s="131">
        <f t="shared" si="33"/>
        <v>6.5999999999999908</v>
      </c>
      <c r="P81" s="131">
        <f t="shared" si="31"/>
        <v>6.5999999999999908</v>
      </c>
      <c r="Q81" s="131">
        <f t="shared" si="31"/>
        <v>6.5999999999999908</v>
      </c>
      <c r="R81" s="131">
        <f t="shared" si="31"/>
        <v>6.5999999999999908</v>
      </c>
      <c r="S81" s="131">
        <f t="shared" si="31"/>
        <v>6.5999999999999908</v>
      </c>
      <c r="T81" s="131" t="s">
        <v>193</v>
      </c>
      <c r="U81" s="130">
        <f t="shared" si="34"/>
        <v>6.8199999999999976</v>
      </c>
      <c r="V81" s="16">
        <v>64</v>
      </c>
    </row>
    <row r="82" spans="2:22" x14ac:dyDescent="0.25">
      <c r="B82" s="16">
        <v>65</v>
      </c>
      <c r="C82" s="130">
        <v>0</v>
      </c>
      <c r="D82" s="131" t="s">
        <v>193</v>
      </c>
      <c r="E82" s="131" t="s">
        <v>193</v>
      </c>
      <c r="F82" s="131" t="s">
        <v>193</v>
      </c>
      <c r="G82" s="131" t="s">
        <v>193</v>
      </c>
      <c r="H82" s="131" t="s">
        <v>193</v>
      </c>
      <c r="I82" s="131" t="s">
        <v>193</v>
      </c>
      <c r="J82" s="131" t="s">
        <v>193</v>
      </c>
      <c r="K82" s="131" t="s">
        <v>193</v>
      </c>
      <c r="L82" s="131">
        <f t="shared" si="32"/>
        <v>5.625</v>
      </c>
      <c r="M82" s="131">
        <f t="shared" si="30"/>
        <v>5.625</v>
      </c>
      <c r="N82" s="131">
        <f t="shared" si="30"/>
        <v>5.625</v>
      </c>
      <c r="O82" s="131">
        <f t="shared" si="33"/>
        <v>6.7499999999999911</v>
      </c>
      <c r="P82" s="131">
        <f t="shared" si="31"/>
        <v>6.7499999999999911</v>
      </c>
      <c r="Q82" s="131">
        <f t="shared" si="31"/>
        <v>6.7499999999999911</v>
      </c>
      <c r="R82" s="131">
        <f t="shared" si="31"/>
        <v>6.7499999999999911</v>
      </c>
      <c r="S82" s="131">
        <f t="shared" si="31"/>
        <v>6.7499999999999911</v>
      </c>
      <c r="T82" s="131" t="s">
        <v>193</v>
      </c>
      <c r="U82" s="130">
        <f t="shared" si="34"/>
        <v>6.8999999999999977</v>
      </c>
      <c r="V82" s="16">
        <v>65</v>
      </c>
    </row>
    <row r="83" spans="2:22" x14ac:dyDescent="0.25">
      <c r="B83" s="16">
        <v>66</v>
      </c>
      <c r="C83" s="130">
        <v>0</v>
      </c>
      <c r="D83" s="131" t="s">
        <v>193</v>
      </c>
      <c r="E83" s="131" t="s">
        <v>193</v>
      </c>
      <c r="F83" s="131" t="s">
        <v>193</v>
      </c>
      <c r="G83" s="131" t="s">
        <v>193</v>
      </c>
      <c r="H83" s="131" t="s">
        <v>193</v>
      </c>
      <c r="I83" s="131" t="s">
        <v>193</v>
      </c>
      <c r="J83" s="131" t="s">
        <v>193</v>
      </c>
      <c r="K83" s="131" t="s">
        <v>193</v>
      </c>
      <c r="L83" s="131">
        <f t="shared" si="32"/>
        <v>5.75</v>
      </c>
      <c r="M83" s="131">
        <f t="shared" si="30"/>
        <v>5.75</v>
      </c>
      <c r="N83" s="131">
        <f t="shared" si="30"/>
        <v>5.75</v>
      </c>
      <c r="O83" s="131">
        <f t="shared" si="33"/>
        <v>6.8999999999999915</v>
      </c>
      <c r="P83" s="131">
        <f t="shared" si="31"/>
        <v>6.8999999999999915</v>
      </c>
      <c r="Q83" s="131">
        <f t="shared" si="31"/>
        <v>6.8999999999999915</v>
      </c>
      <c r="R83" s="131">
        <f t="shared" si="31"/>
        <v>6.8999999999999915</v>
      </c>
      <c r="S83" s="131">
        <f t="shared" si="31"/>
        <v>6.8999999999999915</v>
      </c>
      <c r="T83" s="131" t="s">
        <v>193</v>
      </c>
      <c r="U83" s="130">
        <f t="shared" si="34"/>
        <v>6.9799999999999978</v>
      </c>
      <c r="V83" s="16">
        <v>66</v>
      </c>
    </row>
    <row r="84" spans="2:22" x14ac:dyDescent="0.25">
      <c r="B84" s="16">
        <v>67</v>
      </c>
      <c r="C84" s="130">
        <v>0</v>
      </c>
      <c r="D84" s="131" t="s">
        <v>193</v>
      </c>
      <c r="E84" s="131" t="s">
        <v>193</v>
      </c>
      <c r="F84" s="131" t="s">
        <v>193</v>
      </c>
      <c r="G84" s="131" t="s">
        <v>193</v>
      </c>
      <c r="H84" s="131" t="s">
        <v>193</v>
      </c>
      <c r="I84" s="131" t="s">
        <v>193</v>
      </c>
      <c r="J84" s="131" t="s">
        <v>193</v>
      </c>
      <c r="K84" s="131" t="s">
        <v>193</v>
      </c>
      <c r="L84" s="131">
        <f t="shared" si="32"/>
        <v>5.875</v>
      </c>
      <c r="M84" s="131">
        <f t="shared" si="30"/>
        <v>5.875</v>
      </c>
      <c r="N84" s="131">
        <f t="shared" si="30"/>
        <v>5.875</v>
      </c>
      <c r="O84" s="131">
        <f t="shared" si="33"/>
        <v>7.0499999999999918</v>
      </c>
      <c r="P84" s="131">
        <f t="shared" si="31"/>
        <v>7.0499999999999918</v>
      </c>
      <c r="Q84" s="131">
        <f t="shared" si="31"/>
        <v>7.0499999999999918</v>
      </c>
      <c r="R84" s="131">
        <f t="shared" si="31"/>
        <v>7.0499999999999918</v>
      </c>
      <c r="S84" s="131">
        <f t="shared" si="31"/>
        <v>7.0499999999999918</v>
      </c>
      <c r="T84" s="131" t="s">
        <v>193</v>
      </c>
      <c r="U84" s="130">
        <f t="shared" si="34"/>
        <v>7.0599999999999978</v>
      </c>
      <c r="V84" s="16">
        <v>67</v>
      </c>
    </row>
    <row r="85" spans="2:22" x14ac:dyDescent="0.25">
      <c r="B85" s="16">
        <v>68</v>
      </c>
      <c r="C85" s="130">
        <v>0</v>
      </c>
      <c r="D85" s="131" t="s">
        <v>193</v>
      </c>
      <c r="E85" s="131" t="s">
        <v>193</v>
      </c>
      <c r="F85" s="131" t="s">
        <v>193</v>
      </c>
      <c r="G85" s="131" t="s">
        <v>193</v>
      </c>
      <c r="H85" s="131" t="s">
        <v>193</v>
      </c>
      <c r="I85" s="131" t="s">
        <v>193</v>
      </c>
      <c r="J85" s="131" t="s">
        <v>193</v>
      </c>
      <c r="K85" s="131" t="s">
        <v>193</v>
      </c>
      <c r="L85" s="131">
        <f t="shared" si="32"/>
        <v>6</v>
      </c>
      <c r="M85" s="131">
        <f t="shared" si="30"/>
        <v>6</v>
      </c>
      <c r="N85" s="131">
        <f t="shared" si="30"/>
        <v>6</v>
      </c>
      <c r="O85" s="131">
        <f t="shared" si="33"/>
        <v>7.1999999999999922</v>
      </c>
      <c r="P85" s="131">
        <f t="shared" si="31"/>
        <v>7.1999999999999922</v>
      </c>
      <c r="Q85" s="131">
        <f t="shared" si="31"/>
        <v>7.1999999999999922</v>
      </c>
      <c r="R85" s="131">
        <f t="shared" si="31"/>
        <v>7.1999999999999922</v>
      </c>
      <c r="S85" s="131">
        <f t="shared" si="31"/>
        <v>7.1999999999999922</v>
      </c>
      <c r="T85" s="131" t="s">
        <v>193</v>
      </c>
      <c r="U85" s="130">
        <f t="shared" si="34"/>
        <v>7.1399999999999979</v>
      </c>
      <c r="V85" s="16">
        <v>68</v>
      </c>
    </row>
    <row r="86" spans="2:22" x14ac:dyDescent="0.25">
      <c r="B86" s="16">
        <v>69</v>
      </c>
      <c r="C86" s="130">
        <v>0</v>
      </c>
      <c r="D86" s="131" t="s">
        <v>193</v>
      </c>
      <c r="E86" s="131" t="s">
        <v>193</v>
      </c>
      <c r="F86" s="131" t="s">
        <v>193</v>
      </c>
      <c r="G86" s="131" t="s">
        <v>193</v>
      </c>
      <c r="H86" s="131" t="s">
        <v>193</v>
      </c>
      <c r="I86" s="131" t="s">
        <v>193</v>
      </c>
      <c r="J86" s="131" t="s">
        <v>193</v>
      </c>
      <c r="K86" s="131" t="s">
        <v>193</v>
      </c>
      <c r="L86" s="131">
        <f t="shared" si="32"/>
        <v>6.125</v>
      </c>
      <c r="M86" s="131">
        <f t="shared" si="30"/>
        <v>6.125</v>
      </c>
      <c r="N86" s="131">
        <f t="shared" si="30"/>
        <v>6.125</v>
      </c>
      <c r="O86" s="131">
        <f t="shared" si="33"/>
        <v>7.3499999999999925</v>
      </c>
      <c r="P86" s="131">
        <f t="shared" si="31"/>
        <v>7.3499999999999925</v>
      </c>
      <c r="Q86" s="131">
        <f t="shared" si="31"/>
        <v>7.3499999999999925</v>
      </c>
      <c r="R86" s="131">
        <f t="shared" si="31"/>
        <v>7.3499999999999925</v>
      </c>
      <c r="S86" s="131">
        <f t="shared" si="31"/>
        <v>7.3499999999999925</v>
      </c>
      <c r="T86" s="131" t="s">
        <v>193</v>
      </c>
      <c r="U86" s="130">
        <f t="shared" si="34"/>
        <v>7.219999999999998</v>
      </c>
      <c r="V86" s="16">
        <v>69</v>
      </c>
    </row>
    <row r="87" spans="2:22" ht="13" x14ac:dyDescent="0.3">
      <c r="B87" s="16">
        <v>70</v>
      </c>
      <c r="C87" s="130">
        <v>0</v>
      </c>
      <c r="D87" s="131" t="s">
        <v>193</v>
      </c>
      <c r="E87" s="131" t="s">
        <v>193</v>
      </c>
      <c r="F87" s="131" t="s">
        <v>193</v>
      </c>
      <c r="G87" s="131" t="s">
        <v>193</v>
      </c>
      <c r="H87" s="131" t="s">
        <v>193</v>
      </c>
      <c r="I87" s="131" t="s">
        <v>193</v>
      </c>
      <c r="J87" s="131" t="s">
        <v>193</v>
      </c>
      <c r="K87" s="131" t="s">
        <v>193</v>
      </c>
      <c r="L87" s="105">
        <f t="shared" si="32"/>
        <v>6.25</v>
      </c>
      <c r="M87" s="105">
        <f t="shared" si="30"/>
        <v>6.25</v>
      </c>
      <c r="N87" s="105">
        <f t="shared" si="30"/>
        <v>6.25</v>
      </c>
      <c r="O87" s="105">
        <f t="shared" si="33"/>
        <v>7.4999999999999929</v>
      </c>
      <c r="P87" s="105">
        <f t="shared" si="31"/>
        <v>7.4999999999999929</v>
      </c>
      <c r="Q87" s="105">
        <f t="shared" si="31"/>
        <v>7.4999999999999929</v>
      </c>
      <c r="R87" s="105">
        <f t="shared" si="31"/>
        <v>7.4999999999999929</v>
      </c>
      <c r="S87" s="105">
        <f t="shared" si="31"/>
        <v>7.4999999999999929</v>
      </c>
      <c r="T87" s="131" t="s">
        <v>193</v>
      </c>
      <c r="U87" s="105">
        <f t="shared" si="34"/>
        <v>7.299999999999998</v>
      </c>
      <c r="V87" s="16">
        <v>70</v>
      </c>
    </row>
    <row r="88" spans="2:22" x14ac:dyDescent="0.25">
      <c r="B88" s="16">
        <v>71</v>
      </c>
      <c r="C88" s="130">
        <v>0</v>
      </c>
      <c r="D88" s="131" t="s">
        <v>193</v>
      </c>
      <c r="E88" s="131" t="s">
        <v>193</v>
      </c>
      <c r="F88" s="131" t="s">
        <v>193</v>
      </c>
      <c r="G88" s="131" t="s">
        <v>193</v>
      </c>
      <c r="H88" s="131" t="s">
        <v>193</v>
      </c>
      <c r="I88" s="131" t="s">
        <v>193</v>
      </c>
      <c r="J88" s="131" t="s">
        <v>193</v>
      </c>
      <c r="K88" s="131" t="s">
        <v>193</v>
      </c>
      <c r="L88" s="131">
        <f t="shared" si="32"/>
        <v>6.375</v>
      </c>
      <c r="M88" s="131">
        <f t="shared" si="30"/>
        <v>6.375</v>
      </c>
      <c r="N88" s="131">
        <f t="shared" si="30"/>
        <v>6.375</v>
      </c>
      <c r="O88" s="131">
        <f t="shared" si="33"/>
        <v>7.6499999999999932</v>
      </c>
      <c r="P88" s="131">
        <f t="shared" si="31"/>
        <v>7.6499999999999932</v>
      </c>
      <c r="Q88" s="131">
        <f t="shared" si="31"/>
        <v>7.6499999999999932</v>
      </c>
      <c r="R88" s="131">
        <f t="shared" si="31"/>
        <v>7.6499999999999932</v>
      </c>
      <c r="S88" s="131">
        <f t="shared" si="31"/>
        <v>7.6499999999999932</v>
      </c>
      <c r="T88" s="131" t="s">
        <v>193</v>
      </c>
      <c r="U88" s="130">
        <f>U87+0.07</f>
        <v>7.3699999999999983</v>
      </c>
      <c r="V88" s="16">
        <v>71</v>
      </c>
    </row>
    <row r="89" spans="2:22" x14ac:dyDescent="0.25">
      <c r="B89" s="16">
        <v>72</v>
      </c>
      <c r="C89" s="130">
        <v>0</v>
      </c>
      <c r="D89" s="131" t="s">
        <v>193</v>
      </c>
      <c r="E89" s="131" t="s">
        <v>193</v>
      </c>
      <c r="F89" s="131" t="s">
        <v>193</v>
      </c>
      <c r="G89" s="131" t="s">
        <v>193</v>
      </c>
      <c r="H89" s="131" t="s">
        <v>193</v>
      </c>
      <c r="I89" s="131" t="s">
        <v>193</v>
      </c>
      <c r="J89" s="131" t="s">
        <v>193</v>
      </c>
      <c r="K89" s="131" t="s">
        <v>193</v>
      </c>
      <c r="L89" s="131">
        <f t="shared" si="32"/>
        <v>6.5</v>
      </c>
      <c r="M89" s="131">
        <f t="shared" si="30"/>
        <v>6.5</v>
      </c>
      <c r="N89" s="131">
        <f t="shared" si="30"/>
        <v>6.5</v>
      </c>
      <c r="O89" s="131">
        <f t="shared" si="33"/>
        <v>7.7999999999999936</v>
      </c>
      <c r="P89" s="131">
        <f t="shared" si="31"/>
        <v>7.7999999999999936</v>
      </c>
      <c r="Q89" s="131">
        <f t="shared" si="31"/>
        <v>7.7999999999999936</v>
      </c>
      <c r="R89" s="131">
        <f t="shared" si="31"/>
        <v>7.7999999999999936</v>
      </c>
      <c r="S89" s="131">
        <f t="shared" si="31"/>
        <v>7.7999999999999936</v>
      </c>
      <c r="T89" s="131" t="s">
        <v>193</v>
      </c>
      <c r="U89" s="130">
        <f t="shared" ref="U89:U97" si="35">U88+0.07</f>
        <v>7.4399999999999986</v>
      </c>
      <c r="V89" s="16">
        <v>72</v>
      </c>
    </row>
    <row r="90" spans="2:22" x14ac:dyDescent="0.25">
      <c r="B90" s="16">
        <v>73</v>
      </c>
      <c r="C90" s="130">
        <v>0</v>
      </c>
      <c r="D90" s="131" t="s">
        <v>193</v>
      </c>
      <c r="E90" s="131" t="s">
        <v>193</v>
      </c>
      <c r="F90" s="131" t="s">
        <v>193</v>
      </c>
      <c r="G90" s="131" t="s">
        <v>193</v>
      </c>
      <c r="H90" s="131" t="s">
        <v>193</v>
      </c>
      <c r="I90" s="131" t="s">
        <v>193</v>
      </c>
      <c r="J90" s="131" t="s">
        <v>193</v>
      </c>
      <c r="K90" s="131" t="s">
        <v>193</v>
      </c>
      <c r="L90" s="131">
        <f t="shared" si="32"/>
        <v>6.625</v>
      </c>
      <c r="M90" s="131">
        <f t="shared" si="30"/>
        <v>6.625</v>
      </c>
      <c r="N90" s="131">
        <f t="shared" si="30"/>
        <v>6.625</v>
      </c>
      <c r="O90" s="131">
        <f t="shared" si="33"/>
        <v>7.949999999999994</v>
      </c>
      <c r="P90" s="131">
        <f t="shared" si="31"/>
        <v>7.949999999999994</v>
      </c>
      <c r="Q90" s="131">
        <f t="shared" si="31"/>
        <v>7.949999999999994</v>
      </c>
      <c r="R90" s="131">
        <f t="shared" si="31"/>
        <v>7.949999999999994</v>
      </c>
      <c r="S90" s="131">
        <f t="shared" si="31"/>
        <v>7.949999999999994</v>
      </c>
      <c r="T90" s="131" t="s">
        <v>193</v>
      </c>
      <c r="U90" s="130">
        <f t="shared" si="35"/>
        <v>7.5099999999999989</v>
      </c>
      <c r="V90" s="16">
        <v>73</v>
      </c>
    </row>
    <row r="91" spans="2:22" x14ac:dyDescent="0.25">
      <c r="B91" s="16">
        <v>74</v>
      </c>
      <c r="C91" s="130">
        <v>0</v>
      </c>
      <c r="D91" s="131" t="s">
        <v>193</v>
      </c>
      <c r="E91" s="131" t="s">
        <v>193</v>
      </c>
      <c r="F91" s="131" t="s">
        <v>193</v>
      </c>
      <c r="G91" s="131" t="s">
        <v>193</v>
      </c>
      <c r="H91" s="131" t="s">
        <v>193</v>
      </c>
      <c r="I91" s="131" t="s">
        <v>193</v>
      </c>
      <c r="J91" s="131" t="s">
        <v>193</v>
      </c>
      <c r="K91" s="131" t="s">
        <v>193</v>
      </c>
      <c r="L91" s="131">
        <f t="shared" si="32"/>
        <v>6.75</v>
      </c>
      <c r="M91" s="131">
        <f t="shared" si="30"/>
        <v>6.75</v>
      </c>
      <c r="N91" s="131">
        <f t="shared" si="30"/>
        <v>6.75</v>
      </c>
      <c r="O91" s="131">
        <f t="shared" si="33"/>
        <v>8.0999999999999943</v>
      </c>
      <c r="P91" s="131">
        <f t="shared" si="31"/>
        <v>8.0999999999999943</v>
      </c>
      <c r="Q91" s="131">
        <f t="shared" si="31"/>
        <v>8.0999999999999943</v>
      </c>
      <c r="R91" s="131">
        <f t="shared" si="31"/>
        <v>8.0999999999999943</v>
      </c>
      <c r="S91" s="131">
        <f t="shared" si="31"/>
        <v>8.0999999999999943</v>
      </c>
      <c r="T91" s="131" t="s">
        <v>193</v>
      </c>
      <c r="U91" s="130">
        <f t="shared" si="35"/>
        <v>7.5799999999999992</v>
      </c>
      <c r="V91" s="16">
        <v>74</v>
      </c>
    </row>
    <row r="92" spans="2:22" x14ac:dyDescent="0.25">
      <c r="B92" s="16">
        <v>75</v>
      </c>
      <c r="C92" s="130">
        <v>0</v>
      </c>
      <c r="D92" s="131" t="s">
        <v>193</v>
      </c>
      <c r="E92" s="131" t="s">
        <v>193</v>
      </c>
      <c r="F92" s="131" t="s">
        <v>193</v>
      </c>
      <c r="G92" s="131" t="s">
        <v>193</v>
      </c>
      <c r="H92" s="131" t="s">
        <v>193</v>
      </c>
      <c r="I92" s="131" t="s">
        <v>193</v>
      </c>
      <c r="J92" s="131" t="s">
        <v>193</v>
      </c>
      <c r="K92" s="131" t="s">
        <v>193</v>
      </c>
      <c r="L92" s="131">
        <f t="shared" si="32"/>
        <v>6.875</v>
      </c>
      <c r="M92" s="131">
        <f t="shared" si="30"/>
        <v>6.875</v>
      </c>
      <c r="N92" s="131">
        <f t="shared" si="30"/>
        <v>6.875</v>
      </c>
      <c r="O92" s="131">
        <f t="shared" si="33"/>
        <v>8.2499999999999947</v>
      </c>
      <c r="P92" s="131">
        <f t="shared" si="31"/>
        <v>8.2499999999999947</v>
      </c>
      <c r="Q92" s="131">
        <f t="shared" si="31"/>
        <v>8.2499999999999947</v>
      </c>
      <c r="R92" s="131">
        <f t="shared" si="31"/>
        <v>8.2499999999999947</v>
      </c>
      <c r="S92" s="131">
        <f t="shared" si="31"/>
        <v>8.2499999999999947</v>
      </c>
      <c r="T92" s="131" t="s">
        <v>193</v>
      </c>
      <c r="U92" s="130">
        <f t="shared" si="35"/>
        <v>7.6499999999999995</v>
      </c>
      <c r="V92" s="16">
        <v>75</v>
      </c>
    </row>
    <row r="93" spans="2:22" x14ac:dyDescent="0.25">
      <c r="B93" s="16">
        <v>76</v>
      </c>
      <c r="C93" s="130">
        <v>0</v>
      </c>
      <c r="D93" s="131" t="s">
        <v>193</v>
      </c>
      <c r="E93" s="131" t="s">
        <v>193</v>
      </c>
      <c r="F93" s="131" t="s">
        <v>193</v>
      </c>
      <c r="G93" s="131" t="s">
        <v>193</v>
      </c>
      <c r="H93" s="131" t="s">
        <v>193</v>
      </c>
      <c r="I93" s="131" t="s">
        <v>193</v>
      </c>
      <c r="J93" s="131" t="s">
        <v>193</v>
      </c>
      <c r="K93" s="131" t="s">
        <v>193</v>
      </c>
      <c r="L93" s="131">
        <f t="shared" si="32"/>
        <v>7</v>
      </c>
      <c r="M93" s="131">
        <f t="shared" si="30"/>
        <v>7</v>
      </c>
      <c r="N93" s="131">
        <f t="shared" si="30"/>
        <v>7</v>
      </c>
      <c r="O93" s="131">
        <f t="shared" si="33"/>
        <v>8.399999999999995</v>
      </c>
      <c r="P93" s="131">
        <f t="shared" si="31"/>
        <v>8.399999999999995</v>
      </c>
      <c r="Q93" s="131">
        <f t="shared" si="31"/>
        <v>8.399999999999995</v>
      </c>
      <c r="R93" s="131">
        <f t="shared" si="31"/>
        <v>8.399999999999995</v>
      </c>
      <c r="S93" s="131">
        <f t="shared" si="31"/>
        <v>8.399999999999995</v>
      </c>
      <c r="T93" s="131" t="s">
        <v>193</v>
      </c>
      <c r="U93" s="130">
        <f t="shared" si="35"/>
        <v>7.72</v>
      </c>
      <c r="V93" s="16">
        <v>76</v>
      </c>
    </row>
    <row r="94" spans="2:22" x14ac:dyDescent="0.25">
      <c r="B94" s="16">
        <v>77</v>
      </c>
      <c r="C94" s="130">
        <v>0</v>
      </c>
      <c r="D94" s="131" t="s">
        <v>193</v>
      </c>
      <c r="E94" s="131" t="s">
        <v>193</v>
      </c>
      <c r="F94" s="131" t="s">
        <v>193</v>
      </c>
      <c r="G94" s="131" t="s">
        <v>193</v>
      </c>
      <c r="H94" s="131" t="s">
        <v>193</v>
      </c>
      <c r="I94" s="131" t="s">
        <v>193</v>
      </c>
      <c r="J94" s="131" t="s">
        <v>193</v>
      </c>
      <c r="K94" s="131" t="s">
        <v>193</v>
      </c>
      <c r="L94" s="131">
        <f t="shared" si="32"/>
        <v>7.125</v>
      </c>
      <c r="M94" s="131">
        <f t="shared" si="32"/>
        <v>7.125</v>
      </c>
      <c r="N94" s="131">
        <f t="shared" si="32"/>
        <v>7.125</v>
      </c>
      <c r="O94" s="131">
        <f t="shared" si="33"/>
        <v>8.5499999999999954</v>
      </c>
      <c r="P94" s="131">
        <f t="shared" si="33"/>
        <v>8.5499999999999954</v>
      </c>
      <c r="Q94" s="131">
        <f t="shared" si="33"/>
        <v>8.5499999999999954</v>
      </c>
      <c r="R94" s="131">
        <f t="shared" si="33"/>
        <v>8.5499999999999954</v>
      </c>
      <c r="S94" s="131">
        <f t="shared" si="33"/>
        <v>8.5499999999999954</v>
      </c>
      <c r="T94" s="131" t="s">
        <v>193</v>
      </c>
      <c r="U94" s="130">
        <f t="shared" si="35"/>
        <v>7.79</v>
      </c>
      <c r="V94" s="16">
        <v>77</v>
      </c>
    </row>
    <row r="95" spans="2:22" x14ac:dyDescent="0.25">
      <c r="B95" s="16">
        <v>78</v>
      </c>
      <c r="C95" s="130">
        <v>0</v>
      </c>
      <c r="D95" s="131" t="s">
        <v>193</v>
      </c>
      <c r="E95" s="131" t="s">
        <v>193</v>
      </c>
      <c r="F95" s="131" t="s">
        <v>193</v>
      </c>
      <c r="G95" s="131" t="s">
        <v>193</v>
      </c>
      <c r="H95" s="131" t="s">
        <v>193</v>
      </c>
      <c r="I95" s="131" t="s">
        <v>193</v>
      </c>
      <c r="J95" s="131" t="s">
        <v>193</v>
      </c>
      <c r="K95" s="131" t="s">
        <v>193</v>
      </c>
      <c r="L95" s="131">
        <f t="shared" ref="L95:N110" si="36">L94+0.125</f>
        <v>7.25</v>
      </c>
      <c r="M95" s="131">
        <f t="shared" si="36"/>
        <v>7.25</v>
      </c>
      <c r="N95" s="131">
        <f t="shared" si="36"/>
        <v>7.25</v>
      </c>
      <c r="O95" s="131">
        <f t="shared" ref="O95:S97" si="37">O94+0.15</f>
        <v>8.6999999999999957</v>
      </c>
      <c r="P95" s="131">
        <f t="shared" si="37"/>
        <v>8.6999999999999957</v>
      </c>
      <c r="Q95" s="131">
        <f t="shared" si="37"/>
        <v>8.6999999999999957</v>
      </c>
      <c r="R95" s="131">
        <f t="shared" si="37"/>
        <v>8.6999999999999957</v>
      </c>
      <c r="S95" s="131">
        <f t="shared" si="37"/>
        <v>8.6999999999999957</v>
      </c>
      <c r="T95" s="131" t="s">
        <v>193</v>
      </c>
      <c r="U95" s="130">
        <f t="shared" si="35"/>
        <v>7.86</v>
      </c>
      <c r="V95" s="16">
        <v>78</v>
      </c>
    </row>
    <row r="96" spans="2:22" x14ac:dyDescent="0.25">
      <c r="B96" s="16">
        <v>79</v>
      </c>
      <c r="C96" s="130">
        <v>0</v>
      </c>
      <c r="D96" s="131" t="s">
        <v>193</v>
      </c>
      <c r="E96" s="131" t="s">
        <v>193</v>
      </c>
      <c r="F96" s="131" t="s">
        <v>193</v>
      </c>
      <c r="G96" s="131" t="s">
        <v>193</v>
      </c>
      <c r="H96" s="131" t="s">
        <v>193</v>
      </c>
      <c r="I96" s="131" t="s">
        <v>193</v>
      </c>
      <c r="J96" s="131" t="s">
        <v>193</v>
      </c>
      <c r="K96" s="131" t="s">
        <v>193</v>
      </c>
      <c r="L96" s="131">
        <f t="shared" si="36"/>
        <v>7.375</v>
      </c>
      <c r="M96" s="131">
        <f t="shared" si="36"/>
        <v>7.375</v>
      </c>
      <c r="N96" s="131">
        <f t="shared" si="36"/>
        <v>7.375</v>
      </c>
      <c r="O96" s="131">
        <f t="shared" si="37"/>
        <v>8.8499999999999961</v>
      </c>
      <c r="P96" s="131">
        <f t="shared" si="37"/>
        <v>8.8499999999999961</v>
      </c>
      <c r="Q96" s="131">
        <f t="shared" si="37"/>
        <v>8.8499999999999961</v>
      </c>
      <c r="R96" s="131">
        <f t="shared" si="37"/>
        <v>8.8499999999999961</v>
      </c>
      <c r="S96" s="131">
        <f t="shared" si="37"/>
        <v>8.8499999999999961</v>
      </c>
      <c r="T96" s="131" t="s">
        <v>193</v>
      </c>
      <c r="U96" s="130">
        <f t="shared" si="35"/>
        <v>7.9300000000000006</v>
      </c>
      <c r="V96" s="16">
        <v>79</v>
      </c>
    </row>
    <row r="97" spans="2:22" ht="13" x14ac:dyDescent="0.3">
      <c r="B97" s="16">
        <v>80</v>
      </c>
      <c r="C97" s="130">
        <v>0</v>
      </c>
      <c r="D97" s="131" t="s">
        <v>193</v>
      </c>
      <c r="E97" s="131" t="s">
        <v>193</v>
      </c>
      <c r="F97" s="131" t="s">
        <v>193</v>
      </c>
      <c r="G97" s="131" t="s">
        <v>193</v>
      </c>
      <c r="H97" s="131" t="s">
        <v>193</v>
      </c>
      <c r="I97" s="131" t="s">
        <v>193</v>
      </c>
      <c r="J97" s="131" t="s">
        <v>193</v>
      </c>
      <c r="K97" s="131" t="s">
        <v>193</v>
      </c>
      <c r="L97" s="132">
        <f t="shared" si="36"/>
        <v>7.5</v>
      </c>
      <c r="M97" s="132">
        <f t="shared" si="36"/>
        <v>7.5</v>
      </c>
      <c r="N97" s="132">
        <f t="shared" si="36"/>
        <v>7.5</v>
      </c>
      <c r="O97" s="132">
        <f t="shared" si="37"/>
        <v>8.9999999999999964</v>
      </c>
      <c r="P97" s="132">
        <f t="shared" si="37"/>
        <v>8.9999999999999964</v>
      </c>
      <c r="Q97" s="132">
        <f t="shared" si="37"/>
        <v>8.9999999999999964</v>
      </c>
      <c r="R97" s="132">
        <f t="shared" si="37"/>
        <v>8.9999999999999964</v>
      </c>
      <c r="S97" s="132">
        <f t="shared" si="37"/>
        <v>8.9999999999999964</v>
      </c>
      <c r="T97" s="131" t="s">
        <v>193</v>
      </c>
      <c r="U97" s="132">
        <f t="shared" si="35"/>
        <v>8</v>
      </c>
      <c r="V97" s="16">
        <v>80</v>
      </c>
    </row>
    <row r="98" spans="2:22" x14ac:dyDescent="0.25">
      <c r="B98" s="16">
        <v>81</v>
      </c>
      <c r="C98" s="130">
        <v>0</v>
      </c>
      <c r="D98" s="131" t="s">
        <v>193</v>
      </c>
      <c r="E98" s="131" t="s">
        <v>193</v>
      </c>
      <c r="F98" s="131" t="s">
        <v>193</v>
      </c>
      <c r="G98" s="131" t="s">
        <v>193</v>
      </c>
      <c r="H98" s="131" t="s">
        <v>193</v>
      </c>
      <c r="I98" s="131" t="s">
        <v>193</v>
      </c>
      <c r="J98" s="131" t="s">
        <v>193</v>
      </c>
      <c r="K98" s="131" t="s">
        <v>193</v>
      </c>
      <c r="L98" s="131">
        <f t="shared" si="36"/>
        <v>7.625</v>
      </c>
      <c r="M98" s="131">
        <f t="shared" si="36"/>
        <v>7.625</v>
      </c>
      <c r="N98" s="131">
        <f t="shared" si="36"/>
        <v>7.625</v>
      </c>
      <c r="O98" s="131">
        <f>O97+0.1</f>
        <v>9.0999999999999961</v>
      </c>
      <c r="P98" s="131">
        <f t="shared" ref="P98:S113" si="38">P97+0.1</f>
        <v>9.0999999999999961</v>
      </c>
      <c r="Q98" s="131">
        <f t="shared" si="38"/>
        <v>9.0999999999999961</v>
      </c>
      <c r="R98" s="131">
        <f t="shared" si="38"/>
        <v>9.0999999999999961</v>
      </c>
      <c r="S98" s="131">
        <f t="shared" si="38"/>
        <v>9.0999999999999961</v>
      </c>
      <c r="T98" s="131" t="s">
        <v>193</v>
      </c>
      <c r="U98" s="131">
        <f>U97+0.1</f>
        <v>8.1</v>
      </c>
      <c r="V98" s="16">
        <v>81</v>
      </c>
    </row>
    <row r="99" spans="2:22" x14ac:dyDescent="0.25">
      <c r="B99" s="16">
        <v>82</v>
      </c>
      <c r="C99" s="130">
        <v>0</v>
      </c>
      <c r="D99" s="131" t="s">
        <v>193</v>
      </c>
      <c r="E99" s="131" t="s">
        <v>193</v>
      </c>
      <c r="F99" s="131" t="s">
        <v>193</v>
      </c>
      <c r="G99" s="131" t="s">
        <v>193</v>
      </c>
      <c r="H99" s="131" t="s">
        <v>193</v>
      </c>
      <c r="I99" s="131" t="s">
        <v>193</v>
      </c>
      <c r="J99" s="131" t="s">
        <v>193</v>
      </c>
      <c r="K99" s="131" t="s">
        <v>193</v>
      </c>
      <c r="L99" s="131">
        <f t="shared" si="36"/>
        <v>7.75</v>
      </c>
      <c r="M99" s="131">
        <f t="shared" si="36"/>
        <v>7.75</v>
      </c>
      <c r="N99" s="131">
        <f t="shared" si="36"/>
        <v>7.75</v>
      </c>
      <c r="O99" s="131">
        <f t="shared" ref="O99:S114" si="39">O98+0.1</f>
        <v>9.1999999999999957</v>
      </c>
      <c r="P99" s="131">
        <f t="shared" si="38"/>
        <v>9.1999999999999957</v>
      </c>
      <c r="Q99" s="131">
        <f t="shared" si="38"/>
        <v>9.1999999999999957</v>
      </c>
      <c r="R99" s="131">
        <f t="shared" si="38"/>
        <v>9.1999999999999957</v>
      </c>
      <c r="S99" s="131">
        <f t="shared" si="38"/>
        <v>9.1999999999999957</v>
      </c>
      <c r="T99" s="131" t="s">
        <v>193</v>
      </c>
      <c r="U99" s="131">
        <f t="shared" ref="U99:U107" si="40">U98+0.1</f>
        <v>8.1999999999999993</v>
      </c>
      <c r="V99" s="16">
        <v>82</v>
      </c>
    </row>
    <row r="100" spans="2:22" x14ac:dyDescent="0.25">
      <c r="B100" s="16">
        <v>83</v>
      </c>
      <c r="C100" s="130">
        <v>0</v>
      </c>
      <c r="D100" s="131" t="s">
        <v>193</v>
      </c>
      <c r="E100" s="131" t="s">
        <v>193</v>
      </c>
      <c r="F100" s="131" t="s">
        <v>193</v>
      </c>
      <c r="G100" s="131" t="s">
        <v>193</v>
      </c>
      <c r="H100" s="131" t="s">
        <v>193</v>
      </c>
      <c r="I100" s="131" t="s">
        <v>193</v>
      </c>
      <c r="J100" s="131" t="s">
        <v>193</v>
      </c>
      <c r="K100" s="131" t="s">
        <v>193</v>
      </c>
      <c r="L100" s="131">
        <f t="shared" si="36"/>
        <v>7.875</v>
      </c>
      <c r="M100" s="131">
        <f t="shared" si="36"/>
        <v>7.875</v>
      </c>
      <c r="N100" s="131">
        <f t="shared" si="36"/>
        <v>7.875</v>
      </c>
      <c r="O100" s="131">
        <f t="shared" si="39"/>
        <v>9.2999999999999954</v>
      </c>
      <c r="P100" s="131">
        <f t="shared" si="38"/>
        <v>9.2999999999999954</v>
      </c>
      <c r="Q100" s="131">
        <f t="shared" si="38"/>
        <v>9.2999999999999954</v>
      </c>
      <c r="R100" s="131">
        <f t="shared" si="38"/>
        <v>9.2999999999999954</v>
      </c>
      <c r="S100" s="131">
        <f t="shared" si="38"/>
        <v>9.2999999999999954</v>
      </c>
      <c r="T100" s="131" t="s">
        <v>193</v>
      </c>
      <c r="U100" s="131">
        <f t="shared" si="40"/>
        <v>8.2999999999999989</v>
      </c>
      <c r="V100" s="16">
        <v>83</v>
      </c>
    </row>
    <row r="101" spans="2:22" x14ac:dyDescent="0.25">
      <c r="B101" s="16">
        <v>84</v>
      </c>
      <c r="C101" s="130">
        <v>0</v>
      </c>
      <c r="D101" s="131" t="s">
        <v>193</v>
      </c>
      <c r="E101" s="131" t="s">
        <v>193</v>
      </c>
      <c r="F101" s="131" t="s">
        <v>193</v>
      </c>
      <c r="G101" s="131" t="s">
        <v>193</v>
      </c>
      <c r="H101" s="131" t="s">
        <v>193</v>
      </c>
      <c r="I101" s="131" t="s">
        <v>193</v>
      </c>
      <c r="J101" s="131" t="s">
        <v>193</v>
      </c>
      <c r="K101" s="131" t="s">
        <v>193</v>
      </c>
      <c r="L101" s="131">
        <f t="shared" si="36"/>
        <v>8</v>
      </c>
      <c r="M101" s="131">
        <f t="shared" si="36"/>
        <v>8</v>
      </c>
      <c r="N101" s="131">
        <f t="shared" si="36"/>
        <v>8</v>
      </c>
      <c r="O101" s="131">
        <f t="shared" si="39"/>
        <v>9.399999999999995</v>
      </c>
      <c r="P101" s="131">
        <f t="shared" si="38"/>
        <v>9.399999999999995</v>
      </c>
      <c r="Q101" s="131">
        <f t="shared" si="38"/>
        <v>9.399999999999995</v>
      </c>
      <c r="R101" s="131">
        <f t="shared" si="38"/>
        <v>9.399999999999995</v>
      </c>
      <c r="S101" s="131">
        <f t="shared" si="38"/>
        <v>9.399999999999995</v>
      </c>
      <c r="T101" s="131" t="s">
        <v>193</v>
      </c>
      <c r="U101" s="131">
        <f t="shared" si="40"/>
        <v>8.3999999999999986</v>
      </c>
      <c r="V101" s="16">
        <v>84</v>
      </c>
    </row>
    <row r="102" spans="2:22" x14ac:dyDescent="0.25">
      <c r="B102" s="16">
        <v>85</v>
      </c>
      <c r="C102" s="130">
        <v>0</v>
      </c>
      <c r="D102" s="131" t="s">
        <v>193</v>
      </c>
      <c r="E102" s="131" t="s">
        <v>193</v>
      </c>
      <c r="F102" s="131" t="s">
        <v>193</v>
      </c>
      <c r="G102" s="131" t="s">
        <v>193</v>
      </c>
      <c r="H102" s="131" t="s">
        <v>193</v>
      </c>
      <c r="I102" s="131" t="s">
        <v>193</v>
      </c>
      <c r="J102" s="131" t="s">
        <v>193</v>
      </c>
      <c r="K102" s="131" t="s">
        <v>193</v>
      </c>
      <c r="L102" s="131">
        <f t="shared" si="36"/>
        <v>8.125</v>
      </c>
      <c r="M102" s="131">
        <f t="shared" si="36"/>
        <v>8.125</v>
      </c>
      <c r="N102" s="131">
        <f t="shared" si="36"/>
        <v>8.125</v>
      </c>
      <c r="O102" s="131">
        <f t="shared" si="39"/>
        <v>9.4999999999999947</v>
      </c>
      <c r="P102" s="131">
        <f t="shared" si="38"/>
        <v>9.4999999999999947</v>
      </c>
      <c r="Q102" s="131">
        <f t="shared" si="38"/>
        <v>9.4999999999999947</v>
      </c>
      <c r="R102" s="131">
        <f t="shared" si="38"/>
        <v>9.4999999999999947</v>
      </c>
      <c r="S102" s="131">
        <f t="shared" si="38"/>
        <v>9.4999999999999947</v>
      </c>
      <c r="T102" s="131" t="s">
        <v>193</v>
      </c>
      <c r="U102" s="131">
        <f t="shared" si="40"/>
        <v>8.4999999999999982</v>
      </c>
      <c r="V102" s="16">
        <v>85</v>
      </c>
    </row>
    <row r="103" spans="2:22" x14ac:dyDescent="0.25">
      <c r="B103" s="16">
        <v>86</v>
      </c>
      <c r="C103" s="130">
        <v>0</v>
      </c>
      <c r="D103" s="131" t="s">
        <v>193</v>
      </c>
      <c r="E103" s="131" t="s">
        <v>193</v>
      </c>
      <c r="F103" s="131" t="s">
        <v>193</v>
      </c>
      <c r="G103" s="131" t="s">
        <v>193</v>
      </c>
      <c r="H103" s="131" t="s">
        <v>193</v>
      </c>
      <c r="I103" s="131" t="s">
        <v>193</v>
      </c>
      <c r="J103" s="131" t="s">
        <v>193</v>
      </c>
      <c r="K103" s="131" t="s">
        <v>193</v>
      </c>
      <c r="L103" s="131">
        <f t="shared" si="36"/>
        <v>8.25</v>
      </c>
      <c r="M103" s="131">
        <f t="shared" si="36"/>
        <v>8.25</v>
      </c>
      <c r="N103" s="131">
        <f t="shared" si="36"/>
        <v>8.25</v>
      </c>
      <c r="O103" s="131">
        <f t="shared" si="39"/>
        <v>9.5999999999999943</v>
      </c>
      <c r="P103" s="131">
        <f t="shared" si="38"/>
        <v>9.5999999999999943</v>
      </c>
      <c r="Q103" s="131">
        <f t="shared" si="38"/>
        <v>9.5999999999999943</v>
      </c>
      <c r="R103" s="131">
        <f t="shared" si="38"/>
        <v>9.5999999999999943</v>
      </c>
      <c r="S103" s="131">
        <f t="shared" si="38"/>
        <v>9.5999999999999943</v>
      </c>
      <c r="T103" s="131" t="s">
        <v>193</v>
      </c>
      <c r="U103" s="131">
        <f t="shared" si="40"/>
        <v>8.5999999999999979</v>
      </c>
      <c r="V103" s="16">
        <v>86</v>
      </c>
    </row>
    <row r="104" spans="2:22" x14ac:dyDescent="0.25">
      <c r="B104" s="16">
        <v>87</v>
      </c>
      <c r="C104" s="130">
        <v>0</v>
      </c>
      <c r="D104" s="131" t="s">
        <v>193</v>
      </c>
      <c r="E104" s="131" t="s">
        <v>193</v>
      </c>
      <c r="F104" s="131" t="s">
        <v>193</v>
      </c>
      <c r="G104" s="131" t="s">
        <v>193</v>
      </c>
      <c r="H104" s="131" t="s">
        <v>193</v>
      </c>
      <c r="I104" s="131" t="s">
        <v>193</v>
      </c>
      <c r="J104" s="131" t="s">
        <v>193</v>
      </c>
      <c r="K104" s="131" t="s">
        <v>193</v>
      </c>
      <c r="L104" s="131">
        <f t="shared" si="36"/>
        <v>8.375</v>
      </c>
      <c r="M104" s="131">
        <f t="shared" si="36"/>
        <v>8.375</v>
      </c>
      <c r="N104" s="131">
        <f t="shared" si="36"/>
        <v>8.375</v>
      </c>
      <c r="O104" s="131">
        <f t="shared" si="39"/>
        <v>9.699999999999994</v>
      </c>
      <c r="P104" s="131">
        <f t="shared" si="38"/>
        <v>9.699999999999994</v>
      </c>
      <c r="Q104" s="131">
        <f t="shared" si="38"/>
        <v>9.699999999999994</v>
      </c>
      <c r="R104" s="131">
        <f t="shared" si="38"/>
        <v>9.699999999999994</v>
      </c>
      <c r="S104" s="131">
        <f t="shared" si="38"/>
        <v>9.699999999999994</v>
      </c>
      <c r="T104" s="131" t="s">
        <v>193</v>
      </c>
      <c r="U104" s="131">
        <f t="shared" si="40"/>
        <v>8.6999999999999975</v>
      </c>
      <c r="V104" s="16">
        <v>87</v>
      </c>
    </row>
    <row r="105" spans="2:22" x14ac:dyDescent="0.25">
      <c r="B105" s="16">
        <v>88</v>
      </c>
      <c r="C105" s="130">
        <v>0</v>
      </c>
      <c r="D105" s="131" t="s">
        <v>193</v>
      </c>
      <c r="E105" s="131" t="s">
        <v>193</v>
      </c>
      <c r="F105" s="131" t="s">
        <v>193</v>
      </c>
      <c r="G105" s="131" t="s">
        <v>193</v>
      </c>
      <c r="H105" s="131" t="s">
        <v>193</v>
      </c>
      <c r="I105" s="131" t="s">
        <v>193</v>
      </c>
      <c r="J105" s="131" t="s">
        <v>193</v>
      </c>
      <c r="K105" s="131" t="s">
        <v>193</v>
      </c>
      <c r="L105" s="131">
        <f t="shared" si="36"/>
        <v>8.5</v>
      </c>
      <c r="M105" s="131">
        <f t="shared" si="36"/>
        <v>8.5</v>
      </c>
      <c r="N105" s="131">
        <f t="shared" si="36"/>
        <v>8.5</v>
      </c>
      <c r="O105" s="131">
        <f t="shared" si="39"/>
        <v>9.7999999999999936</v>
      </c>
      <c r="P105" s="131">
        <f t="shared" si="38"/>
        <v>9.7999999999999936</v>
      </c>
      <c r="Q105" s="131">
        <f t="shared" si="38"/>
        <v>9.7999999999999936</v>
      </c>
      <c r="R105" s="131">
        <f t="shared" si="38"/>
        <v>9.7999999999999936</v>
      </c>
      <c r="S105" s="131">
        <f t="shared" si="38"/>
        <v>9.7999999999999936</v>
      </c>
      <c r="T105" s="131" t="s">
        <v>193</v>
      </c>
      <c r="U105" s="131">
        <f t="shared" si="40"/>
        <v>8.7999999999999972</v>
      </c>
      <c r="V105" s="16">
        <v>88</v>
      </c>
    </row>
    <row r="106" spans="2:22" x14ac:dyDescent="0.25">
      <c r="B106" s="16">
        <v>89</v>
      </c>
      <c r="C106" s="130">
        <v>0</v>
      </c>
      <c r="D106" s="131" t="s">
        <v>193</v>
      </c>
      <c r="E106" s="131" t="s">
        <v>193</v>
      </c>
      <c r="F106" s="131" t="s">
        <v>193</v>
      </c>
      <c r="G106" s="131" t="s">
        <v>193</v>
      </c>
      <c r="H106" s="131" t="s">
        <v>193</v>
      </c>
      <c r="I106" s="131" t="s">
        <v>193</v>
      </c>
      <c r="J106" s="131" t="s">
        <v>193</v>
      </c>
      <c r="K106" s="131" t="s">
        <v>193</v>
      </c>
      <c r="L106" s="131">
        <f t="shared" si="36"/>
        <v>8.625</v>
      </c>
      <c r="M106" s="131">
        <f t="shared" si="36"/>
        <v>8.625</v>
      </c>
      <c r="N106" s="131">
        <f t="shared" si="36"/>
        <v>8.625</v>
      </c>
      <c r="O106" s="131">
        <f t="shared" si="39"/>
        <v>9.8999999999999932</v>
      </c>
      <c r="P106" s="131">
        <f t="shared" si="38"/>
        <v>9.8999999999999932</v>
      </c>
      <c r="Q106" s="131">
        <f t="shared" si="38"/>
        <v>9.8999999999999932</v>
      </c>
      <c r="R106" s="131">
        <f t="shared" si="38"/>
        <v>9.8999999999999932</v>
      </c>
      <c r="S106" s="131">
        <f t="shared" si="38"/>
        <v>9.8999999999999932</v>
      </c>
      <c r="T106" s="131" t="s">
        <v>193</v>
      </c>
      <c r="U106" s="131">
        <f t="shared" si="40"/>
        <v>8.8999999999999968</v>
      </c>
      <c r="V106" s="16">
        <v>89</v>
      </c>
    </row>
    <row r="107" spans="2:22" ht="13" x14ac:dyDescent="0.3">
      <c r="B107" s="16">
        <v>90</v>
      </c>
      <c r="C107" s="130">
        <v>0</v>
      </c>
      <c r="D107" s="131" t="s">
        <v>193</v>
      </c>
      <c r="E107" s="131" t="s">
        <v>193</v>
      </c>
      <c r="F107" s="131" t="s">
        <v>193</v>
      </c>
      <c r="G107" s="131" t="s">
        <v>193</v>
      </c>
      <c r="H107" s="131" t="s">
        <v>193</v>
      </c>
      <c r="I107" s="131" t="s">
        <v>193</v>
      </c>
      <c r="J107" s="131" t="s">
        <v>193</v>
      </c>
      <c r="K107" s="131" t="s">
        <v>193</v>
      </c>
      <c r="L107" s="132">
        <f t="shared" si="36"/>
        <v>8.75</v>
      </c>
      <c r="M107" s="132">
        <f t="shared" si="36"/>
        <v>8.75</v>
      </c>
      <c r="N107" s="132">
        <f t="shared" si="36"/>
        <v>8.75</v>
      </c>
      <c r="O107" s="132">
        <f t="shared" si="39"/>
        <v>9.9999999999999929</v>
      </c>
      <c r="P107" s="132">
        <f t="shared" si="38"/>
        <v>9.9999999999999929</v>
      </c>
      <c r="Q107" s="132">
        <f t="shared" si="38"/>
        <v>9.9999999999999929</v>
      </c>
      <c r="R107" s="132">
        <f t="shared" si="38"/>
        <v>9.9999999999999929</v>
      </c>
      <c r="S107" s="132">
        <f t="shared" si="38"/>
        <v>9.9999999999999929</v>
      </c>
      <c r="T107" s="131" t="s">
        <v>193</v>
      </c>
      <c r="U107" s="132">
        <f t="shared" si="40"/>
        <v>8.9999999999999964</v>
      </c>
      <c r="V107" s="16">
        <v>90</v>
      </c>
    </row>
    <row r="108" spans="2:22" x14ac:dyDescent="0.25">
      <c r="B108" s="16">
        <v>91</v>
      </c>
      <c r="C108" s="130">
        <v>0</v>
      </c>
      <c r="D108" s="131" t="s">
        <v>193</v>
      </c>
      <c r="E108" s="131" t="s">
        <v>193</v>
      </c>
      <c r="F108" s="131" t="s">
        <v>193</v>
      </c>
      <c r="G108" s="131" t="s">
        <v>193</v>
      </c>
      <c r="H108" s="131" t="s">
        <v>193</v>
      </c>
      <c r="I108" s="131" t="s">
        <v>193</v>
      </c>
      <c r="J108" s="131" t="s">
        <v>193</v>
      </c>
      <c r="K108" s="131" t="s">
        <v>193</v>
      </c>
      <c r="L108" s="131">
        <f t="shared" si="36"/>
        <v>8.875</v>
      </c>
      <c r="M108" s="131">
        <f t="shared" si="36"/>
        <v>8.875</v>
      </c>
      <c r="N108" s="131">
        <f t="shared" si="36"/>
        <v>8.875</v>
      </c>
      <c r="O108" s="131">
        <f t="shared" si="39"/>
        <v>10.099999999999993</v>
      </c>
      <c r="P108" s="131">
        <f t="shared" si="38"/>
        <v>10.099999999999993</v>
      </c>
      <c r="Q108" s="131">
        <f t="shared" si="38"/>
        <v>10.099999999999993</v>
      </c>
      <c r="R108" s="131">
        <f t="shared" si="38"/>
        <v>10.099999999999993</v>
      </c>
      <c r="S108" s="131">
        <f t="shared" si="38"/>
        <v>10.099999999999993</v>
      </c>
      <c r="T108" s="131" t="s">
        <v>193</v>
      </c>
      <c r="U108" s="131">
        <f>U107+0.1</f>
        <v>9.0999999999999961</v>
      </c>
      <c r="V108" s="16">
        <v>91</v>
      </c>
    </row>
    <row r="109" spans="2:22" x14ac:dyDescent="0.25">
      <c r="B109" s="16">
        <v>92</v>
      </c>
      <c r="C109" s="130">
        <v>0</v>
      </c>
      <c r="D109" s="131" t="s">
        <v>193</v>
      </c>
      <c r="E109" s="131" t="s">
        <v>193</v>
      </c>
      <c r="F109" s="131" t="s">
        <v>193</v>
      </c>
      <c r="G109" s="131" t="s">
        <v>193</v>
      </c>
      <c r="H109" s="131" t="s">
        <v>193</v>
      </c>
      <c r="I109" s="131" t="s">
        <v>193</v>
      </c>
      <c r="J109" s="131" t="s">
        <v>193</v>
      </c>
      <c r="K109" s="131" t="s">
        <v>193</v>
      </c>
      <c r="L109" s="131">
        <f t="shared" si="36"/>
        <v>9</v>
      </c>
      <c r="M109" s="131">
        <f t="shared" si="36"/>
        <v>9</v>
      </c>
      <c r="N109" s="131">
        <f t="shared" si="36"/>
        <v>9</v>
      </c>
      <c r="O109" s="131">
        <f t="shared" si="39"/>
        <v>10.199999999999992</v>
      </c>
      <c r="P109" s="131">
        <f t="shared" si="38"/>
        <v>10.199999999999992</v>
      </c>
      <c r="Q109" s="131">
        <f t="shared" si="38"/>
        <v>10.199999999999992</v>
      </c>
      <c r="R109" s="131">
        <f t="shared" si="38"/>
        <v>10.199999999999992</v>
      </c>
      <c r="S109" s="131">
        <f t="shared" si="38"/>
        <v>10.199999999999992</v>
      </c>
      <c r="T109" s="131" t="s">
        <v>193</v>
      </c>
      <c r="U109" s="131">
        <f t="shared" ref="U109:U117" si="41">U108+0.1</f>
        <v>9.1999999999999957</v>
      </c>
      <c r="V109" s="16">
        <v>92</v>
      </c>
    </row>
    <row r="110" spans="2:22" x14ac:dyDescent="0.25">
      <c r="B110" s="16">
        <v>93</v>
      </c>
      <c r="C110" s="130">
        <v>0</v>
      </c>
      <c r="D110" s="131" t="s">
        <v>193</v>
      </c>
      <c r="E110" s="131" t="s">
        <v>193</v>
      </c>
      <c r="F110" s="131" t="s">
        <v>193</v>
      </c>
      <c r="G110" s="131" t="s">
        <v>193</v>
      </c>
      <c r="H110" s="131" t="s">
        <v>193</v>
      </c>
      <c r="I110" s="131" t="s">
        <v>193</v>
      </c>
      <c r="J110" s="131" t="s">
        <v>193</v>
      </c>
      <c r="K110" s="131" t="s">
        <v>193</v>
      </c>
      <c r="L110" s="131">
        <f t="shared" si="36"/>
        <v>9.125</v>
      </c>
      <c r="M110" s="131">
        <f t="shared" si="36"/>
        <v>9.125</v>
      </c>
      <c r="N110" s="131">
        <f t="shared" si="36"/>
        <v>9.125</v>
      </c>
      <c r="O110" s="131">
        <f t="shared" si="39"/>
        <v>10.299999999999992</v>
      </c>
      <c r="P110" s="131">
        <f t="shared" si="38"/>
        <v>10.299999999999992</v>
      </c>
      <c r="Q110" s="131">
        <f t="shared" si="38"/>
        <v>10.299999999999992</v>
      </c>
      <c r="R110" s="131">
        <f t="shared" si="38"/>
        <v>10.299999999999992</v>
      </c>
      <c r="S110" s="131">
        <f t="shared" si="38"/>
        <v>10.299999999999992</v>
      </c>
      <c r="T110" s="131" t="s">
        <v>193</v>
      </c>
      <c r="U110" s="131">
        <f t="shared" si="41"/>
        <v>9.2999999999999954</v>
      </c>
      <c r="V110" s="16">
        <v>93</v>
      </c>
    </row>
    <row r="111" spans="2:22" x14ac:dyDescent="0.25">
      <c r="B111" s="16">
        <v>94</v>
      </c>
      <c r="C111" s="130">
        <v>0</v>
      </c>
      <c r="D111" s="131" t="s">
        <v>193</v>
      </c>
      <c r="E111" s="131" t="s">
        <v>193</v>
      </c>
      <c r="F111" s="131" t="s">
        <v>193</v>
      </c>
      <c r="G111" s="131" t="s">
        <v>193</v>
      </c>
      <c r="H111" s="131" t="s">
        <v>193</v>
      </c>
      <c r="I111" s="131" t="s">
        <v>193</v>
      </c>
      <c r="J111" s="131" t="s">
        <v>193</v>
      </c>
      <c r="K111" s="131" t="s">
        <v>193</v>
      </c>
      <c r="L111" s="131">
        <f t="shared" ref="L111:N117" si="42">L110+0.125</f>
        <v>9.25</v>
      </c>
      <c r="M111" s="131">
        <f t="shared" si="42"/>
        <v>9.25</v>
      </c>
      <c r="N111" s="131">
        <f t="shared" si="42"/>
        <v>9.25</v>
      </c>
      <c r="O111" s="131">
        <f t="shared" si="39"/>
        <v>10.399999999999991</v>
      </c>
      <c r="P111" s="131">
        <f t="shared" si="38"/>
        <v>10.399999999999991</v>
      </c>
      <c r="Q111" s="131">
        <f t="shared" si="38"/>
        <v>10.399999999999991</v>
      </c>
      <c r="R111" s="131">
        <f t="shared" si="38"/>
        <v>10.399999999999991</v>
      </c>
      <c r="S111" s="131">
        <f t="shared" si="38"/>
        <v>10.399999999999991</v>
      </c>
      <c r="T111" s="131" t="s">
        <v>193</v>
      </c>
      <c r="U111" s="131">
        <f t="shared" si="41"/>
        <v>9.399999999999995</v>
      </c>
      <c r="V111" s="16">
        <v>94</v>
      </c>
    </row>
    <row r="112" spans="2:22" x14ac:dyDescent="0.25">
      <c r="B112" s="16">
        <v>95</v>
      </c>
      <c r="C112" s="130">
        <v>0</v>
      </c>
      <c r="D112" s="131" t="s">
        <v>193</v>
      </c>
      <c r="E112" s="131" t="s">
        <v>193</v>
      </c>
      <c r="F112" s="131" t="s">
        <v>193</v>
      </c>
      <c r="G112" s="131" t="s">
        <v>193</v>
      </c>
      <c r="H112" s="131" t="s">
        <v>193</v>
      </c>
      <c r="I112" s="131" t="s">
        <v>193</v>
      </c>
      <c r="J112" s="131" t="s">
        <v>193</v>
      </c>
      <c r="K112" s="131" t="s">
        <v>193</v>
      </c>
      <c r="L112" s="131">
        <f t="shared" si="42"/>
        <v>9.375</v>
      </c>
      <c r="M112" s="131">
        <f t="shared" si="42"/>
        <v>9.375</v>
      </c>
      <c r="N112" s="131">
        <f t="shared" si="42"/>
        <v>9.375</v>
      </c>
      <c r="O112" s="131">
        <f t="shared" si="39"/>
        <v>10.499999999999991</v>
      </c>
      <c r="P112" s="131">
        <f t="shared" si="38"/>
        <v>10.499999999999991</v>
      </c>
      <c r="Q112" s="131">
        <f t="shared" si="38"/>
        <v>10.499999999999991</v>
      </c>
      <c r="R112" s="131">
        <f t="shared" si="38"/>
        <v>10.499999999999991</v>
      </c>
      <c r="S112" s="131">
        <f t="shared" si="38"/>
        <v>10.499999999999991</v>
      </c>
      <c r="T112" s="131" t="s">
        <v>193</v>
      </c>
      <c r="U112" s="131">
        <f t="shared" si="41"/>
        <v>9.4999999999999947</v>
      </c>
      <c r="V112" s="16">
        <v>95</v>
      </c>
    </row>
    <row r="113" spans="2:22" x14ac:dyDescent="0.25">
      <c r="B113" s="16">
        <v>96</v>
      </c>
      <c r="C113" s="130">
        <v>0</v>
      </c>
      <c r="D113" s="131" t="s">
        <v>193</v>
      </c>
      <c r="E113" s="131" t="s">
        <v>193</v>
      </c>
      <c r="F113" s="131" t="s">
        <v>193</v>
      </c>
      <c r="G113" s="131" t="s">
        <v>193</v>
      </c>
      <c r="H113" s="131" t="s">
        <v>193</v>
      </c>
      <c r="I113" s="131" t="s">
        <v>193</v>
      </c>
      <c r="J113" s="131" t="s">
        <v>193</v>
      </c>
      <c r="K113" s="131" t="s">
        <v>193</v>
      </c>
      <c r="L113" s="131">
        <f t="shared" si="42"/>
        <v>9.5</v>
      </c>
      <c r="M113" s="131">
        <f t="shared" si="42"/>
        <v>9.5</v>
      </c>
      <c r="N113" s="131">
        <f t="shared" si="42"/>
        <v>9.5</v>
      </c>
      <c r="O113" s="131">
        <f t="shared" si="39"/>
        <v>10.599999999999991</v>
      </c>
      <c r="P113" s="131">
        <f t="shared" si="38"/>
        <v>10.599999999999991</v>
      </c>
      <c r="Q113" s="131">
        <f t="shared" si="38"/>
        <v>10.599999999999991</v>
      </c>
      <c r="R113" s="131">
        <f t="shared" si="38"/>
        <v>10.599999999999991</v>
      </c>
      <c r="S113" s="131">
        <f t="shared" si="38"/>
        <v>10.599999999999991</v>
      </c>
      <c r="T113" s="131" t="s">
        <v>193</v>
      </c>
      <c r="U113" s="131">
        <f t="shared" si="41"/>
        <v>9.5999999999999943</v>
      </c>
      <c r="V113" s="16">
        <v>96</v>
      </c>
    </row>
    <row r="114" spans="2:22" x14ac:dyDescent="0.25">
      <c r="B114" s="16">
        <v>97</v>
      </c>
      <c r="C114" s="130">
        <v>0</v>
      </c>
      <c r="D114" s="131" t="s">
        <v>193</v>
      </c>
      <c r="E114" s="131" t="s">
        <v>193</v>
      </c>
      <c r="F114" s="131" t="s">
        <v>193</v>
      </c>
      <c r="G114" s="131" t="s">
        <v>193</v>
      </c>
      <c r="H114" s="131" t="s">
        <v>193</v>
      </c>
      <c r="I114" s="131" t="s">
        <v>193</v>
      </c>
      <c r="J114" s="131" t="s">
        <v>193</v>
      </c>
      <c r="K114" s="131" t="s">
        <v>193</v>
      </c>
      <c r="L114" s="131">
        <f t="shared" si="42"/>
        <v>9.625</v>
      </c>
      <c r="M114" s="131">
        <f t="shared" si="42"/>
        <v>9.625</v>
      </c>
      <c r="N114" s="131">
        <f t="shared" si="42"/>
        <v>9.625</v>
      </c>
      <c r="O114" s="131">
        <f t="shared" si="39"/>
        <v>10.69999999999999</v>
      </c>
      <c r="P114" s="131">
        <f t="shared" si="39"/>
        <v>10.69999999999999</v>
      </c>
      <c r="Q114" s="131">
        <f t="shared" si="39"/>
        <v>10.69999999999999</v>
      </c>
      <c r="R114" s="131">
        <f t="shared" si="39"/>
        <v>10.69999999999999</v>
      </c>
      <c r="S114" s="131">
        <f t="shared" si="39"/>
        <v>10.69999999999999</v>
      </c>
      <c r="T114" s="131" t="s">
        <v>193</v>
      </c>
      <c r="U114" s="131">
        <f t="shared" si="41"/>
        <v>9.699999999999994</v>
      </c>
      <c r="V114" s="16">
        <v>97</v>
      </c>
    </row>
    <row r="115" spans="2:22" x14ac:dyDescent="0.25">
      <c r="B115" s="16">
        <v>98</v>
      </c>
      <c r="C115" s="130">
        <v>0</v>
      </c>
      <c r="D115" s="131" t="s">
        <v>193</v>
      </c>
      <c r="E115" s="131" t="s">
        <v>193</v>
      </c>
      <c r="F115" s="131" t="s">
        <v>193</v>
      </c>
      <c r="G115" s="131" t="s">
        <v>193</v>
      </c>
      <c r="H115" s="131" t="s">
        <v>193</v>
      </c>
      <c r="I115" s="131" t="s">
        <v>193</v>
      </c>
      <c r="J115" s="131" t="s">
        <v>193</v>
      </c>
      <c r="K115" s="131" t="s">
        <v>193</v>
      </c>
      <c r="L115" s="131">
        <f t="shared" si="42"/>
        <v>9.75</v>
      </c>
      <c r="M115" s="131">
        <f t="shared" si="42"/>
        <v>9.75</v>
      </c>
      <c r="N115" s="131">
        <f t="shared" si="42"/>
        <v>9.75</v>
      </c>
      <c r="O115" s="131">
        <f t="shared" ref="O115:S117" si="43">O114+0.1</f>
        <v>10.79999999999999</v>
      </c>
      <c r="P115" s="131">
        <f t="shared" si="43"/>
        <v>10.79999999999999</v>
      </c>
      <c r="Q115" s="131">
        <f t="shared" si="43"/>
        <v>10.79999999999999</v>
      </c>
      <c r="R115" s="131">
        <f t="shared" si="43"/>
        <v>10.79999999999999</v>
      </c>
      <c r="S115" s="131">
        <f t="shared" si="43"/>
        <v>10.79999999999999</v>
      </c>
      <c r="T115" s="131" t="s">
        <v>193</v>
      </c>
      <c r="U115" s="131">
        <f t="shared" si="41"/>
        <v>9.7999999999999936</v>
      </c>
      <c r="V115" s="16">
        <v>98</v>
      </c>
    </row>
    <row r="116" spans="2:22" x14ac:dyDescent="0.25">
      <c r="B116" s="16">
        <v>99</v>
      </c>
      <c r="C116" s="130">
        <v>0</v>
      </c>
      <c r="D116" s="131" t="s">
        <v>193</v>
      </c>
      <c r="E116" s="131" t="s">
        <v>193</v>
      </c>
      <c r="F116" s="131" t="s">
        <v>193</v>
      </c>
      <c r="G116" s="131" t="s">
        <v>193</v>
      </c>
      <c r="H116" s="131" t="s">
        <v>193</v>
      </c>
      <c r="I116" s="131" t="s">
        <v>193</v>
      </c>
      <c r="J116" s="131" t="s">
        <v>193</v>
      </c>
      <c r="K116" s="131" t="s">
        <v>193</v>
      </c>
      <c r="L116" s="131">
        <f t="shared" si="42"/>
        <v>9.875</v>
      </c>
      <c r="M116" s="131">
        <f t="shared" si="42"/>
        <v>9.875</v>
      </c>
      <c r="N116" s="131">
        <f t="shared" si="42"/>
        <v>9.875</v>
      </c>
      <c r="O116" s="131">
        <f t="shared" si="43"/>
        <v>10.89999999999999</v>
      </c>
      <c r="P116" s="131">
        <f t="shared" si="43"/>
        <v>10.89999999999999</v>
      </c>
      <c r="Q116" s="131">
        <f t="shared" si="43"/>
        <v>10.89999999999999</v>
      </c>
      <c r="R116" s="131">
        <f t="shared" si="43"/>
        <v>10.89999999999999</v>
      </c>
      <c r="S116" s="131">
        <f t="shared" si="43"/>
        <v>10.89999999999999</v>
      </c>
      <c r="T116" s="131" t="s">
        <v>193</v>
      </c>
      <c r="U116" s="131">
        <f t="shared" si="41"/>
        <v>9.8999999999999932</v>
      </c>
      <c r="V116" s="16">
        <v>99</v>
      </c>
    </row>
    <row r="117" spans="2:22" ht="13" x14ac:dyDescent="0.3">
      <c r="B117" s="16">
        <v>100</v>
      </c>
      <c r="C117" s="130">
        <v>0</v>
      </c>
      <c r="D117" s="131" t="s">
        <v>193</v>
      </c>
      <c r="E117" s="131" t="s">
        <v>193</v>
      </c>
      <c r="F117" s="131" t="s">
        <v>193</v>
      </c>
      <c r="G117" s="131" t="s">
        <v>193</v>
      </c>
      <c r="H117" s="131" t="s">
        <v>193</v>
      </c>
      <c r="I117" s="131" t="s">
        <v>193</v>
      </c>
      <c r="J117" s="131" t="s">
        <v>193</v>
      </c>
      <c r="K117" s="131" t="s">
        <v>193</v>
      </c>
      <c r="L117" s="132">
        <f t="shared" si="42"/>
        <v>10</v>
      </c>
      <c r="M117" s="132">
        <f t="shared" si="42"/>
        <v>10</v>
      </c>
      <c r="N117" s="132">
        <f t="shared" si="42"/>
        <v>10</v>
      </c>
      <c r="O117" s="132">
        <f t="shared" si="43"/>
        <v>10.999999999999989</v>
      </c>
      <c r="P117" s="132">
        <f t="shared" si="43"/>
        <v>10.999999999999989</v>
      </c>
      <c r="Q117" s="132">
        <f t="shared" si="43"/>
        <v>10.999999999999989</v>
      </c>
      <c r="R117" s="132">
        <f t="shared" si="43"/>
        <v>10.999999999999989</v>
      </c>
      <c r="S117" s="132">
        <f t="shared" si="43"/>
        <v>10.999999999999989</v>
      </c>
      <c r="T117" s="131" t="s">
        <v>193</v>
      </c>
      <c r="U117" s="132">
        <f t="shared" si="41"/>
        <v>9.9999999999999929</v>
      </c>
      <c r="V117" s="16">
        <v>100</v>
      </c>
    </row>
    <row r="118" spans="2:22" x14ac:dyDescent="0.25">
      <c r="B118" s="16">
        <v>101</v>
      </c>
      <c r="C118" s="130">
        <v>0</v>
      </c>
      <c r="D118" s="131" t="s">
        <v>193</v>
      </c>
      <c r="E118" s="131" t="s">
        <v>193</v>
      </c>
      <c r="F118" s="131" t="s">
        <v>193</v>
      </c>
      <c r="G118" s="131" t="s">
        <v>193</v>
      </c>
      <c r="H118" s="131" t="s">
        <v>193</v>
      </c>
      <c r="I118" s="131" t="s">
        <v>193</v>
      </c>
      <c r="J118" s="131" t="s">
        <v>193</v>
      </c>
      <c r="K118" s="131" t="s">
        <v>193</v>
      </c>
      <c r="L118" s="131" t="s">
        <v>193</v>
      </c>
      <c r="M118" s="131" t="s">
        <v>193</v>
      </c>
      <c r="N118" s="131" t="s">
        <v>193</v>
      </c>
      <c r="O118" s="131" t="s">
        <v>193</v>
      </c>
      <c r="P118" s="131" t="s">
        <v>193</v>
      </c>
      <c r="Q118" s="131" t="s">
        <v>193</v>
      </c>
      <c r="R118" s="131" t="s">
        <v>193</v>
      </c>
      <c r="S118" s="131" t="s">
        <v>193</v>
      </c>
      <c r="T118" s="131" t="s">
        <v>193</v>
      </c>
      <c r="U118" s="131">
        <f>U117+0.18125</f>
        <v>10.181249999999993</v>
      </c>
      <c r="V118" s="16">
        <v>101</v>
      </c>
    </row>
    <row r="119" spans="2:22" x14ac:dyDescent="0.25">
      <c r="B119" s="16">
        <v>102</v>
      </c>
      <c r="C119" s="130">
        <v>0</v>
      </c>
      <c r="D119" s="131" t="s">
        <v>193</v>
      </c>
      <c r="E119" s="131" t="s">
        <v>193</v>
      </c>
      <c r="F119" s="131" t="s">
        <v>193</v>
      </c>
      <c r="G119" s="131" t="s">
        <v>193</v>
      </c>
      <c r="H119" s="131" t="s">
        <v>193</v>
      </c>
      <c r="I119" s="131" t="s">
        <v>193</v>
      </c>
      <c r="J119" s="131" t="s">
        <v>193</v>
      </c>
      <c r="K119" s="131" t="s">
        <v>193</v>
      </c>
      <c r="L119" s="131" t="s">
        <v>193</v>
      </c>
      <c r="M119" s="131" t="s">
        <v>193</v>
      </c>
      <c r="N119" s="131" t="s">
        <v>193</v>
      </c>
      <c r="O119" s="131" t="s">
        <v>193</v>
      </c>
      <c r="P119" s="131" t="s">
        <v>193</v>
      </c>
      <c r="Q119" s="131" t="s">
        <v>193</v>
      </c>
      <c r="R119" s="131" t="s">
        <v>193</v>
      </c>
      <c r="S119" s="131" t="s">
        <v>193</v>
      </c>
      <c r="T119" s="131" t="s">
        <v>193</v>
      </c>
      <c r="U119" s="131">
        <f t="shared" ref="U119:U182" si="44">U118+0.18125</f>
        <v>10.362499999999994</v>
      </c>
      <c r="V119" s="16">
        <v>102</v>
      </c>
    </row>
    <row r="120" spans="2:22" x14ac:dyDescent="0.25">
      <c r="B120" s="16">
        <v>103</v>
      </c>
      <c r="C120" s="130">
        <v>0</v>
      </c>
      <c r="D120" s="131" t="s">
        <v>193</v>
      </c>
      <c r="E120" s="131" t="s">
        <v>193</v>
      </c>
      <c r="F120" s="131" t="s">
        <v>193</v>
      </c>
      <c r="G120" s="131" t="s">
        <v>193</v>
      </c>
      <c r="H120" s="131" t="s">
        <v>193</v>
      </c>
      <c r="I120" s="131" t="s">
        <v>193</v>
      </c>
      <c r="J120" s="131" t="s">
        <v>193</v>
      </c>
      <c r="K120" s="131" t="s">
        <v>193</v>
      </c>
      <c r="L120" s="131" t="s">
        <v>193</v>
      </c>
      <c r="M120" s="131" t="s">
        <v>193</v>
      </c>
      <c r="N120" s="131" t="s">
        <v>193</v>
      </c>
      <c r="O120" s="131" t="s">
        <v>193</v>
      </c>
      <c r="P120" s="131" t="s">
        <v>193</v>
      </c>
      <c r="Q120" s="131" t="s">
        <v>193</v>
      </c>
      <c r="R120" s="131" t="s">
        <v>193</v>
      </c>
      <c r="S120" s="131" t="s">
        <v>193</v>
      </c>
      <c r="T120" s="131" t="s">
        <v>193</v>
      </c>
      <c r="U120" s="131">
        <f t="shared" si="44"/>
        <v>10.543749999999994</v>
      </c>
      <c r="V120" s="16">
        <v>103</v>
      </c>
    </row>
    <row r="121" spans="2:22" x14ac:dyDescent="0.25">
      <c r="B121" s="16">
        <v>104</v>
      </c>
      <c r="C121" s="130">
        <v>0</v>
      </c>
      <c r="D121" s="131" t="s">
        <v>193</v>
      </c>
      <c r="E121" s="131" t="s">
        <v>193</v>
      </c>
      <c r="F121" s="131" t="s">
        <v>193</v>
      </c>
      <c r="G121" s="131" t="s">
        <v>193</v>
      </c>
      <c r="H121" s="131" t="s">
        <v>193</v>
      </c>
      <c r="I121" s="131" t="s">
        <v>193</v>
      </c>
      <c r="J121" s="131" t="s">
        <v>193</v>
      </c>
      <c r="K121" s="131" t="s">
        <v>193</v>
      </c>
      <c r="L121" s="131" t="s">
        <v>193</v>
      </c>
      <c r="M121" s="131" t="s">
        <v>193</v>
      </c>
      <c r="N121" s="131" t="s">
        <v>193</v>
      </c>
      <c r="O121" s="131" t="s">
        <v>193</v>
      </c>
      <c r="P121" s="131" t="s">
        <v>193</v>
      </c>
      <c r="Q121" s="131" t="s">
        <v>193</v>
      </c>
      <c r="R121" s="131" t="s">
        <v>193</v>
      </c>
      <c r="S121" s="131" t="s">
        <v>193</v>
      </c>
      <c r="T121" s="131" t="s">
        <v>193</v>
      </c>
      <c r="U121" s="131">
        <f t="shared" si="44"/>
        <v>10.724999999999994</v>
      </c>
      <c r="V121" s="16">
        <v>104</v>
      </c>
    </row>
    <row r="122" spans="2:22" x14ac:dyDescent="0.25">
      <c r="B122" s="16">
        <v>105</v>
      </c>
      <c r="C122" s="130">
        <v>0</v>
      </c>
      <c r="D122" s="131" t="s">
        <v>193</v>
      </c>
      <c r="E122" s="131" t="s">
        <v>193</v>
      </c>
      <c r="F122" s="131" t="s">
        <v>193</v>
      </c>
      <c r="G122" s="131" t="s">
        <v>193</v>
      </c>
      <c r="H122" s="131" t="s">
        <v>193</v>
      </c>
      <c r="I122" s="131" t="s">
        <v>193</v>
      </c>
      <c r="J122" s="131" t="s">
        <v>193</v>
      </c>
      <c r="K122" s="131" t="s">
        <v>193</v>
      </c>
      <c r="L122" s="131" t="s">
        <v>193</v>
      </c>
      <c r="M122" s="131" t="s">
        <v>193</v>
      </c>
      <c r="N122" s="131" t="s">
        <v>193</v>
      </c>
      <c r="O122" s="131" t="s">
        <v>193</v>
      </c>
      <c r="P122" s="131" t="s">
        <v>193</v>
      </c>
      <c r="Q122" s="131" t="s">
        <v>193</v>
      </c>
      <c r="R122" s="131" t="s">
        <v>193</v>
      </c>
      <c r="S122" s="131" t="s">
        <v>193</v>
      </c>
      <c r="T122" s="131" t="s">
        <v>193</v>
      </c>
      <c r="U122" s="131">
        <f t="shared" si="44"/>
        <v>10.906249999999995</v>
      </c>
      <c r="V122" s="16">
        <v>105</v>
      </c>
    </row>
    <row r="123" spans="2:22" x14ac:dyDescent="0.25">
      <c r="B123" s="16">
        <v>106</v>
      </c>
      <c r="C123" s="130">
        <v>0</v>
      </c>
      <c r="D123" s="131" t="s">
        <v>193</v>
      </c>
      <c r="E123" s="131" t="s">
        <v>193</v>
      </c>
      <c r="F123" s="131" t="s">
        <v>193</v>
      </c>
      <c r="G123" s="131" t="s">
        <v>193</v>
      </c>
      <c r="H123" s="131" t="s">
        <v>193</v>
      </c>
      <c r="I123" s="131" t="s">
        <v>193</v>
      </c>
      <c r="J123" s="131" t="s">
        <v>193</v>
      </c>
      <c r="K123" s="131" t="s">
        <v>193</v>
      </c>
      <c r="L123" s="131" t="s">
        <v>193</v>
      </c>
      <c r="M123" s="131" t="s">
        <v>193</v>
      </c>
      <c r="N123" s="131" t="s">
        <v>193</v>
      </c>
      <c r="O123" s="131" t="s">
        <v>193</v>
      </c>
      <c r="P123" s="131" t="s">
        <v>193</v>
      </c>
      <c r="Q123" s="131" t="s">
        <v>193</v>
      </c>
      <c r="R123" s="131" t="s">
        <v>193</v>
      </c>
      <c r="S123" s="131" t="s">
        <v>193</v>
      </c>
      <c r="T123" s="131" t="s">
        <v>193</v>
      </c>
      <c r="U123" s="131">
        <f t="shared" si="44"/>
        <v>11.087499999999995</v>
      </c>
      <c r="V123" s="16">
        <v>106</v>
      </c>
    </row>
    <row r="124" spans="2:22" x14ac:dyDescent="0.25">
      <c r="B124" s="16">
        <v>107</v>
      </c>
      <c r="C124" s="130">
        <v>0</v>
      </c>
      <c r="D124" s="131" t="s">
        <v>193</v>
      </c>
      <c r="E124" s="131" t="s">
        <v>193</v>
      </c>
      <c r="F124" s="131" t="s">
        <v>193</v>
      </c>
      <c r="G124" s="131" t="s">
        <v>193</v>
      </c>
      <c r="H124" s="131" t="s">
        <v>193</v>
      </c>
      <c r="I124" s="131" t="s">
        <v>193</v>
      </c>
      <c r="J124" s="131" t="s">
        <v>193</v>
      </c>
      <c r="K124" s="131" t="s">
        <v>193</v>
      </c>
      <c r="L124" s="131" t="s">
        <v>193</v>
      </c>
      <c r="M124" s="131" t="s">
        <v>193</v>
      </c>
      <c r="N124" s="131" t="s">
        <v>193</v>
      </c>
      <c r="O124" s="131" t="s">
        <v>193</v>
      </c>
      <c r="P124" s="131" t="s">
        <v>193</v>
      </c>
      <c r="Q124" s="131" t="s">
        <v>193</v>
      </c>
      <c r="R124" s="131" t="s">
        <v>193</v>
      </c>
      <c r="S124" s="131" t="s">
        <v>193</v>
      </c>
      <c r="T124" s="131" t="s">
        <v>193</v>
      </c>
      <c r="U124" s="131">
        <f t="shared" si="44"/>
        <v>11.268749999999995</v>
      </c>
      <c r="V124" s="16">
        <v>107</v>
      </c>
    </row>
    <row r="125" spans="2:22" x14ac:dyDescent="0.25">
      <c r="B125" s="16">
        <v>108</v>
      </c>
      <c r="C125" s="130">
        <v>0</v>
      </c>
      <c r="D125" s="131" t="s">
        <v>193</v>
      </c>
      <c r="E125" s="131" t="s">
        <v>193</v>
      </c>
      <c r="F125" s="131" t="s">
        <v>193</v>
      </c>
      <c r="G125" s="131" t="s">
        <v>193</v>
      </c>
      <c r="H125" s="131" t="s">
        <v>193</v>
      </c>
      <c r="I125" s="131" t="s">
        <v>193</v>
      </c>
      <c r="J125" s="131" t="s">
        <v>193</v>
      </c>
      <c r="K125" s="131" t="s">
        <v>193</v>
      </c>
      <c r="L125" s="131" t="s">
        <v>193</v>
      </c>
      <c r="M125" s="131" t="s">
        <v>193</v>
      </c>
      <c r="N125" s="131" t="s">
        <v>193</v>
      </c>
      <c r="O125" s="131" t="s">
        <v>193</v>
      </c>
      <c r="P125" s="131" t="s">
        <v>193</v>
      </c>
      <c r="Q125" s="131" t="s">
        <v>193</v>
      </c>
      <c r="R125" s="131" t="s">
        <v>193</v>
      </c>
      <c r="S125" s="131" t="s">
        <v>193</v>
      </c>
      <c r="T125" s="131" t="s">
        <v>193</v>
      </c>
      <c r="U125" s="131">
        <f t="shared" si="44"/>
        <v>11.449999999999996</v>
      </c>
      <c r="V125" s="16">
        <v>108</v>
      </c>
    </row>
    <row r="126" spans="2:22" x14ac:dyDescent="0.25">
      <c r="B126" s="16">
        <v>109</v>
      </c>
      <c r="C126" s="130">
        <v>0</v>
      </c>
      <c r="D126" s="131" t="s">
        <v>193</v>
      </c>
      <c r="E126" s="131" t="s">
        <v>193</v>
      </c>
      <c r="F126" s="131" t="s">
        <v>193</v>
      </c>
      <c r="G126" s="131" t="s">
        <v>193</v>
      </c>
      <c r="H126" s="131" t="s">
        <v>193</v>
      </c>
      <c r="I126" s="131" t="s">
        <v>193</v>
      </c>
      <c r="J126" s="131" t="s">
        <v>193</v>
      </c>
      <c r="K126" s="131" t="s">
        <v>193</v>
      </c>
      <c r="L126" s="131" t="s">
        <v>193</v>
      </c>
      <c r="M126" s="131" t="s">
        <v>193</v>
      </c>
      <c r="N126" s="131" t="s">
        <v>193</v>
      </c>
      <c r="O126" s="131" t="s">
        <v>193</v>
      </c>
      <c r="P126" s="131" t="s">
        <v>193</v>
      </c>
      <c r="Q126" s="131" t="s">
        <v>193</v>
      </c>
      <c r="R126" s="131" t="s">
        <v>193</v>
      </c>
      <c r="S126" s="131" t="s">
        <v>193</v>
      </c>
      <c r="T126" s="131" t="s">
        <v>193</v>
      </c>
      <c r="U126" s="131">
        <f t="shared" si="44"/>
        <v>11.631249999999996</v>
      </c>
      <c r="V126" s="16">
        <v>109</v>
      </c>
    </row>
    <row r="127" spans="2:22" ht="13" x14ac:dyDescent="0.3">
      <c r="B127" s="16">
        <v>110</v>
      </c>
      <c r="C127" s="130">
        <v>0</v>
      </c>
      <c r="D127" s="131" t="s">
        <v>193</v>
      </c>
      <c r="E127" s="131" t="s">
        <v>193</v>
      </c>
      <c r="F127" s="131" t="s">
        <v>193</v>
      </c>
      <c r="G127" s="131" t="s">
        <v>193</v>
      </c>
      <c r="H127" s="131" t="s">
        <v>193</v>
      </c>
      <c r="I127" s="131" t="s">
        <v>193</v>
      </c>
      <c r="J127" s="131" t="s">
        <v>193</v>
      </c>
      <c r="K127" s="131" t="s">
        <v>193</v>
      </c>
      <c r="L127" s="131" t="s">
        <v>193</v>
      </c>
      <c r="M127" s="131" t="s">
        <v>193</v>
      </c>
      <c r="N127" s="131" t="s">
        <v>193</v>
      </c>
      <c r="O127" s="131" t="s">
        <v>193</v>
      </c>
      <c r="P127" s="131" t="s">
        <v>193</v>
      </c>
      <c r="Q127" s="131" t="s">
        <v>193</v>
      </c>
      <c r="R127" s="131" t="s">
        <v>193</v>
      </c>
      <c r="S127" s="131" t="s">
        <v>193</v>
      </c>
      <c r="T127" s="131" t="s">
        <v>193</v>
      </c>
      <c r="U127" s="132">
        <f t="shared" si="44"/>
        <v>11.812499999999996</v>
      </c>
      <c r="V127" s="16">
        <v>110</v>
      </c>
    </row>
    <row r="128" spans="2:22" x14ac:dyDescent="0.25">
      <c r="B128" s="16">
        <v>111</v>
      </c>
      <c r="C128" s="130">
        <v>0</v>
      </c>
      <c r="D128" s="131" t="s">
        <v>193</v>
      </c>
      <c r="E128" s="131" t="s">
        <v>193</v>
      </c>
      <c r="F128" s="131" t="s">
        <v>193</v>
      </c>
      <c r="G128" s="131" t="s">
        <v>193</v>
      </c>
      <c r="H128" s="131" t="s">
        <v>193</v>
      </c>
      <c r="I128" s="131" t="s">
        <v>193</v>
      </c>
      <c r="J128" s="131" t="s">
        <v>193</v>
      </c>
      <c r="K128" s="131" t="s">
        <v>193</v>
      </c>
      <c r="L128" s="131" t="s">
        <v>193</v>
      </c>
      <c r="M128" s="131" t="s">
        <v>193</v>
      </c>
      <c r="N128" s="131" t="s">
        <v>193</v>
      </c>
      <c r="O128" s="131" t="s">
        <v>193</v>
      </c>
      <c r="P128" s="131" t="s">
        <v>193</v>
      </c>
      <c r="Q128" s="131" t="s">
        <v>193</v>
      </c>
      <c r="R128" s="131" t="s">
        <v>193</v>
      </c>
      <c r="S128" s="131" t="s">
        <v>193</v>
      </c>
      <c r="T128" s="131" t="s">
        <v>193</v>
      </c>
      <c r="U128" s="131">
        <f t="shared" si="44"/>
        <v>11.993749999999997</v>
      </c>
      <c r="V128" s="16">
        <v>111</v>
      </c>
    </row>
    <row r="129" spans="2:22" x14ac:dyDescent="0.25">
      <c r="B129" s="16">
        <v>112</v>
      </c>
      <c r="C129" s="130">
        <v>0</v>
      </c>
      <c r="D129" s="131" t="s">
        <v>193</v>
      </c>
      <c r="E129" s="131" t="s">
        <v>193</v>
      </c>
      <c r="F129" s="131" t="s">
        <v>193</v>
      </c>
      <c r="G129" s="131" t="s">
        <v>193</v>
      </c>
      <c r="H129" s="131" t="s">
        <v>193</v>
      </c>
      <c r="I129" s="131" t="s">
        <v>193</v>
      </c>
      <c r="J129" s="131" t="s">
        <v>193</v>
      </c>
      <c r="K129" s="131" t="s">
        <v>193</v>
      </c>
      <c r="L129" s="131" t="s">
        <v>193</v>
      </c>
      <c r="M129" s="131" t="s">
        <v>193</v>
      </c>
      <c r="N129" s="131" t="s">
        <v>193</v>
      </c>
      <c r="O129" s="131" t="s">
        <v>193</v>
      </c>
      <c r="P129" s="131" t="s">
        <v>193</v>
      </c>
      <c r="Q129" s="131" t="s">
        <v>193</v>
      </c>
      <c r="R129" s="131" t="s">
        <v>193</v>
      </c>
      <c r="S129" s="131" t="s">
        <v>193</v>
      </c>
      <c r="T129" s="131" t="s">
        <v>193</v>
      </c>
      <c r="U129" s="131">
        <f t="shared" si="44"/>
        <v>12.174999999999997</v>
      </c>
      <c r="V129" s="16">
        <v>112</v>
      </c>
    </row>
    <row r="130" spans="2:22" x14ac:dyDescent="0.25">
      <c r="B130" s="16">
        <v>113</v>
      </c>
      <c r="C130" s="130">
        <v>0</v>
      </c>
      <c r="D130" s="131" t="s">
        <v>193</v>
      </c>
      <c r="E130" s="131" t="s">
        <v>193</v>
      </c>
      <c r="F130" s="131" t="s">
        <v>193</v>
      </c>
      <c r="G130" s="131" t="s">
        <v>193</v>
      </c>
      <c r="H130" s="131" t="s">
        <v>193</v>
      </c>
      <c r="I130" s="131" t="s">
        <v>193</v>
      </c>
      <c r="J130" s="131" t="s">
        <v>193</v>
      </c>
      <c r="K130" s="131" t="s">
        <v>193</v>
      </c>
      <c r="L130" s="131" t="s">
        <v>193</v>
      </c>
      <c r="M130" s="131" t="s">
        <v>193</v>
      </c>
      <c r="N130" s="131" t="s">
        <v>193</v>
      </c>
      <c r="O130" s="131" t="s">
        <v>193</v>
      </c>
      <c r="P130" s="131" t="s">
        <v>193</v>
      </c>
      <c r="Q130" s="131" t="s">
        <v>193</v>
      </c>
      <c r="R130" s="131" t="s">
        <v>193</v>
      </c>
      <c r="S130" s="131" t="s">
        <v>193</v>
      </c>
      <c r="T130" s="131" t="s">
        <v>193</v>
      </c>
      <c r="U130" s="131">
        <f t="shared" si="44"/>
        <v>12.356249999999998</v>
      </c>
      <c r="V130" s="16">
        <v>113</v>
      </c>
    </row>
    <row r="131" spans="2:22" x14ac:dyDescent="0.25">
      <c r="B131" s="16">
        <v>114</v>
      </c>
      <c r="C131" s="130">
        <v>0</v>
      </c>
      <c r="D131" s="131" t="s">
        <v>193</v>
      </c>
      <c r="E131" s="131" t="s">
        <v>193</v>
      </c>
      <c r="F131" s="131" t="s">
        <v>193</v>
      </c>
      <c r="G131" s="131" t="s">
        <v>193</v>
      </c>
      <c r="H131" s="131" t="s">
        <v>193</v>
      </c>
      <c r="I131" s="131" t="s">
        <v>193</v>
      </c>
      <c r="J131" s="131" t="s">
        <v>193</v>
      </c>
      <c r="K131" s="131" t="s">
        <v>193</v>
      </c>
      <c r="L131" s="131" t="s">
        <v>193</v>
      </c>
      <c r="M131" s="131" t="s">
        <v>193</v>
      </c>
      <c r="N131" s="131" t="s">
        <v>193</v>
      </c>
      <c r="O131" s="131" t="s">
        <v>193</v>
      </c>
      <c r="P131" s="131" t="s">
        <v>193</v>
      </c>
      <c r="Q131" s="131" t="s">
        <v>193</v>
      </c>
      <c r="R131" s="131" t="s">
        <v>193</v>
      </c>
      <c r="S131" s="131" t="s">
        <v>193</v>
      </c>
      <c r="T131" s="131" t="s">
        <v>193</v>
      </c>
      <c r="U131" s="131">
        <f t="shared" si="44"/>
        <v>12.537499999999998</v>
      </c>
      <c r="V131" s="16">
        <v>114</v>
      </c>
    </row>
    <row r="132" spans="2:22" x14ac:dyDescent="0.25">
      <c r="B132" s="16">
        <v>115</v>
      </c>
      <c r="C132" s="130">
        <v>0</v>
      </c>
      <c r="D132" s="131" t="s">
        <v>193</v>
      </c>
      <c r="E132" s="131" t="s">
        <v>193</v>
      </c>
      <c r="F132" s="131" t="s">
        <v>193</v>
      </c>
      <c r="G132" s="131" t="s">
        <v>193</v>
      </c>
      <c r="H132" s="131" t="s">
        <v>193</v>
      </c>
      <c r="I132" s="131" t="s">
        <v>193</v>
      </c>
      <c r="J132" s="131" t="s">
        <v>193</v>
      </c>
      <c r="K132" s="131" t="s">
        <v>193</v>
      </c>
      <c r="L132" s="131" t="s">
        <v>193</v>
      </c>
      <c r="M132" s="131" t="s">
        <v>193</v>
      </c>
      <c r="N132" s="131" t="s">
        <v>193</v>
      </c>
      <c r="O132" s="131" t="s">
        <v>193</v>
      </c>
      <c r="P132" s="131" t="s">
        <v>193</v>
      </c>
      <c r="Q132" s="131" t="s">
        <v>193</v>
      </c>
      <c r="R132" s="131" t="s">
        <v>193</v>
      </c>
      <c r="S132" s="131" t="s">
        <v>193</v>
      </c>
      <c r="T132" s="131" t="s">
        <v>193</v>
      </c>
      <c r="U132" s="131">
        <f t="shared" si="44"/>
        <v>12.718749999999998</v>
      </c>
      <c r="V132" s="16">
        <v>115</v>
      </c>
    </row>
    <row r="133" spans="2:22" x14ac:dyDescent="0.25">
      <c r="B133" s="16">
        <v>116</v>
      </c>
      <c r="C133" s="130">
        <v>0</v>
      </c>
      <c r="D133" s="131" t="s">
        <v>193</v>
      </c>
      <c r="E133" s="131" t="s">
        <v>193</v>
      </c>
      <c r="F133" s="131" t="s">
        <v>193</v>
      </c>
      <c r="G133" s="131" t="s">
        <v>193</v>
      </c>
      <c r="H133" s="131" t="s">
        <v>193</v>
      </c>
      <c r="I133" s="131" t="s">
        <v>193</v>
      </c>
      <c r="J133" s="131" t="s">
        <v>193</v>
      </c>
      <c r="K133" s="131" t="s">
        <v>193</v>
      </c>
      <c r="L133" s="131" t="s">
        <v>193</v>
      </c>
      <c r="M133" s="131" t="s">
        <v>193</v>
      </c>
      <c r="N133" s="131" t="s">
        <v>193</v>
      </c>
      <c r="O133" s="131" t="s">
        <v>193</v>
      </c>
      <c r="P133" s="131" t="s">
        <v>193</v>
      </c>
      <c r="Q133" s="131" t="s">
        <v>193</v>
      </c>
      <c r="R133" s="131" t="s">
        <v>193</v>
      </c>
      <c r="S133" s="131" t="s">
        <v>193</v>
      </c>
      <c r="T133" s="131" t="s">
        <v>193</v>
      </c>
      <c r="U133" s="131">
        <f t="shared" si="44"/>
        <v>12.899999999999999</v>
      </c>
      <c r="V133" s="16">
        <v>116</v>
      </c>
    </row>
    <row r="134" spans="2:22" x14ac:dyDescent="0.25">
      <c r="B134" s="16">
        <v>117</v>
      </c>
      <c r="C134" s="130">
        <v>0</v>
      </c>
      <c r="D134" s="131" t="s">
        <v>193</v>
      </c>
      <c r="E134" s="131" t="s">
        <v>193</v>
      </c>
      <c r="F134" s="131" t="s">
        <v>193</v>
      </c>
      <c r="G134" s="131" t="s">
        <v>193</v>
      </c>
      <c r="H134" s="131" t="s">
        <v>193</v>
      </c>
      <c r="I134" s="131" t="s">
        <v>193</v>
      </c>
      <c r="J134" s="131" t="s">
        <v>193</v>
      </c>
      <c r="K134" s="131" t="s">
        <v>193</v>
      </c>
      <c r="L134" s="131" t="s">
        <v>193</v>
      </c>
      <c r="M134" s="131" t="s">
        <v>193</v>
      </c>
      <c r="N134" s="131" t="s">
        <v>193</v>
      </c>
      <c r="O134" s="131" t="s">
        <v>193</v>
      </c>
      <c r="P134" s="131" t="s">
        <v>193</v>
      </c>
      <c r="Q134" s="131" t="s">
        <v>193</v>
      </c>
      <c r="R134" s="131" t="s">
        <v>193</v>
      </c>
      <c r="S134" s="131" t="s">
        <v>193</v>
      </c>
      <c r="T134" s="131" t="s">
        <v>193</v>
      </c>
      <c r="U134" s="131">
        <f t="shared" si="44"/>
        <v>13.081249999999999</v>
      </c>
      <c r="V134" s="16">
        <v>117</v>
      </c>
    </row>
    <row r="135" spans="2:22" x14ac:dyDescent="0.25">
      <c r="B135" s="16">
        <v>118</v>
      </c>
      <c r="C135" s="130">
        <v>0</v>
      </c>
      <c r="D135" s="131" t="s">
        <v>193</v>
      </c>
      <c r="E135" s="131" t="s">
        <v>193</v>
      </c>
      <c r="F135" s="131" t="s">
        <v>193</v>
      </c>
      <c r="G135" s="131" t="s">
        <v>193</v>
      </c>
      <c r="H135" s="131" t="s">
        <v>193</v>
      </c>
      <c r="I135" s="131" t="s">
        <v>193</v>
      </c>
      <c r="J135" s="131" t="s">
        <v>193</v>
      </c>
      <c r="K135" s="131" t="s">
        <v>193</v>
      </c>
      <c r="L135" s="131" t="s">
        <v>193</v>
      </c>
      <c r="M135" s="131" t="s">
        <v>193</v>
      </c>
      <c r="N135" s="131" t="s">
        <v>193</v>
      </c>
      <c r="O135" s="131" t="s">
        <v>193</v>
      </c>
      <c r="P135" s="131" t="s">
        <v>193</v>
      </c>
      <c r="Q135" s="131" t="s">
        <v>193</v>
      </c>
      <c r="R135" s="131" t="s">
        <v>193</v>
      </c>
      <c r="S135" s="131" t="s">
        <v>193</v>
      </c>
      <c r="T135" s="131" t="s">
        <v>193</v>
      </c>
      <c r="U135" s="131">
        <f t="shared" si="44"/>
        <v>13.262499999999999</v>
      </c>
      <c r="V135" s="16">
        <v>118</v>
      </c>
    </row>
    <row r="136" spans="2:22" x14ac:dyDescent="0.25">
      <c r="B136" s="16">
        <v>119</v>
      </c>
      <c r="C136" s="130">
        <v>0</v>
      </c>
      <c r="D136" s="131" t="s">
        <v>193</v>
      </c>
      <c r="E136" s="131" t="s">
        <v>193</v>
      </c>
      <c r="F136" s="131" t="s">
        <v>193</v>
      </c>
      <c r="G136" s="131" t="s">
        <v>193</v>
      </c>
      <c r="H136" s="131" t="s">
        <v>193</v>
      </c>
      <c r="I136" s="131" t="s">
        <v>193</v>
      </c>
      <c r="J136" s="131" t="s">
        <v>193</v>
      </c>
      <c r="K136" s="131" t="s">
        <v>193</v>
      </c>
      <c r="L136" s="131" t="s">
        <v>193</v>
      </c>
      <c r="M136" s="131" t="s">
        <v>193</v>
      </c>
      <c r="N136" s="131" t="s">
        <v>193</v>
      </c>
      <c r="O136" s="131" t="s">
        <v>193</v>
      </c>
      <c r="P136" s="131" t="s">
        <v>193</v>
      </c>
      <c r="Q136" s="131" t="s">
        <v>193</v>
      </c>
      <c r="R136" s="131" t="s">
        <v>193</v>
      </c>
      <c r="S136" s="131" t="s">
        <v>193</v>
      </c>
      <c r="T136" s="131" t="s">
        <v>193</v>
      </c>
      <c r="U136" s="131">
        <f t="shared" si="44"/>
        <v>13.44375</v>
      </c>
      <c r="V136" s="16">
        <v>119</v>
      </c>
    </row>
    <row r="137" spans="2:22" ht="13" x14ac:dyDescent="0.3">
      <c r="B137" s="16">
        <v>120</v>
      </c>
      <c r="C137" s="130">
        <v>0</v>
      </c>
      <c r="D137" s="131" t="s">
        <v>193</v>
      </c>
      <c r="E137" s="131" t="s">
        <v>193</v>
      </c>
      <c r="F137" s="131" t="s">
        <v>193</v>
      </c>
      <c r="G137" s="131" t="s">
        <v>193</v>
      </c>
      <c r="H137" s="131" t="s">
        <v>193</v>
      </c>
      <c r="I137" s="131" t="s">
        <v>193</v>
      </c>
      <c r="J137" s="131" t="s">
        <v>193</v>
      </c>
      <c r="K137" s="131" t="s">
        <v>193</v>
      </c>
      <c r="L137" s="131" t="s">
        <v>193</v>
      </c>
      <c r="M137" s="131" t="s">
        <v>193</v>
      </c>
      <c r="N137" s="131" t="s">
        <v>193</v>
      </c>
      <c r="O137" s="131" t="s">
        <v>193</v>
      </c>
      <c r="P137" s="131" t="s">
        <v>193</v>
      </c>
      <c r="Q137" s="131" t="s">
        <v>193</v>
      </c>
      <c r="R137" s="131" t="s">
        <v>193</v>
      </c>
      <c r="S137" s="131" t="s">
        <v>193</v>
      </c>
      <c r="T137" s="131" t="s">
        <v>193</v>
      </c>
      <c r="U137" s="132">
        <f t="shared" si="44"/>
        <v>13.625</v>
      </c>
      <c r="V137" s="16">
        <v>120</v>
      </c>
    </row>
    <row r="138" spans="2:22" x14ac:dyDescent="0.25">
      <c r="B138" s="16">
        <v>121</v>
      </c>
      <c r="C138" s="130">
        <v>0</v>
      </c>
      <c r="D138" s="131" t="s">
        <v>193</v>
      </c>
      <c r="E138" s="131" t="s">
        <v>193</v>
      </c>
      <c r="F138" s="131" t="s">
        <v>193</v>
      </c>
      <c r="G138" s="131" t="s">
        <v>193</v>
      </c>
      <c r="H138" s="131" t="s">
        <v>193</v>
      </c>
      <c r="I138" s="131" t="s">
        <v>193</v>
      </c>
      <c r="J138" s="131" t="s">
        <v>193</v>
      </c>
      <c r="K138" s="131" t="s">
        <v>193</v>
      </c>
      <c r="L138" s="131" t="s">
        <v>193</v>
      </c>
      <c r="M138" s="131" t="s">
        <v>193</v>
      </c>
      <c r="N138" s="131" t="s">
        <v>193</v>
      </c>
      <c r="O138" s="131" t="s">
        <v>193</v>
      </c>
      <c r="P138" s="131" t="s">
        <v>193</v>
      </c>
      <c r="Q138" s="131" t="s">
        <v>193</v>
      </c>
      <c r="R138" s="131" t="s">
        <v>193</v>
      </c>
      <c r="S138" s="131" t="s">
        <v>193</v>
      </c>
      <c r="T138" s="131" t="s">
        <v>193</v>
      </c>
      <c r="U138" s="131">
        <f t="shared" si="44"/>
        <v>13.80625</v>
      </c>
      <c r="V138" s="16">
        <v>121</v>
      </c>
    </row>
    <row r="139" spans="2:22" x14ac:dyDescent="0.25">
      <c r="B139" s="16">
        <v>122</v>
      </c>
      <c r="C139" s="130">
        <v>0</v>
      </c>
      <c r="D139" s="131" t="s">
        <v>193</v>
      </c>
      <c r="E139" s="131" t="s">
        <v>193</v>
      </c>
      <c r="F139" s="131" t="s">
        <v>193</v>
      </c>
      <c r="G139" s="131" t="s">
        <v>193</v>
      </c>
      <c r="H139" s="131" t="s">
        <v>193</v>
      </c>
      <c r="I139" s="131" t="s">
        <v>193</v>
      </c>
      <c r="J139" s="131" t="s">
        <v>193</v>
      </c>
      <c r="K139" s="131" t="s">
        <v>193</v>
      </c>
      <c r="L139" s="131" t="s">
        <v>193</v>
      </c>
      <c r="M139" s="131" t="s">
        <v>193</v>
      </c>
      <c r="N139" s="131" t="s">
        <v>193</v>
      </c>
      <c r="O139" s="131" t="s">
        <v>193</v>
      </c>
      <c r="P139" s="131" t="s">
        <v>193</v>
      </c>
      <c r="Q139" s="131" t="s">
        <v>193</v>
      </c>
      <c r="R139" s="131" t="s">
        <v>193</v>
      </c>
      <c r="S139" s="131" t="s">
        <v>193</v>
      </c>
      <c r="T139" s="131" t="s">
        <v>193</v>
      </c>
      <c r="U139" s="131">
        <f t="shared" si="44"/>
        <v>13.987500000000001</v>
      </c>
      <c r="V139" s="16">
        <v>122</v>
      </c>
    </row>
    <row r="140" spans="2:22" x14ac:dyDescent="0.25">
      <c r="B140" s="16">
        <v>123</v>
      </c>
      <c r="C140" s="130">
        <v>0</v>
      </c>
      <c r="D140" s="131" t="s">
        <v>193</v>
      </c>
      <c r="E140" s="131" t="s">
        <v>193</v>
      </c>
      <c r="F140" s="131" t="s">
        <v>193</v>
      </c>
      <c r="G140" s="131" t="s">
        <v>193</v>
      </c>
      <c r="H140" s="131" t="s">
        <v>193</v>
      </c>
      <c r="I140" s="131" t="s">
        <v>193</v>
      </c>
      <c r="J140" s="131" t="s">
        <v>193</v>
      </c>
      <c r="K140" s="131" t="s">
        <v>193</v>
      </c>
      <c r="L140" s="131" t="s">
        <v>193</v>
      </c>
      <c r="M140" s="131" t="s">
        <v>193</v>
      </c>
      <c r="N140" s="131" t="s">
        <v>193</v>
      </c>
      <c r="O140" s="131" t="s">
        <v>193</v>
      </c>
      <c r="P140" s="131" t="s">
        <v>193</v>
      </c>
      <c r="Q140" s="131" t="s">
        <v>193</v>
      </c>
      <c r="R140" s="131" t="s">
        <v>193</v>
      </c>
      <c r="S140" s="131" t="s">
        <v>193</v>
      </c>
      <c r="T140" s="131" t="s">
        <v>193</v>
      </c>
      <c r="U140" s="131">
        <f t="shared" si="44"/>
        <v>14.168750000000001</v>
      </c>
      <c r="V140" s="16">
        <v>123</v>
      </c>
    </row>
    <row r="141" spans="2:22" x14ac:dyDescent="0.25">
      <c r="B141" s="16">
        <v>124</v>
      </c>
      <c r="C141" s="130">
        <v>0</v>
      </c>
      <c r="D141" s="131" t="s">
        <v>193</v>
      </c>
      <c r="E141" s="131" t="s">
        <v>193</v>
      </c>
      <c r="F141" s="131" t="s">
        <v>193</v>
      </c>
      <c r="G141" s="131" t="s">
        <v>193</v>
      </c>
      <c r="H141" s="131" t="s">
        <v>193</v>
      </c>
      <c r="I141" s="131" t="s">
        <v>193</v>
      </c>
      <c r="J141" s="131" t="s">
        <v>193</v>
      </c>
      <c r="K141" s="131" t="s">
        <v>193</v>
      </c>
      <c r="L141" s="131" t="s">
        <v>193</v>
      </c>
      <c r="M141" s="131" t="s">
        <v>193</v>
      </c>
      <c r="N141" s="131" t="s">
        <v>193</v>
      </c>
      <c r="O141" s="131" t="s">
        <v>193</v>
      </c>
      <c r="P141" s="131" t="s">
        <v>193</v>
      </c>
      <c r="Q141" s="131" t="s">
        <v>193</v>
      </c>
      <c r="R141" s="131" t="s">
        <v>193</v>
      </c>
      <c r="S141" s="131" t="s">
        <v>193</v>
      </c>
      <c r="T141" s="131" t="s">
        <v>193</v>
      </c>
      <c r="U141" s="131">
        <f t="shared" si="44"/>
        <v>14.350000000000001</v>
      </c>
      <c r="V141" s="16">
        <v>124</v>
      </c>
    </row>
    <row r="142" spans="2:22" x14ac:dyDescent="0.25">
      <c r="B142" s="16">
        <v>125</v>
      </c>
      <c r="C142" s="130">
        <v>0</v>
      </c>
      <c r="D142" s="131" t="s">
        <v>193</v>
      </c>
      <c r="E142" s="131" t="s">
        <v>193</v>
      </c>
      <c r="F142" s="131" t="s">
        <v>193</v>
      </c>
      <c r="G142" s="131" t="s">
        <v>193</v>
      </c>
      <c r="H142" s="131" t="s">
        <v>193</v>
      </c>
      <c r="I142" s="131" t="s">
        <v>193</v>
      </c>
      <c r="J142" s="131" t="s">
        <v>193</v>
      </c>
      <c r="K142" s="131" t="s">
        <v>193</v>
      </c>
      <c r="L142" s="131" t="s">
        <v>193</v>
      </c>
      <c r="M142" s="131" t="s">
        <v>193</v>
      </c>
      <c r="N142" s="131" t="s">
        <v>193</v>
      </c>
      <c r="O142" s="131" t="s">
        <v>193</v>
      </c>
      <c r="P142" s="131" t="s">
        <v>193</v>
      </c>
      <c r="Q142" s="131" t="s">
        <v>193</v>
      </c>
      <c r="R142" s="131" t="s">
        <v>193</v>
      </c>
      <c r="S142" s="131" t="s">
        <v>193</v>
      </c>
      <c r="T142" s="131" t="s">
        <v>193</v>
      </c>
      <c r="U142" s="131">
        <f t="shared" si="44"/>
        <v>14.531250000000002</v>
      </c>
      <c r="V142" s="16">
        <v>125</v>
      </c>
    </row>
    <row r="143" spans="2:22" x14ac:dyDescent="0.25">
      <c r="B143" s="16">
        <v>126</v>
      </c>
      <c r="C143" s="130">
        <v>0</v>
      </c>
      <c r="D143" s="131" t="s">
        <v>193</v>
      </c>
      <c r="E143" s="131" t="s">
        <v>193</v>
      </c>
      <c r="F143" s="131" t="s">
        <v>193</v>
      </c>
      <c r="G143" s="131" t="s">
        <v>193</v>
      </c>
      <c r="H143" s="131" t="s">
        <v>193</v>
      </c>
      <c r="I143" s="131" t="s">
        <v>193</v>
      </c>
      <c r="J143" s="131" t="s">
        <v>193</v>
      </c>
      <c r="K143" s="131" t="s">
        <v>193</v>
      </c>
      <c r="L143" s="131" t="s">
        <v>193</v>
      </c>
      <c r="M143" s="131" t="s">
        <v>193</v>
      </c>
      <c r="N143" s="131" t="s">
        <v>193</v>
      </c>
      <c r="O143" s="131" t="s">
        <v>193</v>
      </c>
      <c r="P143" s="131" t="s">
        <v>193</v>
      </c>
      <c r="Q143" s="131" t="s">
        <v>193</v>
      </c>
      <c r="R143" s="131" t="s">
        <v>193</v>
      </c>
      <c r="S143" s="131" t="s">
        <v>193</v>
      </c>
      <c r="T143" s="131" t="s">
        <v>193</v>
      </c>
      <c r="U143" s="131">
        <f t="shared" si="44"/>
        <v>14.712500000000002</v>
      </c>
      <c r="V143" s="16">
        <v>126</v>
      </c>
    </row>
    <row r="144" spans="2:22" x14ac:dyDescent="0.25">
      <c r="B144" s="16">
        <v>127</v>
      </c>
      <c r="C144" s="130">
        <v>0</v>
      </c>
      <c r="D144" s="131" t="s">
        <v>193</v>
      </c>
      <c r="E144" s="131" t="s">
        <v>193</v>
      </c>
      <c r="F144" s="131" t="s">
        <v>193</v>
      </c>
      <c r="G144" s="131" t="s">
        <v>193</v>
      </c>
      <c r="H144" s="131" t="s">
        <v>193</v>
      </c>
      <c r="I144" s="131" t="s">
        <v>193</v>
      </c>
      <c r="J144" s="131" t="s">
        <v>193</v>
      </c>
      <c r="K144" s="131" t="s">
        <v>193</v>
      </c>
      <c r="L144" s="131" t="s">
        <v>193</v>
      </c>
      <c r="M144" s="131" t="s">
        <v>193</v>
      </c>
      <c r="N144" s="131" t="s">
        <v>193</v>
      </c>
      <c r="O144" s="131" t="s">
        <v>193</v>
      </c>
      <c r="P144" s="131" t="s">
        <v>193</v>
      </c>
      <c r="Q144" s="131" t="s">
        <v>193</v>
      </c>
      <c r="R144" s="131" t="s">
        <v>193</v>
      </c>
      <c r="S144" s="131" t="s">
        <v>193</v>
      </c>
      <c r="T144" s="131" t="s">
        <v>193</v>
      </c>
      <c r="U144" s="131">
        <f t="shared" si="44"/>
        <v>14.893750000000002</v>
      </c>
      <c r="V144" s="16">
        <v>127</v>
      </c>
    </row>
    <row r="145" spans="2:22" x14ac:dyDescent="0.25">
      <c r="B145" s="16">
        <v>128</v>
      </c>
      <c r="C145" s="130">
        <v>0</v>
      </c>
      <c r="D145" s="131" t="s">
        <v>193</v>
      </c>
      <c r="E145" s="131" t="s">
        <v>193</v>
      </c>
      <c r="F145" s="131" t="s">
        <v>193</v>
      </c>
      <c r="G145" s="131" t="s">
        <v>193</v>
      </c>
      <c r="H145" s="131" t="s">
        <v>193</v>
      </c>
      <c r="I145" s="131" t="s">
        <v>193</v>
      </c>
      <c r="J145" s="131" t="s">
        <v>193</v>
      </c>
      <c r="K145" s="131" t="s">
        <v>193</v>
      </c>
      <c r="L145" s="131" t="s">
        <v>193</v>
      </c>
      <c r="M145" s="131" t="s">
        <v>193</v>
      </c>
      <c r="N145" s="131" t="s">
        <v>193</v>
      </c>
      <c r="O145" s="131" t="s">
        <v>193</v>
      </c>
      <c r="P145" s="131" t="s">
        <v>193</v>
      </c>
      <c r="Q145" s="131" t="s">
        <v>193</v>
      </c>
      <c r="R145" s="131" t="s">
        <v>193</v>
      </c>
      <c r="S145" s="131" t="s">
        <v>193</v>
      </c>
      <c r="T145" s="131" t="s">
        <v>193</v>
      </c>
      <c r="U145" s="131">
        <f t="shared" si="44"/>
        <v>15.075000000000003</v>
      </c>
      <c r="V145" s="16">
        <v>128</v>
      </c>
    </row>
    <row r="146" spans="2:22" x14ac:dyDescent="0.25">
      <c r="B146" s="16">
        <v>129</v>
      </c>
      <c r="C146" s="130">
        <v>0</v>
      </c>
      <c r="D146" s="131" t="s">
        <v>193</v>
      </c>
      <c r="E146" s="131" t="s">
        <v>193</v>
      </c>
      <c r="F146" s="131" t="s">
        <v>193</v>
      </c>
      <c r="G146" s="131" t="s">
        <v>193</v>
      </c>
      <c r="H146" s="131" t="s">
        <v>193</v>
      </c>
      <c r="I146" s="131" t="s">
        <v>193</v>
      </c>
      <c r="J146" s="131" t="s">
        <v>193</v>
      </c>
      <c r="K146" s="131" t="s">
        <v>193</v>
      </c>
      <c r="L146" s="131" t="s">
        <v>193</v>
      </c>
      <c r="M146" s="131" t="s">
        <v>193</v>
      </c>
      <c r="N146" s="131" t="s">
        <v>193</v>
      </c>
      <c r="O146" s="131" t="s">
        <v>193</v>
      </c>
      <c r="P146" s="131" t="s">
        <v>193</v>
      </c>
      <c r="Q146" s="131" t="s">
        <v>193</v>
      </c>
      <c r="R146" s="131" t="s">
        <v>193</v>
      </c>
      <c r="S146" s="131" t="s">
        <v>193</v>
      </c>
      <c r="T146" s="131" t="s">
        <v>193</v>
      </c>
      <c r="U146" s="131">
        <f t="shared" si="44"/>
        <v>15.256250000000003</v>
      </c>
      <c r="V146" s="16">
        <v>129</v>
      </c>
    </row>
    <row r="147" spans="2:22" ht="13" x14ac:dyDescent="0.3">
      <c r="B147" s="16">
        <v>130</v>
      </c>
      <c r="C147" s="130">
        <v>0</v>
      </c>
      <c r="D147" s="131" t="s">
        <v>193</v>
      </c>
      <c r="E147" s="131" t="s">
        <v>193</v>
      </c>
      <c r="F147" s="131" t="s">
        <v>193</v>
      </c>
      <c r="G147" s="131" t="s">
        <v>193</v>
      </c>
      <c r="H147" s="131" t="s">
        <v>193</v>
      </c>
      <c r="I147" s="131" t="s">
        <v>193</v>
      </c>
      <c r="J147" s="131" t="s">
        <v>193</v>
      </c>
      <c r="K147" s="131" t="s">
        <v>193</v>
      </c>
      <c r="L147" s="131" t="s">
        <v>193</v>
      </c>
      <c r="M147" s="131" t="s">
        <v>193</v>
      </c>
      <c r="N147" s="131" t="s">
        <v>193</v>
      </c>
      <c r="O147" s="131" t="s">
        <v>193</v>
      </c>
      <c r="P147" s="131" t="s">
        <v>193</v>
      </c>
      <c r="Q147" s="131" t="s">
        <v>193</v>
      </c>
      <c r="R147" s="131" t="s">
        <v>193</v>
      </c>
      <c r="S147" s="131" t="s">
        <v>193</v>
      </c>
      <c r="T147" s="131" t="s">
        <v>193</v>
      </c>
      <c r="U147" s="132">
        <f t="shared" si="44"/>
        <v>15.437500000000004</v>
      </c>
      <c r="V147" s="16">
        <v>130</v>
      </c>
    </row>
    <row r="148" spans="2:22" x14ac:dyDescent="0.25">
      <c r="B148" s="16">
        <v>131</v>
      </c>
      <c r="C148" s="130">
        <v>0</v>
      </c>
      <c r="D148" s="131" t="s">
        <v>193</v>
      </c>
      <c r="E148" s="131" t="s">
        <v>193</v>
      </c>
      <c r="F148" s="131" t="s">
        <v>193</v>
      </c>
      <c r="G148" s="131" t="s">
        <v>193</v>
      </c>
      <c r="H148" s="131" t="s">
        <v>193</v>
      </c>
      <c r="I148" s="131" t="s">
        <v>193</v>
      </c>
      <c r="J148" s="131" t="s">
        <v>193</v>
      </c>
      <c r="K148" s="131" t="s">
        <v>193</v>
      </c>
      <c r="L148" s="131" t="s">
        <v>193</v>
      </c>
      <c r="M148" s="131" t="s">
        <v>193</v>
      </c>
      <c r="N148" s="131" t="s">
        <v>193</v>
      </c>
      <c r="O148" s="131" t="s">
        <v>193</v>
      </c>
      <c r="P148" s="131" t="s">
        <v>193</v>
      </c>
      <c r="Q148" s="131" t="s">
        <v>193</v>
      </c>
      <c r="R148" s="131" t="s">
        <v>193</v>
      </c>
      <c r="S148" s="131" t="s">
        <v>193</v>
      </c>
      <c r="T148" s="131" t="s">
        <v>193</v>
      </c>
      <c r="U148" s="131">
        <f t="shared" si="44"/>
        <v>15.618750000000004</v>
      </c>
      <c r="V148" s="16">
        <v>131</v>
      </c>
    </row>
    <row r="149" spans="2:22" x14ac:dyDescent="0.25">
      <c r="B149" s="16">
        <v>132</v>
      </c>
      <c r="C149" s="130">
        <v>0</v>
      </c>
      <c r="D149" s="131" t="s">
        <v>193</v>
      </c>
      <c r="E149" s="131" t="s">
        <v>193</v>
      </c>
      <c r="F149" s="131" t="s">
        <v>193</v>
      </c>
      <c r="G149" s="131" t="s">
        <v>193</v>
      </c>
      <c r="H149" s="131" t="s">
        <v>193</v>
      </c>
      <c r="I149" s="131" t="s">
        <v>193</v>
      </c>
      <c r="J149" s="131" t="s">
        <v>193</v>
      </c>
      <c r="K149" s="131" t="s">
        <v>193</v>
      </c>
      <c r="L149" s="131" t="s">
        <v>193</v>
      </c>
      <c r="M149" s="131" t="s">
        <v>193</v>
      </c>
      <c r="N149" s="131" t="s">
        <v>193</v>
      </c>
      <c r="O149" s="131" t="s">
        <v>193</v>
      </c>
      <c r="P149" s="131" t="s">
        <v>193</v>
      </c>
      <c r="Q149" s="131" t="s">
        <v>193</v>
      </c>
      <c r="R149" s="131" t="s">
        <v>193</v>
      </c>
      <c r="S149" s="131" t="s">
        <v>193</v>
      </c>
      <c r="T149" s="131" t="s">
        <v>193</v>
      </c>
      <c r="U149" s="131">
        <f t="shared" si="44"/>
        <v>15.800000000000004</v>
      </c>
      <c r="V149" s="16">
        <v>132</v>
      </c>
    </row>
    <row r="150" spans="2:22" x14ac:dyDescent="0.25">
      <c r="B150" s="16">
        <v>133</v>
      </c>
      <c r="C150" s="130">
        <v>0</v>
      </c>
      <c r="D150" s="131" t="s">
        <v>193</v>
      </c>
      <c r="E150" s="131" t="s">
        <v>193</v>
      </c>
      <c r="F150" s="131" t="s">
        <v>193</v>
      </c>
      <c r="G150" s="131" t="s">
        <v>193</v>
      </c>
      <c r="H150" s="131" t="s">
        <v>193</v>
      </c>
      <c r="I150" s="131" t="s">
        <v>193</v>
      </c>
      <c r="J150" s="131" t="s">
        <v>193</v>
      </c>
      <c r="K150" s="131" t="s">
        <v>193</v>
      </c>
      <c r="L150" s="131" t="s">
        <v>193</v>
      </c>
      <c r="M150" s="131" t="s">
        <v>193</v>
      </c>
      <c r="N150" s="131" t="s">
        <v>193</v>
      </c>
      <c r="O150" s="131" t="s">
        <v>193</v>
      </c>
      <c r="P150" s="131" t="s">
        <v>193</v>
      </c>
      <c r="Q150" s="131" t="s">
        <v>193</v>
      </c>
      <c r="R150" s="131" t="s">
        <v>193</v>
      </c>
      <c r="S150" s="131" t="s">
        <v>193</v>
      </c>
      <c r="T150" s="131" t="s">
        <v>193</v>
      </c>
      <c r="U150" s="131">
        <f t="shared" si="44"/>
        <v>15.981250000000005</v>
      </c>
      <c r="V150" s="16">
        <v>133</v>
      </c>
    </row>
    <row r="151" spans="2:22" x14ac:dyDescent="0.25">
      <c r="B151" s="16">
        <v>134</v>
      </c>
      <c r="C151" s="130">
        <v>0</v>
      </c>
      <c r="D151" s="131" t="s">
        <v>193</v>
      </c>
      <c r="E151" s="131" t="s">
        <v>193</v>
      </c>
      <c r="F151" s="131" t="s">
        <v>193</v>
      </c>
      <c r="G151" s="131" t="s">
        <v>193</v>
      </c>
      <c r="H151" s="131" t="s">
        <v>193</v>
      </c>
      <c r="I151" s="131" t="s">
        <v>193</v>
      </c>
      <c r="J151" s="131" t="s">
        <v>193</v>
      </c>
      <c r="K151" s="131" t="s">
        <v>193</v>
      </c>
      <c r="L151" s="131" t="s">
        <v>193</v>
      </c>
      <c r="M151" s="131" t="s">
        <v>193</v>
      </c>
      <c r="N151" s="131" t="s">
        <v>193</v>
      </c>
      <c r="O151" s="131" t="s">
        <v>193</v>
      </c>
      <c r="P151" s="131" t="s">
        <v>193</v>
      </c>
      <c r="Q151" s="131" t="s">
        <v>193</v>
      </c>
      <c r="R151" s="131" t="s">
        <v>193</v>
      </c>
      <c r="S151" s="131" t="s">
        <v>193</v>
      </c>
      <c r="T151" s="131" t="s">
        <v>193</v>
      </c>
      <c r="U151" s="131">
        <f t="shared" si="44"/>
        <v>16.162500000000005</v>
      </c>
      <c r="V151" s="16">
        <v>134</v>
      </c>
    </row>
    <row r="152" spans="2:22" x14ac:dyDescent="0.25">
      <c r="B152" s="16">
        <v>135</v>
      </c>
      <c r="C152" s="130">
        <v>0</v>
      </c>
      <c r="D152" s="131" t="s">
        <v>193</v>
      </c>
      <c r="E152" s="131" t="s">
        <v>193</v>
      </c>
      <c r="F152" s="131" t="s">
        <v>193</v>
      </c>
      <c r="G152" s="131" t="s">
        <v>193</v>
      </c>
      <c r="H152" s="131" t="s">
        <v>193</v>
      </c>
      <c r="I152" s="131" t="s">
        <v>193</v>
      </c>
      <c r="J152" s="131" t="s">
        <v>193</v>
      </c>
      <c r="K152" s="131" t="s">
        <v>193</v>
      </c>
      <c r="L152" s="131" t="s">
        <v>193</v>
      </c>
      <c r="M152" s="131" t="s">
        <v>193</v>
      </c>
      <c r="N152" s="131" t="s">
        <v>193</v>
      </c>
      <c r="O152" s="131" t="s">
        <v>193</v>
      </c>
      <c r="P152" s="131" t="s">
        <v>193</v>
      </c>
      <c r="Q152" s="131" t="s">
        <v>193</v>
      </c>
      <c r="R152" s="131" t="s">
        <v>193</v>
      </c>
      <c r="S152" s="131" t="s">
        <v>193</v>
      </c>
      <c r="T152" s="131" t="s">
        <v>193</v>
      </c>
      <c r="U152" s="131">
        <f t="shared" si="44"/>
        <v>16.343750000000004</v>
      </c>
      <c r="V152" s="16">
        <v>135</v>
      </c>
    </row>
    <row r="153" spans="2:22" x14ac:dyDescent="0.25">
      <c r="B153" s="16">
        <v>136</v>
      </c>
      <c r="C153" s="130">
        <v>0</v>
      </c>
      <c r="D153" s="131" t="s">
        <v>193</v>
      </c>
      <c r="E153" s="131" t="s">
        <v>193</v>
      </c>
      <c r="F153" s="131" t="s">
        <v>193</v>
      </c>
      <c r="G153" s="131" t="s">
        <v>193</v>
      </c>
      <c r="H153" s="131" t="s">
        <v>193</v>
      </c>
      <c r="I153" s="131" t="s">
        <v>193</v>
      </c>
      <c r="J153" s="131" t="s">
        <v>193</v>
      </c>
      <c r="K153" s="131" t="s">
        <v>193</v>
      </c>
      <c r="L153" s="131" t="s">
        <v>193</v>
      </c>
      <c r="M153" s="131" t="s">
        <v>193</v>
      </c>
      <c r="N153" s="131" t="s">
        <v>193</v>
      </c>
      <c r="O153" s="131" t="s">
        <v>193</v>
      </c>
      <c r="P153" s="131" t="s">
        <v>193</v>
      </c>
      <c r="Q153" s="131" t="s">
        <v>193</v>
      </c>
      <c r="R153" s="131" t="s">
        <v>193</v>
      </c>
      <c r="S153" s="131" t="s">
        <v>193</v>
      </c>
      <c r="T153" s="131" t="s">
        <v>193</v>
      </c>
      <c r="U153" s="131">
        <f t="shared" si="44"/>
        <v>16.525000000000002</v>
      </c>
      <c r="V153" s="16">
        <v>136</v>
      </c>
    </row>
    <row r="154" spans="2:22" x14ac:dyDescent="0.25">
      <c r="B154" s="16">
        <v>137</v>
      </c>
      <c r="C154" s="130">
        <v>0</v>
      </c>
      <c r="D154" s="131" t="s">
        <v>193</v>
      </c>
      <c r="E154" s="131" t="s">
        <v>193</v>
      </c>
      <c r="F154" s="131" t="s">
        <v>193</v>
      </c>
      <c r="G154" s="131" t="s">
        <v>193</v>
      </c>
      <c r="H154" s="131" t="s">
        <v>193</v>
      </c>
      <c r="I154" s="131" t="s">
        <v>193</v>
      </c>
      <c r="J154" s="131" t="s">
        <v>193</v>
      </c>
      <c r="K154" s="131" t="s">
        <v>193</v>
      </c>
      <c r="L154" s="131" t="s">
        <v>193</v>
      </c>
      <c r="M154" s="131" t="s">
        <v>193</v>
      </c>
      <c r="N154" s="131" t="s">
        <v>193</v>
      </c>
      <c r="O154" s="131" t="s">
        <v>193</v>
      </c>
      <c r="P154" s="131" t="s">
        <v>193</v>
      </c>
      <c r="Q154" s="131" t="s">
        <v>193</v>
      </c>
      <c r="R154" s="131" t="s">
        <v>193</v>
      </c>
      <c r="S154" s="131" t="s">
        <v>193</v>
      </c>
      <c r="T154" s="131" t="s">
        <v>193</v>
      </c>
      <c r="U154" s="131">
        <f t="shared" si="44"/>
        <v>16.706250000000001</v>
      </c>
      <c r="V154" s="16">
        <v>137</v>
      </c>
    </row>
    <row r="155" spans="2:22" x14ac:dyDescent="0.25">
      <c r="B155" s="16">
        <v>138</v>
      </c>
      <c r="C155" s="130">
        <v>0</v>
      </c>
      <c r="D155" s="131" t="s">
        <v>193</v>
      </c>
      <c r="E155" s="131" t="s">
        <v>193</v>
      </c>
      <c r="F155" s="131" t="s">
        <v>193</v>
      </c>
      <c r="G155" s="131" t="s">
        <v>193</v>
      </c>
      <c r="H155" s="131" t="s">
        <v>193</v>
      </c>
      <c r="I155" s="131" t="s">
        <v>193</v>
      </c>
      <c r="J155" s="131" t="s">
        <v>193</v>
      </c>
      <c r="K155" s="131" t="s">
        <v>193</v>
      </c>
      <c r="L155" s="131" t="s">
        <v>193</v>
      </c>
      <c r="M155" s="131" t="s">
        <v>193</v>
      </c>
      <c r="N155" s="131" t="s">
        <v>193</v>
      </c>
      <c r="O155" s="131" t="s">
        <v>193</v>
      </c>
      <c r="P155" s="131" t="s">
        <v>193</v>
      </c>
      <c r="Q155" s="131" t="s">
        <v>193</v>
      </c>
      <c r="R155" s="131" t="s">
        <v>193</v>
      </c>
      <c r="S155" s="131" t="s">
        <v>193</v>
      </c>
      <c r="T155" s="131" t="s">
        <v>193</v>
      </c>
      <c r="U155" s="131">
        <f t="shared" si="44"/>
        <v>16.887499999999999</v>
      </c>
      <c r="V155" s="16">
        <v>138</v>
      </c>
    </row>
    <row r="156" spans="2:22" x14ac:dyDescent="0.25">
      <c r="B156" s="16">
        <v>139</v>
      </c>
      <c r="C156" s="130">
        <v>0</v>
      </c>
      <c r="D156" s="131" t="s">
        <v>193</v>
      </c>
      <c r="E156" s="131" t="s">
        <v>193</v>
      </c>
      <c r="F156" s="131" t="s">
        <v>193</v>
      </c>
      <c r="G156" s="131" t="s">
        <v>193</v>
      </c>
      <c r="H156" s="131" t="s">
        <v>193</v>
      </c>
      <c r="I156" s="131" t="s">
        <v>193</v>
      </c>
      <c r="J156" s="131" t="s">
        <v>193</v>
      </c>
      <c r="K156" s="131" t="s">
        <v>193</v>
      </c>
      <c r="L156" s="131" t="s">
        <v>193</v>
      </c>
      <c r="M156" s="131" t="s">
        <v>193</v>
      </c>
      <c r="N156" s="131" t="s">
        <v>193</v>
      </c>
      <c r="O156" s="131" t="s">
        <v>193</v>
      </c>
      <c r="P156" s="131" t="s">
        <v>193</v>
      </c>
      <c r="Q156" s="131" t="s">
        <v>193</v>
      </c>
      <c r="R156" s="131" t="s">
        <v>193</v>
      </c>
      <c r="S156" s="131" t="s">
        <v>193</v>
      </c>
      <c r="T156" s="131" t="s">
        <v>193</v>
      </c>
      <c r="U156" s="131">
        <f t="shared" si="44"/>
        <v>17.068749999999998</v>
      </c>
      <c r="V156" s="16">
        <v>139</v>
      </c>
    </row>
    <row r="157" spans="2:22" ht="13" x14ac:dyDescent="0.3">
      <c r="B157" s="16">
        <v>140</v>
      </c>
      <c r="C157" s="130">
        <v>0</v>
      </c>
      <c r="D157" s="131" t="s">
        <v>193</v>
      </c>
      <c r="E157" s="131" t="s">
        <v>193</v>
      </c>
      <c r="F157" s="131" t="s">
        <v>193</v>
      </c>
      <c r="G157" s="131" t="s">
        <v>193</v>
      </c>
      <c r="H157" s="131" t="s">
        <v>193</v>
      </c>
      <c r="I157" s="131" t="s">
        <v>193</v>
      </c>
      <c r="J157" s="131" t="s">
        <v>193</v>
      </c>
      <c r="K157" s="131" t="s">
        <v>193</v>
      </c>
      <c r="L157" s="131" t="s">
        <v>193</v>
      </c>
      <c r="M157" s="131" t="s">
        <v>193</v>
      </c>
      <c r="N157" s="131" t="s">
        <v>193</v>
      </c>
      <c r="O157" s="131" t="s">
        <v>193</v>
      </c>
      <c r="P157" s="131" t="s">
        <v>193</v>
      </c>
      <c r="Q157" s="131" t="s">
        <v>193</v>
      </c>
      <c r="R157" s="131" t="s">
        <v>193</v>
      </c>
      <c r="S157" s="131" t="s">
        <v>193</v>
      </c>
      <c r="T157" s="131" t="s">
        <v>193</v>
      </c>
      <c r="U157" s="132">
        <f t="shared" si="44"/>
        <v>17.249999999999996</v>
      </c>
      <c r="V157" s="16">
        <v>140</v>
      </c>
    </row>
    <row r="158" spans="2:22" x14ac:dyDescent="0.25">
      <c r="B158" s="16">
        <v>141</v>
      </c>
      <c r="C158" s="130">
        <v>0</v>
      </c>
      <c r="D158" s="131" t="s">
        <v>193</v>
      </c>
      <c r="E158" s="131" t="s">
        <v>193</v>
      </c>
      <c r="F158" s="131" t="s">
        <v>193</v>
      </c>
      <c r="G158" s="131" t="s">
        <v>193</v>
      </c>
      <c r="H158" s="131" t="s">
        <v>193</v>
      </c>
      <c r="I158" s="131" t="s">
        <v>193</v>
      </c>
      <c r="J158" s="131" t="s">
        <v>193</v>
      </c>
      <c r="K158" s="131" t="s">
        <v>193</v>
      </c>
      <c r="L158" s="131" t="s">
        <v>193</v>
      </c>
      <c r="M158" s="131" t="s">
        <v>193</v>
      </c>
      <c r="N158" s="131" t="s">
        <v>193</v>
      </c>
      <c r="O158" s="131" t="s">
        <v>193</v>
      </c>
      <c r="P158" s="131" t="s">
        <v>193</v>
      </c>
      <c r="Q158" s="131" t="s">
        <v>193</v>
      </c>
      <c r="R158" s="131" t="s">
        <v>193</v>
      </c>
      <c r="S158" s="131" t="s">
        <v>193</v>
      </c>
      <c r="T158" s="131" t="s">
        <v>193</v>
      </c>
      <c r="U158" s="131">
        <f t="shared" si="44"/>
        <v>17.431249999999995</v>
      </c>
      <c r="V158" s="16">
        <v>141</v>
      </c>
    </row>
    <row r="159" spans="2:22" x14ac:dyDescent="0.25">
      <c r="B159" s="16">
        <v>142</v>
      </c>
      <c r="C159" s="130">
        <v>0</v>
      </c>
      <c r="D159" s="131" t="s">
        <v>193</v>
      </c>
      <c r="E159" s="131" t="s">
        <v>193</v>
      </c>
      <c r="F159" s="131" t="s">
        <v>193</v>
      </c>
      <c r="G159" s="131" t="s">
        <v>193</v>
      </c>
      <c r="H159" s="131" t="s">
        <v>193</v>
      </c>
      <c r="I159" s="131" t="s">
        <v>193</v>
      </c>
      <c r="J159" s="131" t="s">
        <v>193</v>
      </c>
      <c r="K159" s="131" t="s">
        <v>193</v>
      </c>
      <c r="L159" s="131" t="s">
        <v>193</v>
      </c>
      <c r="M159" s="131" t="s">
        <v>193</v>
      </c>
      <c r="N159" s="131" t="s">
        <v>193</v>
      </c>
      <c r="O159" s="131" t="s">
        <v>193</v>
      </c>
      <c r="P159" s="131" t="s">
        <v>193</v>
      </c>
      <c r="Q159" s="131" t="s">
        <v>193</v>
      </c>
      <c r="R159" s="131" t="s">
        <v>193</v>
      </c>
      <c r="S159" s="131" t="s">
        <v>193</v>
      </c>
      <c r="T159" s="131" t="s">
        <v>193</v>
      </c>
      <c r="U159" s="131">
        <f t="shared" si="44"/>
        <v>17.612499999999994</v>
      </c>
      <c r="V159" s="16">
        <v>142</v>
      </c>
    </row>
    <row r="160" spans="2:22" x14ac:dyDescent="0.25">
      <c r="B160" s="16">
        <v>143</v>
      </c>
      <c r="C160" s="130">
        <v>0</v>
      </c>
      <c r="D160" s="131" t="s">
        <v>193</v>
      </c>
      <c r="E160" s="131" t="s">
        <v>193</v>
      </c>
      <c r="F160" s="131" t="s">
        <v>193</v>
      </c>
      <c r="G160" s="131" t="s">
        <v>193</v>
      </c>
      <c r="H160" s="131" t="s">
        <v>193</v>
      </c>
      <c r="I160" s="131" t="s">
        <v>193</v>
      </c>
      <c r="J160" s="131" t="s">
        <v>193</v>
      </c>
      <c r="K160" s="131" t="s">
        <v>193</v>
      </c>
      <c r="L160" s="131" t="s">
        <v>193</v>
      </c>
      <c r="M160" s="131" t="s">
        <v>193</v>
      </c>
      <c r="N160" s="131" t="s">
        <v>193</v>
      </c>
      <c r="O160" s="131" t="s">
        <v>193</v>
      </c>
      <c r="P160" s="131" t="s">
        <v>193</v>
      </c>
      <c r="Q160" s="131" t="s">
        <v>193</v>
      </c>
      <c r="R160" s="131" t="s">
        <v>193</v>
      </c>
      <c r="S160" s="131" t="s">
        <v>193</v>
      </c>
      <c r="T160" s="131" t="s">
        <v>193</v>
      </c>
      <c r="U160" s="131">
        <f t="shared" si="44"/>
        <v>17.793749999999992</v>
      </c>
      <c r="V160" s="16">
        <v>143</v>
      </c>
    </row>
    <row r="161" spans="2:22" x14ac:dyDescent="0.25">
      <c r="B161" s="16">
        <v>144</v>
      </c>
      <c r="C161" s="130">
        <v>0</v>
      </c>
      <c r="D161" s="131" t="s">
        <v>193</v>
      </c>
      <c r="E161" s="131" t="s">
        <v>193</v>
      </c>
      <c r="F161" s="131" t="s">
        <v>193</v>
      </c>
      <c r="G161" s="131" t="s">
        <v>193</v>
      </c>
      <c r="H161" s="131" t="s">
        <v>193</v>
      </c>
      <c r="I161" s="131" t="s">
        <v>193</v>
      </c>
      <c r="J161" s="131" t="s">
        <v>193</v>
      </c>
      <c r="K161" s="131" t="s">
        <v>193</v>
      </c>
      <c r="L161" s="131" t="s">
        <v>193</v>
      </c>
      <c r="M161" s="131" t="s">
        <v>193</v>
      </c>
      <c r="N161" s="131" t="s">
        <v>193</v>
      </c>
      <c r="O161" s="131" t="s">
        <v>193</v>
      </c>
      <c r="P161" s="131" t="s">
        <v>193</v>
      </c>
      <c r="Q161" s="131" t="s">
        <v>193</v>
      </c>
      <c r="R161" s="131" t="s">
        <v>193</v>
      </c>
      <c r="S161" s="131" t="s">
        <v>193</v>
      </c>
      <c r="T161" s="131" t="s">
        <v>193</v>
      </c>
      <c r="U161" s="131">
        <f t="shared" si="44"/>
        <v>17.974999999999991</v>
      </c>
      <c r="V161" s="16">
        <v>144</v>
      </c>
    </row>
    <row r="162" spans="2:22" x14ac:dyDescent="0.25">
      <c r="B162" s="16">
        <v>145</v>
      </c>
      <c r="C162" s="130">
        <v>0</v>
      </c>
      <c r="D162" s="131" t="s">
        <v>193</v>
      </c>
      <c r="E162" s="131" t="s">
        <v>193</v>
      </c>
      <c r="F162" s="131" t="s">
        <v>193</v>
      </c>
      <c r="G162" s="131" t="s">
        <v>193</v>
      </c>
      <c r="H162" s="131" t="s">
        <v>193</v>
      </c>
      <c r="I162" s="131" t="s">
        <v>193</v>
      </c>
      <c r="J162" s="131" t="s">
        <v>193</v>
      </c>
      <c r="K162" s="131" t="s">
        <v>193</v>
      </c>
      <c r="L162" s="131" t="s">
        <v>193</v>
      </c>
      <c r="M162" s="131" t="s">
        <v>193</v>
      </c>
      <c r="N162" s="131" t="s">
        <v>193</v>
      </c>
      <c r="O162" s="131" t="s">
        <v>193</v>
      </c>
      <c r="P162" s="131" t="s">
        <v>193</v>
      </c>
      <c r="Q162" s="131" t="s">
        <v>193</v>
      </c>
      <c r="R162" s="131" t="s">
        <v>193</v>
      </c>
      <c r="S162" s="131" t="s">
        <v>193</v>
      </c>
      <c r="T162" s="131" t="s">
        <v>193</v>
      </c>
      <c r="U162" s="131">
        <f t="shared" si="44"/>
        <v>18.156249999999989</v>
      </c>
      <c r="V162" s="16">
        <v>145</v>
      </c>
    </row>
    <row r="163" spans="2:22" x14ac:dyDescent="0.25">
      <c r="B163" s="16">
        <v>146</v>
      </c>
      <c r="C163" s="130">
        <v>0</v>
      </c>
      <c r="D163" s="131" t="s">
        <v>193</v>
      </c>
      <c r="E163" s="131" t="s">
        <v>193</v>
      </c>
      <c r="F163" s="131" t="s">
        <v>193</v>
      </c>
      <c r="G163" s="131" t="s">
        <v>193</v>
      </c>
      <c r="H163" s="131" t="s">
        <v>193</v>
      </c>
      <c r="I163" s="131" t="s">
        <v>193</v>
      </c>
      <c r="J163" s="131" t="s">
        <v>193</v>
      </c>
      <c r="K163" s="131" t="s">
        <v>193</v>
      </c>
      <c r="L163" s="131" t="s">
        <v>193</v>
      </c>
      <c r="M163" s="131" t="s">
        <v>193</v>
      </c>
      <c r="N163" s="131" t="s">
        <v>193</v>
      </c>
      <c r="O163" s="131" t="s">
        <v>193</v>
      </c>
      <c r="P163" s="131" t="s">
        <v>193</v>
      </c>
      <c r="Q163" s="131" t="s">
        <v>193</v>
      </c>
      <c r="R163" s="131" t="s">
        <v>193</v>
      </c>
      <c r="S163" s="131" t="s">
        <v>193</v>
      </c>
      <c r="T163" s="131" t="s">
        <v>193</v>
      </c>
      <c r="U163" s="131">
        <f t="shared" si="44"/>
        <v>18.337499999999988</v>
      </c>
      <c r="V163" s="16">
        <v>146</v>
      </c>
    </row>
    <row r="164" spans="2:22" x14ac:dyDescent="0.25">
      <c r="B164" s="16">
        <v>147</v>
      </c>
      <c r="C164" s="130">
        <v>0</v>
      </c>
      <c r="D164" s="131" t="s">
        <v>193</v>
      </c>
      <c r="E164" s="131" t="s">
        <v>193</v>
      </c>
      <c r="F164" s="131" t="s">
        <v>193</v>
      </c>
      <c r="G164" s="131" t="s">
        <v>193</v>
      </c>
      <c r="H164" s="131" t="s">
        <v>193</v>
      </c>
      <c r="I164" s="131" t="s">
        <v>193</v>
      </c>
      <c r="J164" s="131" t="s">
        <v>193</v>
      </c>
      <c r="K164" s="131" t="s">
        <v>193</v>
      </c>
      <c r="L164" s="131" t="s">
        <v>193</v>
      </c>
      <c r="M164" s="131" t="s">
        <v>193</v>
      </c>
      <c r="N164" s="131" t="s">
        <v>193</v>
      </c>
      <c r="O164" s="131" t="s">
        <v>193</v>
      </c>
      <c r="P164" s="131" t="s">
        <v>193</v>
      </c>
      <c r="Q164" s="131" t="s">
        <v>193</v>
      </c>
      <c r="R164" s="131" t="s">
        <v>193</v>
      </c>
      <c r="S164" s="131" t="s">
        <v>193</v>
      </c>
      <c r="T164" s="131" t="s">
        <v>193</v>
      </c>
      <c r="U164" s="131">
        <f t="shared" si="44"/>
        <v>18.518749999999986</v>
      </c>
      <c r="V164" s="16">
        <v>147</v>
      </c>
    </row>
    <row r="165" spans="2:22" x14ac:dyDescent="0.25">
      <c r="B165" s="16">
        <v>148</v>
      </c>
      <c r="C165" s="130">
        <v>0</v>
      </c>
      <c r="D165" s="131" t="s">
        <v>193</v>
      </c>
      <c r="E165" s="131" t="s">
        <v>193</v>
      </c>
      <c r="F165" s="131" t="s">
        <v>193</v>
      </c>
      <c r="G165" s="131" t="s">
        <v>193</v>
      </c>
      <c r="H165" s="131" t="s">
        <v>193</v>
      </c>
      <c r="I165" s="131" t="s">
        <v>193</v>
      </c>
      <c r="J165" s="131" t="s">
        <v>193</v>
      </c>
      <c r="K165" s="131" t="s">
        <v>193</v>
      </c>
      <c r="L165" s="131" t="s">
        <v>193</v>
      </c>
      <c r="M165" s="131" t="s">
        <v>193</v>
      </c>
      <c r="N165" s="131" t="s">
        <v>193</v>
      </c>
      <c r="O165" s="131" t="s">
        <v>193</v>
      </c>
      <c r="P165" s="131" t="s">
        <v>193</v>
      </c>
      <c r="Q165" s="131" t="s">
        <v>193</v>
      </c>
      <c r="R165" s="131" t="s">
        <v>193</v>
      </c>
      <c r="S165" s="131" t="s">
        <v>193</v>
      </c>
      <c r="T165" s="131" t="s">
        <v>193</v>
      </c>
      <c r="U165" s="131">
        <f t="shared" si="44"/>
        <v>18.699999999999985</v>
      </c>
      <c r="V165" s="16">
        <v>148</v>
      </c>
    </row>
    <row r="166" spans="2:22" x14ac:dyDescent="0.25">
      <c r="B166" s="16">
        <v>149</v>
      </c>
      <c r="C166" s="130">
        <v>0</v>
      </c>
      <c r="D166" s="131" t="s">
        <v>193</v>
      </c>
      <c r="E166" s="131" t="s">
        <v>193</v>
      </c>
      <c r="F166" s="131" t="s">
        <v>193</v>
      </c>
      <c r="G166" s="131" t="s">
        <v>193</v>
      </c>
      <c r="H166" s="131" t="s">
        <v>193</v>
      </c>
      <c r="I166" s="131" t="s">
        <v>193</v>
      </c>
      <c r="J166" s="131" t="s">
        <v>193</v>
      </c>
      <c r="K166" s="131" t="s">
        <v>193</v>
      </c>
      <c r="L166" s="131" t="s">
        <v>193</v>
      </c>
      <c r="M166" s="131" t="s">
        <v>193</v>
      </c>
      <c r="N166" s="131" t="s">
        <v>193</v>
      </c>
      <c r="O166" s="131" t="s">
        <v>193</v>
      </c>
      <c r="P166" s="131" t="s">
        <v>193</v>
      </c>
      <c r="Q166" s="131" t="s">
        <v>193</v>
      </c>
      <c r="R166" s="131" t="s">
        <v>193</v>
      </c>
      <c r="S166" s="131" t="s">
        <v>193</v>
      </c>
      <c r="T166" s="131" t="s">
        <v>193</v>
      </c>
      <c r="U166" s="131">
        <f t="shared" si="44"/>
        <v>18.881249999999984</v>
      </c>
      <c r="V166" s="16">
        <v>149</v>
      </c>
    </row>
    <row r="167" spans="2:22" ht="13" x14ac:dyDescent="0.3">
      <c r="B167" s="16">
        <v>150</v>
      </c>
      <c r="C167" s="130">
        <v>0</v>
      </c>
      <c r="D167" s="131" t="s">
        <v>193</v>
      </c>
      <c r="E167" s="131" t="s">
        <v>193</v>
      </c>
      <c r="F167" s="131" t="s">
        <v>193</v>
      </c>
      <c r="G167" s="131" t="s">
        <v>193</v>
      </c>
      <c r="H167" s="131" t="s">
        <v>193</v>
      </c>
      <c r="I167" s="131" t="s">
        <v>193</v>
      </c>
      <c r="J167" s="131" t="s">
        <v>193</v>
      </c>
      <c r="K167" s="131" t="s">
        <v>193</v>
      </c>
      <c r="L167" s="131" t="s">
        <v>193</v>
      </c>
      <c r="M167" s="131" t="s">
        <v>193</v>
      </c>
      <c r="N167" s="131" t="s">
        <v>193</v>
      </c>
      <c r="O167" s="131" t="s">
        <v>193</v>
      </c>
      <c r="P167" s="131" t="s">
        <v>193</v>
      </c>
      <c r="Q167" s="131" t="s">
        <v>193</v>
      </c>
      <c r="R167" s="131" t="s">
        <v>193</v>
      </c>
      <c r="S167" s="131" t="s">
        <v>193</v>
      </c>
      <c r="T167" s="131" t="s">
        <v>193</v>
      </c>
      <c r="U167" s="132">
        <f t="shared" si="44"/>
        <v>19.062499999999982</v>
      </c>
      <c r="V167" s="16">
        <v>150</v>
      </c>
    </row>
    <row r="168" spans="2:22" x14ac:dyDescent="0.25">
      <c r="B168" s="16">
        <v>151</v>
      </c>
      <c r="C168" s="130">
        <v>0</v>
      </c>
      <c r="D168" s="131" t="s">
        <v>193</v>
      </c>
      <c r="E168" s="131" t="s">
        <v>193</v>
      </c>
      <c r="F168" s="131" t="s">
        <v>193</v>
      </c>
      <c r="G168" s="131" t="s">
        <v>193</v>
      </c>
      <c r="H168" s="131" t="s">
        <v>193</v>
      </c>
      <c r="I168" s="131" t="s">
        <v>193</v>
      </c>
      <c r="J168" s="131" t="s">
        <v>193</v>
      </c>
      <c r="K168" s="131" t="s">
        <v>193</v>
      </c>
      <c r="L168" s="131" t="s">
        <v>193</v>
      </c>
      <c r="M168" s="131" t="s">
        <v>193</v>
      </c>
      <c r="N168" s="131" t="s">
        <v>193</v>
      </c>
      <c r="O168" s="131" t="s">
        <v>193</v>
      </c>
      <c r="P168" s="131" t="s">
        <v>193</v>
      </c>
      <c r="Q168" s="131" t="s">
        <v>193</v>
      </c>
      <c r="R168" s="131" t="s">
        <v>193</v>
      </c>
      <c r="S168" s="131" t="s">
        <v>193</v>
      </c>
      <c r="T168" s="131" t="s">
        <v>193</v>
      </c>
      <c r="U168" s="131">
        <f t="shared" si="44"/>
        <v>19.243749999999981</v>
      </c>
      <c r="V168" s="16">
        <v>151</v>
      </c>
    </row>
    <row r="169" spans="2:22" x14ac:dyDescent="0.25">
      <c r="B169" s="16">
        <v>152</v>
      </c>
      <c r="C169" s="130">
        <v>0</v>
      </c>
      <c r="D169" s="131" t="s">
        <v>193</v>
      </c>
      <c r="E169" s="131" t="s">
        <v>193</v>
      </c>
      <c r="F169" s="131" t="s">
        <v>193</v>
      </c>
      <c r="G169" s="131" t="s">
        <v>193</v>
      </c>
      <c r="H169" s="131" t="s">
        <v>193</v>
      </c>
      <c r="I169" s="131" t="s">
        <v>193</v>
      </c>
      <c r="J169" s="131" t="s">
        <v>193</v>
      </c>
      <c r="K169" s="131" t="s">
        <v>193</v>
      </c>
      <c r="L169" s="131" t="s">
        <v>193</v>
      </c>
      <c r="M169" s="131" t="s">
        <v>193</v>
      </c>
      <c r="N169" s="131" t="s">
        <v>193</v>
      </c>
      <c r="O169" s="131" t="s">
        <v>193</v>
      </c>
      <c r="P169" s="131" t="s">
        <v>193</v>
      </c>
      <c r="Q169" s="131" t="s">
        <v>193</v>
      </c>
      <c r="R169" s="131" t="s">
        <v>193</v>
      </c>
      <c r="S169" s="131" t="s">
        <v>193</v>
      </c>
      <c r="T169" s="131" t="s">
        <v>193</v>
      </c>
      <c r="U169" s="131">
        <f t="shared" si="44"/>
        <v>19.424999999999979</v>
      </c>
      <c r="V169" s="16">
        <v>152</v>
      </c>
    </row>
    <row r="170" spans="2:22" x14ac:dyDescent="0.25">
      <c r="B170" s="16">
        <v>153</v>
      </c>
      <c r="C170" s="130">
        <v>0</v>
      </c>
      <c r="D170" s="131" t="s">
        <v>193</v>
      </c>
      <c r="E170" s="131" t="s">
        <v>193</v>
      </c>
      <c r="F170" s="131" t="s">
        <v>193</v>
      </c>
      <c r="G170" s="131" t="s">
        <v>193</v>
      </c>
      <c r="H170" s="131" t="s">
        <v>193</v>
      </c>
      <c r="I170" s="131" t="s">
        <v>193</v>
      </c>
      <c r="J170" s="131" t="s">
        <v>193</v>
      </c>
      <c r="K170" s="131" t="s">
        <v>193</v>
      </c>
      <c r="L170" s="131" t="s">
        <v>193</v>
      </c>
      <c r="M170" s="131" t="s">
        <v>193</v>
      </c>
      <c r="N170" s="131" t="s">
        <v>193</v>
      </c>
      <c r="O170" s="131" t="s">
        <v>193</v>
      </c>
      <c r="P170" s="131" t="s">
        <v>193</v>
      </c>
      <c r="Q170" s="131" t="s">
        <v>193</v>
      </c>
      <c r="R170" s="131" t="s">
        <v>193</v>
      </c>
      <c r="S170" s="131" t="s">
        <v>193</v>
      </c>
      <c r="T170" s="131" t="s">
        <v>193</v>
      </c>
      <c r="U170" s="131">
        <f t="shared" si="44"/>
        <v>19.606249999999978</v>
      </c>
      <c r="V170" s="16">
        <v>153</v>
      </c>
    </row>
    <row r="171" spans="2:22" x14ac:dyDescent="0.25">
      <c r="B171" s="16">
        <v>154</v>
      </c>
      <c r="C171" s="130">
        <v>0</v>
      </c>
      <c r="D171" s="131" t="s">
        <v>193</v>
      </c>
      <c r="E171" s="131" t="s">
        <v>193</v>
      </c>
      <c r="F171" s="131" t="s">
        <v>193</v>
      </c>
      <c r="G171" s="131" t="s">
        <v>193</v>
      </c>
      <c r="H171" s="131" t="s">
        <v>193</v>
      </c>
      <c r="I171" s="131" t="s">
        <v>193</v>
      </c>
      <c r="J171" s="131" t="s">
        <v>193</v>
      </c>
      <c r="K171" s="131" t="s">
        <v>193</v>
      </c>
      <c r="L171" s="131" t="s">
        <v>193</v>
      </c>
      <c r="M171" s="131" t="s">
        <v>193</v>
      </c>
      <c r="N171" s="131" t="s">
        <v>193</v>
      </c>
      <c r="O171" s="131" t="s">
        <v>193</v>
      </c>
      <c r="P171" s="131" t="s">
        <v>193</v>
      </c>
      <c r="Q171" s="131" t="s">
        <v>193</v>
      </c>
      <c r="R171" s="131" t="s">
        <v>193</v>
      </c>
      <c r="S171" s="131" t="s">
        <v>193</v>
      </c>
      <c r="T171" s="131" t="s">
        <v>193</v>
      </c>
      <c r="U171" s="131">
        <f t="shared" si="44"/>
        <v>19.787499999999977</v>
      </c>
      <c r="V171" s="16">
        <v>154</v>
      </c>
    </row>
    <row r="172" spans="2:22" x14ac:dyDescent="0.25">
      <c r="B172" s="16">
        <v>155</v>
      </c>
      <c r="C172" s="130">
        <v>0</v>
      </c>
      <c r="D172" s="131" t="s">
        <v>193</v>
      </c>
      <c r="E172" s="131" t="s">
        <v>193</v>
      </c>
      <c r="F172" s="131" t="s">
        <v>193</v>
      </c>
      <c r="G172" s="131" t="s">
        <v>193</v>
      </c>
      <c r="H172" s="131" t="s">
        <v>193</v>
      </c>
      <c r="I172" s="131" t="s">
        <v>193</v>
      </c>
      <c r="J172" s="131" t="s">
        <v>193</v>
      </c>
      <c r="K172" s="131" t="s">
        <v>193</v>
      </c>
      <c r="L172" s="131" t="s">
        <v>193</v>
      </c>
      <c r="M172" s="131" t="s">
        <v>193</v>
      </c>
      <c r="N172" s="131" t="s">
        <v>193</v>
      </c>
      <c r="O172" s="131" t="s">
        <v>193</v>
      </c>
      <c r="P172" s="131" t="s">
        <v>193</v>
      </c>
      <c r="Q172" s="131" t="s">
        <v>193</v>
      </c>
      <c r="R172" s="131" t="s">
        <v>193</v>
      </c>
      <c r="S172" s="131" t="s">
        <v>193</v>
      </c>
      <c r="T172" s="131" t="s">
        <v>193</v>
      </c>
      <c r="U172" s="131">
        <f t="shared" si="44"/>
        <v>19.968749999999975</v>
      </c>
      <c r="V172" s="16">
        <v>155</v>
      </c>
    </row>
    <row r="173" spans="2:22" x14ac:dyDescent="0.25">
      <c r="B173" s="16">
        <v>156</v>
      </c>
      <c r="C173" s="130">
        <v>0</v>
      </c>
      <c r="D173" s="131" t="s">
        <v>193</v>
      </c>
      <c r="E173" s="131" t="s">
        <v>193</v>
      </c>
      <c r="F173" s="131" t="s">
        <v>193</v>
      </c>
      <c r="G173" s="131" t="s">
        <v>193</v>
      </c>
      <c r="H173" s="131" t="s">
        <v>193</v>
      </c>
      <c r="I173" s="131" t="s">
        <v>193</v>
      </c>
      <c r="J173" s="131" t="s">
        <v>193</v>
      </c>
      <c r="K173" s="131" t="s">
        <v>193</v>
      </c>
      <c r="L173" s="131" t="s">
        <v>193</v>
      </c>
      <c r="M173" s="131" t="s">
        <v>193</v>
      </c>
      <c r="N173" s="131" t="s">
        <v>193</v>
      </c>
      <c r="O173" s="131" t="s">
        <v>193</v>
      </c>
      <c r="P173" s="131" t="s">
        <v>193</v>
      </c>
      <c r="Q173" s="131" t="s">
        <v>193</v>
      </c>
      <c r="R173" s="131" t="s">
        <v>193</v>
      </c>
      <c r="S173" s="131" t="s">
        <v>193</v>
      </c>
      <c r="T173" s="131" t="s">
        <v>193</v>
      </c>
      <c r="U173" s="131">
        <f t="shared" si="44"/>
        <v>20.149999999999974</v>
      </c>
      <c r="V173" s="16">
        <v>156</v>
      </c>
    </row>
    <row r="174" spans="2:22" x14ac:dyDescent="0.25">
      <c r="B174" s="16">
        <v>157</v>
      </c>
      <c r="C174" s="130">
        <v>0</v>
      </c>
      <c r="D174" s="131" t="s">
        <v>193</v>
      </c>
      <c r="E174" s="131" t="s">
        <v>193</v>
      </c>
      <c r="F174" s="131" t="s">
        <v>193</v>
      </c>
      <c r="G174" s="131" t="s">
        <v>193</v>
      </c>
      <c r="H174" s="131" t="s">
        <v>193</v>
      </c>
      <c r="I174" s="131" t="s">
        <v>193</v>
      </c>
      <c r="J174" s="131" t="s">
        <v>193</v>
      </c>
      <c r="K174" s="131" t="s">
        <v>193</v>
      </c>
      <c r="L174" s="131" t="s">
        <v>193</v>
      </c>
      <c r="M174" s="131" t="s">
        <v>193</v>
      </c>
      <c r="N174" s="131" t="s">
        <v>193</v>
      </c>
      <c r="O174" s="131" t="s">
        <v>193</v>
      </c>
      <c r="P174" s="131" t="s">
        <v>193</v>
      </c>
      <c r="Q174" s="131" t="s">
        <v>193</v>
      </c>
      <c r="R174" s="131" t="s">
        <v>193</v>
      </c>
      <c r="S174" s="131" t="s">
        <v>193</v>
      </c>
      <c r="T174" s="131" t="s">
        <v>193</v>
      </c>
      <c r="U174" s="131">
        <f t="shared" si="44"/>
        <v>20.331249999999972</v>
      </c>
      <c r="V174" s="16">
        <v>157</v>
      </c>
    </row>
    <row r="175" spans="2:22" x14ac:dyDescent="0.25">
      <c r="B175" s="16">
        <v>158</v>
      </c>
      <c r="C175" s="130">
        <v>0</v>
      </c>
      <c r="D175" s="131" t="s">
        <v>193</v>
      </c>
      <c r="E175" s="131" t="s">
        <v>193</v>
      </c>
      <c r="F175" s="131" t="s">
        <v>193</v>
      </c>
      <c r="G175" s="131" t="s">
        <v>193</v>
      </c>
      <c r="H175" s="131" t="s">
        <v>193</v>
      </c>
      <c r="I175" s="131" t="s">
        <v>193</v>
      </c>
      <c r="J175" s="131" t="s">
        <v>193</v>
      </c>
      <c r="K175" s="131" t="s">
        <v>193</v>
      </c>
      <c r="L175" s="131" t="s">
        <v>193</v>
      </c>
      <c r="M175" s="131" t="s">
        <v>193</v>
      </c>
      <c r="N175" s="131" t="s">
        <v>193</v>
      </c>
      <c r="O175" s="131" t="s">
        <v>193</v>
      </c>
      <c r="P175" s="131" t="s">
        <v>193</v>
      </c>
      <c r="Q175" s="131" t="s">
        <v>193</v>
      </c>
      <c r="R175" s="131" t="s">
        <v>193</v>
      </c>
      <c r="S175" s="131" t="s">
        <v>193</v>
      </c>
      <c r="T175" s="131" t="s">
        <v>193</v>
      </c>
      <c r="U175" s="131">
        <f t="shared" si="44"/>
        <v>20.512499999999971</v>
      </c>
      <c r="V175" s="16">
        <v>158</v>
      </c>
    </row>
    <row r="176" spans="2:22" x14ac:dyDescent="0.25">
      <c r="B176" s="16">
        <v>159</v>
      </c>
      <c r="C176" s="130">
        <v>0</v>
      </c>
      <c r="D176" s="131" t="s">
        <v>193</v>
      </c>
      <c r="E176" s="131" t="s">
        <v>193</v>
      </c>
      <c r="F176" s="131" t="s">
        <v>193</v>
      </c>
      <c r="G176" s="131" t="s">
        <v>193</v>
      </c>
      <c r="H176" s="131" t="s">
        <v>193</v>
      </c>
      <c r="I176" s="131" t="s">
        <v>193</v>
      </c>
      <c r="J176" s="131" t="s">
        <v>193</v>
      </c>
      <c r="K176" s="131" t="s">
        <v>193</v>
      </c>
      <c r="L176" s="131" t="s">
        <v>193</v>
      </c>
      <c r="M176" s="131" t="s">
        <v>193</v>
      </c>
      <c r="N176" s="131" t="s">
        <v>193</v>
      </c>
      <c r="O176" s="131" t="s">
        <v>193</v>
      </c>
      <c r="P176" s="131" t="s">
        <v>193</v>
      </c>
      <c r="Q176" s="131" t="s">
        <v>193</v>
      </c>
      <c r="R176" s="131" t="s">
        <v>193</v>
      </c>
      <c r="S176" s="131" t="s">
        <v>193</v>
      </c>
      <c r="T176" s="131" t="s">
        <v>193</v>
      </c>
      <c r="U176" s="131">
        <f t="shared" si="44"/>
        <v>20.693749999999969</v>
      </c>
      <c r="V176" s="16">
        <v>159</v>
      </c>
    </row>
    <row r="177" spans="2:22" ht="13" x14ac:dyDescent="0.3">
      <c r="B177" s="16">
        <v>160</v>
      </c>
      <c r="C177" s="130">
        <v>0</v>
      </c>
      <c r="D177" s="131" t="s">
        <v>193</v>
      </c>
      <c r="E177" s="131" t="s">
        <v>193</v>
      </c>
      <c r="F177" s="131" t="s">
        <v>193</v>
      </c>
      <c r="G177" s="131" t="s">
        <v>193</v>
      </c>
      <c r="H177" s="131" t="s">
        <v>193</v>
      </c>
      <c r="I177" s="131" t="s">
        <v>193</v>
      </c>
      <c r="J177" s="131" t="s">
        <v>193</v>
      </c>
      <c r="K177" s="131" t="s">
        <v>193</v>
      </c>
      <c r="L177" s="131" t="s">
        <v>193</v>
      </c>
      <c r="M177" s="131" t="s">
        <v>193</v>
      </c>
      <c r="N177" s="131" t="s">
        <v>193</v>
      </c>
      <c r="O177" s="131" t="s">
        <v>193</v>
      </c>
      <c r="P177" s="131" t="s">
        <v>193</v>
      </c>
      <c r="Q177" s="131" t="s">
        <v>193</v>
      </c>
      <c r="R177" s="131" t="s">
        <v>193</v>
      </c>
      <c r="S177" s="131" t="s">
        <v>193</v>
      </c>
      <c r="T177" s="131" t="s">
        <v>193</v>
      </c>
      <c r="U177" s="132">
        <f t="shared" si="44"/>
        <v>20.874999999999968</v>
      </c>
      <c r="V177" s="16">
        <v>160</v>
      </c>
    </row>
    <row r="178" spans="2:22" x14ac:dyDescent="0.25">
      <c r="B178" s="16">
        <v>161</v>
      </c>
      <c r="C178" s="130">
        <v>0</v>
      </c>
      <c r="D178" s="131" t="s">
        <v>193</v>
      </c>
      <c r="E178" s="131" t="s">
        <v>193</v>
      </c>
      <c r="F178" s="131" t="s">
        <v>193</v>
      </c>
      <c r="G178" s="131" t="s">
        <v>193</v>
      </c>
      <c r="H178" s="131" t="s">
        <v>193</v>
      </c>
      <c r="I178" s="131" t="s">
        <v>193</v>
      </c>
      <c r="J178" s="131" t="s">
        <v>193</v>
      </c>
      <c r="K178" s="131" t="s">
        <v>193</v>
      </c>
      <c r="L178" s="131" t="s">
        <v>193</v>
      </c>
      <c r="M178" s="131" t="s">
        <v>193</v>
      </c>
      <c r="N178" s="131" t="s">
        <v>193</v>
      </c>
      <c r="O178" s="131" t="s">
        <v>193</v>
      </c>
      <c r="P178" s="131" t="s">
        <v>193</v>
      </c>
      <c r="Q178" s="131" t="s">
        <v>193</v>
      </c>
      <c r="R178" s="131" t="s">
        <v>193</v>
      </c>
      <c r="S178" s="131" t="s">
        <v>193</v>
      </c>
      <c r="T178" s="131" t="s">
        <v>193</v>
      </c>
      <c r="U178" s="131">
        <f t="shared" si="44"/>
        <v>21.056249999999967</v>
      </c>
      <c r="V178" s="16">
        <v>161</v>
      </c>
    </row>
    <row r="179" spans="2:22" x14ac:dyDescent="0.25">
      <c r="B179" s="16">
        <v>162</v>
      </c>
      <c r="C179" s="130">
        <v>0</v>
      </c>
      <c r="D179" s="131" t="s">
        <v>193</v>
      </c>
      <c r="E179" s="131" t="s">
        <v>193</v>
      </c>
      <c r="F179" s="131" t="s">
        <v>193</v>
      </c>
      <c r="G179" s="131" t="s">
        <v>193</v>
      </c>
      <c r="H179" s="131" t="s">
        <v>193</v>
      </c>
      <c r="I179" s="131" t="s">
        <v>193</v>
      </c>
      <c r="J179" s="131" t="s">
        <v>193</v>
      </c>
      <c r="K179" s="131" t="s">
        <v>193</v>
      </c>
      <c r="L179" s="131" t="s">
        <v>193</v>
      </c>
      <c r="M179" s="131" t="s">
        <v>193</v>
      </c>
      <c r="N179" s="131" t="s">
        <v>193</v>
      </c>
      <c r="O179" s="131" t="s">
        <v>193</v>
      </c>
      <c r="P179" s="131" t="s">
        <v>193</v>
      </c>
      <c r="Q179" s="131" t="s">
        <v>193</v>
      </c>
      <c r="R179" s="131" t="s">
        <v>193</v>
      </c>
      <c r="S179" s="131" t="s">
        <v>193</v>
      </c>
      <c r="T179" s="131" t="s">
        <v>193</v>
      </c>
      <c r="U179" s="131">
        <f t="shared" si="44"/>
        <v>21.237499999999965</v>
      </c>
      <c r="V179" s="16">
        <v>162</v>
      </c>
    </row>
    <row r="180" spans="2:22" x14ac:dyDescent="0.25">
      <c r="B180" s="16">
        <v>163</v>
      </c>
      <c r="C180" s="130">
        <v>0</v>
      </c>
      <c r="D180" s="131" t="s">
        <v>193</v>
      </c>
      <c r="E180" s="131" t="s">
        <v>193</v>
      </c>
      <c r="F180" s="131" t="s">
        <v>193</v>
      </c>
      <c r="G180" s="131" t="s">
        <v>193</v>
      </c>
      <c r="H180" s="131" t="s">
        <v>193</v>
      </c>
      <c r="I180" s="131" t="s">
        <v>193</v>
      </c>
      <c r="J180" s="131" t="s">
        <v>193</v>
      </c>
      <c r="K180" s="131" t="s">
        <v>193</v>
      </c>
      <c r="L180" s="131" t="s">
        <v>193</v>
      </c>
      <c r="M180" s="131" t="s">
        <v>193</v>
      </c>
      <c r="N180" s="131" t="s">
        <v>193</v>
      </c>
      <c r="O180" s="131" t="s">
        <v>193</v>
      </c>
      <c r="P180" s="131" t="s">
        <v>193</v>
      </c>
      <c r="Q180" s="131" t="s">
        <v>193</v>
      </c>
      <c r="R180" s="131" t="s">
        <v>193</v>
      </c>
      <c r="S180" s="131" t="s">
        <v>193</v>
      </c>
      <c r="T180" s="131" t="s">
        <v>193</v>
      </c>
      <c r="U180" s="131">
        <f t="shared" si="44"/>
        <v>21.418749999999964</v>
      </c>
      <c r="V180" s="16">
        <v>163</v>
      </c>
    </row>
    <row r="181" spans="2:22" x14ac:dyDescent="0.25">
      <c r="B181" s="16">
        <v>164</v>
      </c>
      <c r="C181" s="130">
        <v>0</v>
      </c>
      <c r="D181" s="131" t="s">
        <v>193</v>
      </c>
      <c r="E181" s="131" t="s">
        <v>193</v>
      </c>
      <c r="F181" s="131" t="s">
        <v>193</v>
      </c>
      <c r="G181" s="131" t="s">
        <v>193</v>
      </c>
      <c r="H181" s="131" t="s">
        <v>193</v>
      </c>
      <c r="I181" s="131" t="s">
        <v>193</v>
      </c>
      <c r="J181" s="131" t="s">
        <v>193</v>
      </c>
      <c r="K181" s="131" t="s">
        <v>193</v>
      </c>
      <c r="L181" s="131" t="s">
        <v>193</v>
      </c>
      <c r="M181" s="131" t="s">
        <v>193</v>
      </c>
      <c r="N181" s="131" t="s">
        <v>193</v>
      </c>
      <c r="O181" s="131" t="s">
        <v>193</v>
      </c>
      <c r="P181" s="131" t="s">
        <v>193</v>
      </c>
      <c r="Q181" s="131" t="s">
        <v>193</v>
      </c>
      <c r="R181" s="131" t="s">
        <v>193</v>
      </c>
      <c r="S181" s="131" t="s">
        <v>193</v>
      </c>
      <c r="T181" s="131" t="s">
        <v>193</v>
      </c>
      <c r="U181" s="131">
        <f t="shared" si="44"/>
        <v>21.599999999999962</v>
      </c>
      <c r="V181" s="16">
        <v>164</v>
      </c>
    </row>
    <row r="182" spans="2:22" x14ac:dyDescent="0.25">
      <c r="B182" s="16">
        <v>165</v>
      </c>
      <c r="C182" s="130">
        <v>0</v>
      </c>
      <c r="D182" s="131" t="s">
        <v>193</v>
      </c>
      <c r="E182" s="131" t="s">
        <v>193</v>
      </c>
      <c r="F182" s="131" t="s">
        <v>193</v>
      </c>
      <c r="G182" s="131" t="s">
        <v>193</v>
      </c>
      <c r="H182" s="131" t="s">
        <v>193</v>
      </c>
      <c r="I182" s="131" t="s">
        <v>193</v>
      </c>
      <c r="J182" s="131" t="s">
        <v>193</v>
      </c>
      <c r="K182" s="131" t="s">
        <v>193</v>
      </c>
      <c r="L182" s="131" t="s">
        <v>193</v>
      </c>
      <c r="M182" s="131" t="s">
        <v>193</v>
      </c>
      <c r="N182" s="131" t="s">
        <v>193</v>
      </c>
      <c r="O182" s="131" t="s">
        <v>193</v>
      </c>
      <c r="P182" s="131" t="s">
        <v>193</v>
      </c>
      <c r="Q182" s="131" t="s">
        <v>193</v>
      </c>
      <c r="R182" s="131" t="s">
        <v>193</v>
      </c>
      <c r="S182" s="131" t="s">
        <v>193</v>
      </c>
      <c r="T182" s="131" t="s">
        <v>193</v>
      </c>
      <c r="U182" s="131">
        <f t="shared" si="44"/>
        <v>21.781249999999961</v>
      </c>
      <c r="V182" s="16">
        <v>165</v>
      </c>
    </row>
    <row r="183" spans="2:22" x14ac:dyDescent="0.25">
      <c r="B183" s="16">
        <v>166</v>
      </c>
      <c r="C183" s="130">
        <v>0</v>
      </c>
      <c r="D183" s="131" t="s">
        <v>193</v>
      </c>
      <c r="E183" s="131" t="s">
        <v>193</v>
      </c>
      <c r="F183" s="131" t="s">
        <v>193</v>
      </c>
      <c r="G183" s="131" t="s">
        <v>193</v>
      </c>
      <c r="H183" s="131" t="s">
        <v>193</v>
      </c>
      <c r="I183" s="131" t="s">
        <v>193</v>
      </c>
      <c r="J183" s="131" t="s">
        <v>193</v>
      </c>
      <c r="K183" s="131" t="s">
        <v>193</v>
      </c>
      <c r="L183" s="131" t="s">
        <v>193</v>
      </c>
      <c r="M183" s="131" t="s">
        <v>193</v>
      </c>
      <c r="N183" s="131" t="s">
        <v>193</v>
      </c>
      <c r="O183" s="131" t="s">
        <v>193</v>
      </c>
      <c r="P183" s="131" t="s">
        <v>193</v>
      </c>
      <c r="Q183" s="131" t="s">
        <v>193</v>
      </c>
      <c r="R183" s="131" t="s">
        <v>193</v>
      </c>
      <c r="S183" s="131" t="s">
        <v>193</v>
      </c>
      <c r="T183" s="131" t="s">
        <v>193</v>
      </c>
      <c r="U183" s="131">
        <f t="shared" ref="U183:U197" si="45">U182+0.18125</f>
        <v>21.962499999999959</v>
      </c>
      <c r="V183" s="16">
        <v>166</v>
      </c>
    </row>
    <row r="184" spans="2:22" x14ac:dyDescent="0.25">
      <c r="B184" s="16">
        <v>167</v>
      </c>
      <c r="C184" s="130">
        <v>0</v>
      </c>
      <c r="D184" s="131" t="s">
        <v>193</v>
      </c>
      <c r="E184" s="131" t="s">
        <v>193</v>
      </c>
      <c r="F184" s="131" t="s">
        <v>193</v>
      </c>
      <c r="G184" s="131" t="s">
        <v>193</v>
      </c>
      <c r="H184" s="131" t="s">
        <v>193</v>
      </c>
      <c r="I184" s="131" t="s">
        <v>193</v>
      </c>
      <c r="J184" s="131" t="s">
        <v>193</v>
      </c>
      <c r="K184" s="131" t="s">
        <v>193</v>
      </c>
      <c r="L184" s="131" t="s">
        <v>193</v>
      </c>
      <c r="M184" s="131" t="s">
        <v>193</v>
      </c>
      <c r="N184" s="131" t="s">
        <v>193</v>
      </c>
      <c r="O184" s="131" t="s">
        <v>193</v>
      </c>
      <c r="P184" s="131" t="s">
        <v>193</v>
      </c>
      <c r="Q184" s="131" t="s">
        <v>193</v>
      </c>
      <c r="R184" s="131" t="s">
        <v>193</v>
      </c>
      <c r="S184" s="131" t="s">
        <v>193</v>
      </c>
      <c r="T184" s="131" t="s">
        <v>193</v>
      </c>
      <c r="U184" s="131">
        <f t="shared" si="45"/>
        <v>22.143749999999958</v>
      </c>
      <c r="V184" s="16">
        <v>167</v>
      </c>
    </row>
    <row r="185" spans="2:22" x14ac:dyDescent="0.25">
      <c r="B185" s="16">
        <v>168</v>
      </c>
      <c r="C185" s="130">
        <v>0</v>
      </c>
      <c r="D185" s="131" t="s">
        <v>193</v>
      </c>
      <c r="E185" s="131" t="s">
        <v>193</v>
      </c>
      <c r="F185" s="131" t="s">
        <v>193</v>
      </c>
      <c r="G185" s="131" t="s">
        <v>193</v>
      </c>
      <c r="H185" s="131" t="s">
        <v>193</v>
      </c>
      <c r="I185" s="131" t="s">
        <v>193</v>
      </c>
      <c r="J185" s="131" t="s">
        <v>193</v>
      </c>
      <c r="K185" s="131" t="s">
        <v>193</v>
      </c>
      <c r="L185" s="131" t="s">
        <v>193</v>
      </c>
      <c r="M185" s="131" t="s">
        <v>193</v>
      </c>
      <c r="N185" s="131" t="s">
        <v>193</v>
      </c>
      <c r="O185" s="131" t="s">
        <v>193</v>
      </c>
      <c r="P185" s="131" t="s">
        <v>193</v>
      </c>
      <c r="Q185" s="131" t="s">
        <v>193</v>
      </c>
      <c r="R185" s="131" t="s">
        <v>193</v>
      </c>
      <c r="S185" s="131" t="s">
        <v>193</v>
      </c>
      <c r="T185" s="131" t="s">
        <v>193</v>
      </c>
      <c r="U185" s="131">
        <f t="shared" si="45"/>
        <v>22.324999999999957</v>
      </c>
      <c r="V185" s="16">
        <v>168</v>
      </c>
    </row>
    <row r="186" spans="2:22" x14ac:dyDescent="0.25">
      <c r="B186" s="16">
        <v>169</v>
      </c>
      <c r="C186" s="130">
        <v>0</v>
      </c>
      <c r="D186" s="131" t="s">
        <v>193</v>
      </c>
      <c r="E186" s="131" t="s">
        <v>193</v>
      </c>
      <c r="F186" s="131" t="s">
        <v>193</v>
      </c>
      <c r="G186" s="131" t="s">
        <v>193</v>
      </c>
      <c r="H186" s="131" t="s">
        <v>193</v>
      </c>
      <c r="I186" s="131" t="s">
        <v>193</v>
      </c>
      <c r="J186" s="131" t="s">
        <v>193</v>
      </c>
      <c r="K186" s="131" t="s">
        <v>193</v>
      </c>
      <c r="L186" s="131" t="s">
        <v>193</v>
      </c>
      <c r="M186" s="131" t="s">
        <v>193</v>
      </c>
      <c r="N186" s="131" t="s">
        <v>193</v>
      </c>
      <c r="O186" s="131" t="s">
        <v>193</v>
      </c>
      <c r="P186" s="131" t="s">
        <v>193</v>
      </c>
      <c r="Q186" s="131" t="s">
        <v>193</v>
      </c>
      <c r="R186" s="131" t="s">
        <v>193</v>
      </c>
      <c r="S186" s="131" t="s">
        <v>193</v>
      </c>
      <c r="T186" s="131" t="s">
        <v>193</v>
      </c>
      <c r="U186" s="131">
        <f t="shared" si="45"/>
        <v>22.506249999999955</v>
      </c>
      <c r="V186" s="16">
        <v>169</v>
      </c>
    </row>
    <row r="187" spans="2:22" ht="13" x14ac:dyDescent="0.3">
      <c r="B187" s="16">
        <v>170</v>
      </c>
      <c r="C187" s="130">
        <v>0</v>
      </c>
      <c r="D187" s="131" t="s">
        <v>193</v>
      </c>
      <c r="E187" s="131" t="s">
        <v>193</v>
      </c>
      <c r="F187" s="131" t="s">
        <v>193</v>
      </c>
      <c r="G187" s="131" t="s">
        <v>193</v>
      </c>
      <c r="H187" s="131" t="s">
        <v>193</v>
      </c>
      <c r="I187" s="131" t="s">
        <v>193</v>
      </c>
      <c r="J187" s="131" t="s">
        <v>193</v>
      </c>
      <c r="K187" s="131" t="s">
        <v>193</v>
      </c>
      <c r="L187" s="131" t="s">
        <v>193</v>
      </c>
      <c r="M187" s="131" t="s">
        <v>193</v>
      </c>
      <c r="N187" s="131" t="s">
        <v>193</v>
      </c>
      <c r="O187" s="131" t="s">
        <v>193</v>
      </c>
      <c r="P187" s="131" t="s">
        <v>193</v>
      </c>
      <c r="Q187" s="131" t="s">
        <v>193</v>
      </c>
      <c r="R187" s="131" t="s">
        <v>193</v>
      </c>
      <c r="S187" s="131" t="s">
        <v>193</v>
      </c>
      <c r="T187" s="131" t="s">
        <v>193</v>
      </c>
      <c r="U187" s="132">
        <f t="shared" si="45"/>
        <v>22.687499999999954</v>
      </c>
      <c r="V187" s="16">
        <v>170</v>
      </c>
    </row>
    <row r="188" spans="2:22" x14ac:dyDescent="0.25">
      <c r="B188" s="16">
        <v>171</v>
      </c>
      <c r="C188" s="130">
        <v>0</v>
      </c>
      <c r="D188" s="131" t="s">
        <v>193</v>
      </c>
      <c r="E188" s="131" t="s">
        <v>193</v>
      </c>
      <c r="F188" s="131" t="s">
        <v>193</v>
      </c>
      <c r="G188" s="131" t="s">
        <v>193</v>
      </c>
      <c r="H188" s="131" t="s">
        <v>193</v>
      </c>
      <c r="I188" s="131" t="s">
        <v>193</v>
      </c>
      <c r="J188" s="131" t="s">
        <v>193</v>
      </c>
      <c r="K188" s="131" t="s">
        <v>193</v>
      </c>
      <c r="L188" s="131" t="s">
        <v>193</v>
      </c>
      <c r="M188" s="131" t="s">
        <v>193</v>
      </c>
      <c r="N188" s="131" t="s">
        <v>193</v>
      </c>
      <c r="O188" s="131" t="s">
        <v>193</v>
      </c>
      <c r="P188" s="131" t="s">
        <v>193</v>
      </c>
      <c r="Q188" s="131" t="s">
        <v>193</v>
      </c>
      <c r="R188" s="131" t="s">
        <v>193</v>
      </c>
      <c r="S188" s="131" t="s">
        <v>193</v>
      </c>
      <c r="T188" s="131" t="s">
        <v>193</v>
      </c>
      <c r="U188" s="131">
        <f t="shared" si="45"/>
        <v>22.868749999999952</v>
      </c>
      <c r="V188" s="16">
        <v>171</v>
      </c>
    </row>
    <row r="189" spans="2:22" x14ac:dyDescent="0.25">
      <c r="B189" s="16">
        <v>172</v>
      </c>
      <c r="C189" s="130">
        <v>0</v>
      </c>
      <c r="D189" s="131" t="s">
        <v>193</v>
      </c>
      <c r="E189" s="131" t="s">
        <v>193</v>
      </c>
      <c r="F189" s="131" t="s">
        <v>193</v>
      </c>
      <c r="G189" s="131" t="s">
        <v>193</v>
      </c>
      <c r="H189" s="131" t="s">
        <v>193</v>
      </c>
      <c r="I189" s="131" t="s">
        <v>193</v>
      </c>
      <c r="J189" s="131" t="s">
        <v>193</v>
      </c>
      <c r="K189" s="131" t="s">
        <v>193</v>
      </c>
      <c r="L189" s="131" t="s">
        <v>193</v>
      </c>
      <c r="M189" s="131" t="s">
        <v>193</v>
      </c>
      <c r="N189" s="131" t="s">
        <v>193</v>
      </c>
      <c r="O189" s="131" t="s">
        <v>193</v>
      </c>
      <c r="P189" s="131" t="s">
        <v>193</v>
      </c>
      <c r="Q189" s="131" t="s">
        <v>193</v>
      </c>
      <c r="R189" s="131" t="s">
        <v>193</v>
      </c>
      <c r="S189" s="131" t="s">
        <v>193</v>
      </c>
      <c r="T189" s="131" t="s">
        <v>193</v>
      </c>
      <c r="U189" s="131">
        <f t="shared" si="45"/>
        <v>23.049999999999951</v>
      </c>
      <c r="V189" s="16">
        <v>172</v>
      </c>
    </row>
    <row r="190" spans="2:22" x14ac:dyDescent="0.25">
      <c r="B190" s="16">
        <v>173</v>
      </c>
      <c r="C190" s="130">
        <v>0</v>
      </c>
      <c r="D190" s="131" t="s">
        <v>193</v>
      </c>
      <c r="E190" s="131" t="s">
        <v>193</v>
      </c>
      <c r="F190" s="131" t="s">
        <v>193</v>
      </c>
      <c r="G190" s="131" t="s">
        <v>193</v>
      </c>
      <c r="H190" s="131" t="s">
        <v>193</v>
      </c>
      <c r="I190" s="131" t="s">
        <v>193</v>
      </c>
      <c r="J190" s="131" t="s">
        <v>193</v>
      </c>
      <c r="K190" s="131" t="s">
        <v>193</v>
      </c>
      <c r="L190" s="131" t="s">
        <v>193</v>
      </c>
      <c r="M190" s="131" t="s">
        <v>193</v>
      </c>
      <c r="N190" s="131" t="s">
        <v>193</v>
      </c>
      <c r="O190" s="131" t="s">
        <v>193</v>
      </c>
      <c r="P190" s="131" t="s">
        <v>193</v>
      </c>
      <c r="Q190" s="131" t="s">
        <v>193</v>
      </c>
      <c r="R190" s="131" t="s">
        <v>193</v>
      </c>
      <c r="S190" s="131" t="s">
        <v>193</v>
      </c>
      <c r="T190" s="131" t="s">
        <v>193</v>
      </c>
      <c r="U190" s="131">
        <f t="shared" si="45"/>
        <v>23.23124999999995</v>
      </c>
      <c r="V190" s="16">
        <v>173</v>
      </c>
    </row>
    <row r="191" spans="2:22" x14ac:dyDescent="0.25">
      <c r="B191" s="16">
        <v>174</v>
      </c>
      <c r="C191" s="130">
        <v>0</v>
      </c>
      <c r="D191" s="131" t="s">
        <v>193</v>
      </c>
      <c r="E191" s="131" t="s">
        <v>193</v>
      </c>
      <c r="F191" s="131" t="s">
        <v>193</v>
      </c>
      <c r="G191" s="131" t="s">
        <v>193</v>
      </c>
      <c r="H191" s="131" t="s">
        <v>193</v>
      </c>
      <c r="I191" s="131" t="s">
        <v>193</v>
      </c>
      <c r="J191" s="131" t="s">
        <v>193</v>
      </c>
      <c r="K191" s="131" t="s">
        <v>193</v>
      </c>
      <c r="L191" s="131" t="s">
        <v>193</v>
      </c>
      <c r="M191" s="131" t="s">
        <v>193</v>
      </c>
      <c r="N191" s="131" t="s">
        <v>193</v>
      </c>
      <c r="O191" s="131" t="s">
        <v>193</v>
      </c>
      <c r="P191" s="131" t="s">
        <v>193</v>
      </c>
      <c r="Q191" s="131" t="s">
        <v>193</v>
      </c>
      <c r="R191" s="131" t="s">
        <v>193</v>
      </c>
      <c r="S191" s="131" t="s">
        <v>193</v>
      </c>
      <c r="T191" s="131" t="s">
        <v>193</v>
      </c>
      <c r="U191" s="131">
        <f t="shared" si="45"/>
        <v>23.412499999999948</v>
      </c>
      <c r="V191" s="16">
        <v>174</v>
      </c>
    </row>
    <row r="192" spans="2:22" x14ac:dyDescent="0.25">
      <c r="B192" s="16">
        <v>175</v>
      </c>
      <c r="C192" s="130">
        <v>0</v>
      </c>
      <c r="D192" s="131" t="s">
        <v>193</v>
      </c>
      <c r="E192" s="131" t="s">
        <v>193</v>
      </c>
      <c r="F192" s="131" t="s">
        <v>193</v>
      </c>
      <c r="G192" s="131" t="s">
        <v>193</v>
      </c>
      <c r="H192" s="131" t="s">
        <v>193</v>
      </c>
      <c r="I192" s="131" t="s">
        <v>193</v>
      </c>
      <c r="J192" s="131" t="s">
        <v>193</v>
      </c>
      <c r="K192" s="131" t="s">
        <v>193</v>
      </c>
      <c r="L192" s="131" t="s">
        <v>193</v>
      </c>
      <c r="M192" s="131" t="s">
        <v>193</v>
      </c>
      <c r="N192" s="131" t="s">
        <v>193</v>
      </c>
      <c r="O192" s="131" t="s">
        <v>193</v>
      </c>
      <c r="P192" s="131" t="s">
        <v>193</v>
      </c>
      <c r="Q192" s="131" t="s">
        <v>193</v>
      </c>
      <c r="R192" s="131" t="s">
        <v>193</v>
      </c>
      <c r="S192" s="131" t="s">
        <v>193</v>
      </c>
      <c r="T192" s="131" t="s">
        <v>193</v>
      </c>
      <c r="U192" s="131">
        <f t="shared" si="45"/>
        <v>23.593749999999947</v>
      </c>
      <c r="V192" s="16">
        <v>175</v>
      </c>
    </row>
    <row r="193" spans="2:22" x14ac:dyDescent="0.25">
      <c r="B193" s="16">
        <v>176</v>
      </c>
      <c r="C193" s="130">
        <v>0</v>
      </c>
      <c r="D193" s="131" t="s">
        <v>193</v>
      </c>
      <c r="E193" s="131" t="s">
        <v>193</v>
      </c>
      <c r="F193" s="131" t="s">
        <v>193</v>
      </c>
      <c r="G193" s="131" t="s">
        <v>193</v>
      </c>
      <c r="H193" s="131" t="s">
        <v>193</v>
      </c>
      <c r="I193" s="131" t="s">
        <v>193</v>
      </c>
      <c r="J193" s="131" t="s">
        <v>193</v>
      </c>
      <c r="K193" s="131" t="s">
        <v>193</v>
      </c>
      <c r="L193" s="131" t="s">
        <v>193</v>
      </c>
      <c r="M193" s="131" t="s">
        <v>193</v>
      </c>
      <c r="N193" s="131" t="s">
        <v>193</v>
      </c>
      <c r="O193" s="131" t="s">
        <v>193</v>
      </c>
      <c r="P193" s="131" t="s">
        <v>193</v>
      </c>
      <c r="Q193" s="131" t="s">
        <v>193</v>
      </c>
      <c r="R193" s="131" t="s">
        <v>193</v>
      </c>
      <c r="S193" s="131" t="s">
        <v>193</v>
      </c>
      <c r="T193" s="131" t="s">
        <v>193</v>
      </c>
      <c r="U193" s="131">
        <f t="shared" si="45"/>
        <v>23.774999999999945</v>
      </c>
      <c r="V193" s="16">
        <v>176</v>
      </c>
    </row>
    <row r="194" spans="2:22" x14ac:dyDescent="0.25">
      <c r="B194" s="16">
        <v>177</v>
      </c>
      <c r="C194" s="130">
        <v>0</v>
      </c>
      <c r="D194" s="131" t="s">
        <v>193</v>
      </c>
      <c r="E194" s="131" t="s">
        <v>193</v>
      </c>
      <c r="F194" s="131" t="s">
        <v>193</v>
      </c>
      <c r="G194" s="131" t="s">
        <v>193</v>
      </c>
      <c r="H194" s="131" t="s">
        <v>193</v>
      </c>
      <c r="I194" s="131" t="s">
        <v>193</v>
      </c>
      <c r="J194" s="131" t="s">
        <v>193</v>
      </c>
      <c r="K194" s="131" t="s">
        <v>193</v>
      </c>
      <c r="L194" s="131" t="s">
        <v>193</v>
      </c>
      <c r="M194" s="131" t="s">
        <v>193</v>
      </c>
      <c r="N194" s="131" t="s">
        <v>193</v>
      </c>
      <c r="O194" s="131" t="s">
        <v>193</v>
      </c>
      <c r="P194" s="131" t="s">
        <v>193</v>
      </c>
      <c r="Q194" s="131" t="s">
        <v>193</v>
      </c>
      <c r="R194" s="131" t="s">
        <v>193</v>
      </c>
      <c r="S194" s="131" t="s">
        <v>193</v>
      </c>
      <c r="T194" s="131" t="s">
        <v>193</v>
      </c>
      <c r="U194" s="131">
        <f t="shared" si="45"/>
        <v>23.956249999999944</v>
      </c>
      <c r="V194" s="16">
        <v>177</v>
      </c>
    </row>
    <row r="195" spans="2:22" x14ac:dyDescent="0.25">
      <c r="B195" s="16">
        <v>178</v>
      </c>
      <c r="C195" s="130">
        <v>0</v>
      </c>
      <c r="D195" s="131" t="s">
        <v>193</v>
      </c>
      <c r="E195" s="131" t="s">
        <v>193</v>
      </c>
      <c r="F195" s="131" t="s">
        <v>193</v>
      </c>
      <c r="G195" s="131" t="s">
        <v>193</v>
      </c>
      <c r="H195" s="131" t="s">
        <v>193</v>
      </c>
      <c r="I195" s="131" t="s">
        <v>193</v>
      </c>
      <c r="J195" s="131" t="s">
        <v>193</v>
      </c>
      <c r="K195" s="131" t="s">
        <v>193</v>
      </c>
      <c r="L195" s="131" t="s">
        <v>193</v>
      </c>
      <c r="M195" s="131" t="s">
        <v>193</v>
      </c>
      <c r="N195" s="131" t="s">
        <v>193</v>
      </c>
      <c r="O195" s="131" t="s">
        <v>193</v>
      </c>
      <c r="P195" s="131" t="s">
        <v>193</v>
      </c>
      <c r="Q195" s="131" t="s">
        <v>193</v>
      </c>
      <c r="R195" s="131" t="s">
        <v>193</v>
      </c>
      <c r="S195" s="131" t="s">
        <v>193</v>
      </c>
      <c r="T195" s="131" t="s">
        <v>193</v>
      </c>
      <c r="U195" s="131">
        <f t="shared" si="45"/>
        <v>24.137499999999942</v>
      </c>
      <c r="V195" s="16">
        <v>178</v>
      </c>
    </row>
    <row r="196" spans="2:22" x14ac:dyDescent="0.25">
      <c r="B196" s="16">
        <v>179</v>
      </c>
      <c r="C196" s="130">
        <v>0</v>
      </c>
      <c r="D196" s="131" t="s">
        <v>193</v>
      </c>
      <c r="E196" s="131" t="s">
        <v>193</v>
      </c>
      <c r="F196" s="131" t="s">
        <v>193</v>
      </c>
      <c r="G196" s="131" t="s">
        <v>193</v>
      </c>
      <c r="H196" s="131" t="s">
        <v>193</v>
      </c>
      <c r="I196" s="131" t="s">
        <v>193</v>
      </c>
      <c r="J196" s="131" t="s">
        <v>193</v>
      </c>
      <c r="K196" s="131" t="s">
        <v>193</v>
      </c>
      <c r="L196" s="131" t="s">
        <v>193</v>
      </c>
      <c r="M196" s="131" t="s">
        <v>193</v>
      </c>
      <c r="N196" s="131" t="s">
        <v>193</v>
      </c>
      <c r="O196" s="131" t="s">
        <v>193</v>
      </c>
      <c r="P196" s="131" t="s">
        <v>193</v>
      </c>
      <c r="Q196" s="131" t="s">
        <v>193</v>
      </c>
      <c r="R196" s="131" t="s">
        <v>193</v>
      </c>
      <c r="S196" s="131" t="s">
        <v>193</v>
      </c>
      <c r="T196" s="131" t="s">
        <v>193</v>
      </c>
      <c r="U196" s="131">
        <f t="shared" si="45"/>
        <v>24.318749999999941</v>
      </c>
      <c r="V196" s="16">
        <v>179</v>
      </c>
    </row>
    <row r="197" spans="2:22" ht="13" x14ac:dyDescent="0.3">
      <c r="B197" s="16">
        <v>180</v>
      </c>
      <c r="C197" s="130">
        <v>0</v>
      </c>
      <c r="D197" s="131" t="s">
        <v>193</v>
      </c>
      <c r="E197" s="131" t="s">
        <v>193</v>
      </c>
      <c r="F197" s="131" t="s">
        <v>193</v>
      </c>
      <c r="G197" s="131" t="s">
        <v>193</v>
      </c>
      <c r="H197" s="131" t="s">
        <v>193</v>
      </c>
      <c r="I197" s="131" t="s">
        <v>193</v>
      </c>
      <c r="J197" s="131" t="s">
        <v>193</v>
      </c>
      <c r="K197" s="131" t="s">
        <v>193</v>
      </c>
      <c r="L197" s="131" t="s">
        <v>193</v>
      </c>
      <c r="M197" s="131" t="s">
        <v>193</v>
      </c>
      <c r="N197" s="131" t="s">
        <v>193</v>
      </c>
      <c r="O197" s="131" t="s">
        <v>193</v>
      </c>
      <c r="P197" s="131" t="s">
        <v>193</v>
      </c>
      <c r="Q197" s="131" t="s">
        <v>193</v>
      </c>
      <c r="R197" s="131" t="s">
        <v>193</v>
      </c>
      <c r="S197" s="131" t="s">
        <v>193</v>
      </c>
      <c r="T197" s="131" t="s">
        <v>193</v>
      </c>
      <c r="U197" s="132">
        <f t="shared" si="45"/>
        <v>24.49999999999994</v>
      </c>
      <c r="V197" s="16">
        <v>180</v>
      </c>
    </row>
  </sheetData>
  <sheetProtection algorithmName="SHA-512" hashValue="Pd1nimqmqpzIOOOPt87is5orUQ2SqM4T4mpxZZmNu5NFbVErWAFF7MTy6yFos7jNI9DNYL/aE/wTpCgYDnB7hw==" saltValue="++yowyOj0YXlAQnZmwNxlg==" spinCount="100000" sheet="1" objects="1" scenarios="1"/>
  <pageMargins left="0.7" right="0.7" top="0.75" bottom="0.75" header="0.3" footer="0.3"/>
  <ignoredErrors>
    <ignoredError sqref="C8:M8 D9:M9" calculatedColumn="1"/>
  </ignoredErrors>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0A67C-DBC7-4993-A4DB-A19EE189E0F1}">
  <dimension ref="A1:G36"/>
  <sheetViews>
    <sheetView zoomScale="118" zoomScaleNormal="118" workbookViewId="0">
      <selection activeCell="F9" sqref="F9"/>
    </sheetView>
  </sheetViews>
  <sheetFormatPr defaultColWidth="9.1796875" defaultRowHeight="12.5" x14ac:dyDescent="0.25"/>
  <cols>
    <col min="1" max="1" width="13.81640625" style="1" bestFit="1" customWidth="1"/>
    <col min="2" max="2" width="15.81640625" style="1" bestFit="1" customWidth="1"/>
    <col min="3" max="3" width="14.81640625" style="1" bestFit="1" customWidth="1"/>
    <col min="4" max="4" width="18.1796875" style="1" bestFit="1" customWidth="1"/>
    <col min="5" max="5" width="17.7265625" style="1" bestFit="1" customWidth="1"/>
    <col min="6" max="6" width="17.81640625" style="1" bestFit="1" customWidth="1"/>
    <col min="7" max="7" width="15.453125" style="1" bestFit="1" customWidth="1"/>
    <col min="8" max="16384" width="9.1796875" style="1"/>
  </cols>
  <sheetData>
    <row r="1" spans="1:7" x14ac:dyDescent="0.25">
      <c r="A1" s="1">
        <f>'[1]Required Inputs'!A35</f>
        <v>150</v>
      </c>
      <c r="B1" s="16" t="s">
        <v>200</v>
      </c>
    </row>
    <row r="3" spans="1:7" ht="31" x14ac:dyDescent="0.25">
      <c r="B3" s="133" t="s">
        <v>201</v>
      </c>
      <c r="C3" s="133" t="s">
        <v>202</v>
      </c>
      <c r="D3" s="134" t="s">
        <v>203</v>
      </c>
      <c r="E3" s="134" t="s">
        <v>204</v>
      </c>
      <c r="F3" s="133" t="s">
        <v>205</v>
      </c>
      <c r="G3" s="133" t="s">
        <v>206</v>
      </c>
    </row>
    <row r="4" spans="1:7" x14ac:dyDescent="0.25">
      <c r="B4" s="135">
        <v>0.5</v>
      </c>
      <c r="C4" s="55">
        <v>0.622</v>
      </c>
      <c r="D4" s="2">
        <f>0.4085*1/C4^2</f>
        <v>1.055872044333702</v>
      </c>
      <c r="E4" s="2">
        <f t="shared" ref="E4:E13" si="0">(0.2083*(100/$A$1)^1.852*1^1.852/C4^4.866)*0.433</f>
        <v>0.42901466964891172</v>
      </c>
      <c r="F4" s="2">
        <f>(C4/2)^2*16.32</f>
        <v>1.5784867200000001</v>
      </c>
      <c r="G4" s="2">
        <f>0.04079905*Table5[[#This Row],[ID  Inches]]^2</f>
        <v>1.5784499660200003E-2</v>
      </c>
    </row>
    <row r="5" spans="1:7" x14ac:dyDescent="0.25">
      <c r="B5" s="135">
        <v>0.75</v>
      </c>
      <c r="C5" s="55">
        <v>0.82399999999999995</v>
      </c>
      <c r="D5" s="2">
        <f t="shared" ref="D5:D13" si="1">0.4085*1/C5^2</f>
        <v>0.60164129512677922</v>
      </c>
      <c r="E5" s="2">
        <f t="shared" si="0"/>
        <v>0.10918282885823229</v>
      </c>
      <c r="F5" s="2">
        <f t="shared" ref="F5:F13" si="2">(C5/2)^2*16.32</f>
        <v>2.7702220799999995</v>
      </c>
      <c r="G5" s="2">
        <f>0.04079905*Table5[[#This Row],[ID  Inches]]^2</f>
        <v>2.77015757728E-2</v>
      </c>
    </row>
    <row r="6" spans="1:7" x14ac:dyDescent="0.25">
      <c r="B6" s="135">
        <v>1</v>
      </c>
      <c r="C6" s="55">
        <v>1.0489999999999999</v>
      </c>
      <c r="D6" s="2">
        <f t="shared" si="1"/>
        <v>0.37122830677180407</v>
      </c>
      <c r="E6" s="2">
        <f t="shared" si="0"/>
        <v>3.3725828635043031E-2</v>
      </c>
      <c r="F6" s="2">
        <f t="shared" si="2"/>
        <v>4.4896360800000004</v>
      </c>
      <c r="G6" s="2">
        <f>0.04079905*Table5[[#This Row],[ID  Inches]]^2</f>
        <v>4.4895315419050001E-2</v>
      </c>
    </row>
    <row r="7" spans="1:7" x14ac:dyDescent="0.25">
      <c r="B7" s="135">
        <v>1.25</v>
      </c>
      <c r="C7" s="55">
        <v>1.38</v>
      </c>
      <c r="D7" s="2">
        <f t="shared" si="1"/>
        <v>0.21450325561856756</v>
      </c>
      <c r="E7" s="2">
        <f t="shared" si="0"/>
        <v>8.8798273132956931E-3</v>
      </c>
      <c r="F7" s="2">
        <f t="shared" si="2"/>
        <v>7.7699519999999991</v>
      </c>
      <c r="G7" s="2">
        <f>0.04079905*Table5[[#This Row],[ID  Inches]]^2</f>
        <v>7.7697710819999988E-2</v>
      </c>
    </row>
    <row r="8" spans="1:7" x14ac:dyDescent="0.25">
      <c r="B8" s="135">
        <v>1.5</v>
      </c>
      <c r="C8" s="55">
        <v>1.61</v>
      </c>
      <c r="D8" s="2">
        <f t="shared" si="1"/>
        <v>0.15759422861772304</v>
      </c>
      <c r="E8" s="55">
        <f t="shared" si="0"/>
        <v>4.1941256943644452E-3</v>
      </c>
      <c r="F8" s="2">
        <f t="shared" si="2"/>
        <v>10.575768000000002</v>
      </c>
      <c r="G8" s="2">
        <f>0.04079905*Table5[[#This Row],[ID  Inches]]^2</f>
        <v>0.10575521750500003</v>
      </c>
    </row>
    <row r="9" spans="1:7" x14ac:dyDescent="0.25">
      <c r="B9" s="135">
        <v>2</v>
      </c>
      <c r="C9" s="55">
        <v>2.0670000000000002</v>
      </c>
      <c r="D9" s="2">
        <f t="shared" si="1"/>
        <v>9.5611714857545535E-2</v>
      </c>
      <c r="E9" s="55">
        <f t="shared" si="0"/>
        <v>1.2433957977297158E-3</v>
      </c>
      <c r="F9" s="2">
        <f t="shared" si="2"/>
        <v>17.431755120000005</v>
      </c>
      <c r="G9" s="2">
        <f>0.04079905*Table5[[#This Row],[ID  Inches]]^2</f>
        <v>0.17431349233545007</v>
      </c>
    </row>
    <row r="10" spans="1:7" x14ac:dyDescent="0.25">
      <c r="B10" s="135">
        <v>2.5</v>
      </c>
      <c r="C10" s="55">
        <v>2.4689999999999999</v>
      </c>
      <c r="D10" s="2">
        <f t="shared" si="1"/>
        <v>6.7011583571482833E-2</v>
      </c>
      <c r="E10" s="55">
        <f t="shared" si="0"/>
        <v>5.2365895041088387E-4</v>
      </c>
      <c r="F10" s="2">
        <f t="shared" si="2"/>
        <v>24.871520879999995</v>
      </c>
      <c r="G10" s="2">
        <f>0.04079905*Table5[[#This Row],[ID  Inches]]^2</f>
        <v>0.24870941763704998</v>
      </c>
    </row>
    <row r="11" spans="1:7" x14ac:dyDescent="0.25">
      <c r="B11" s="135">
        <v>2</v>
      </c>
      <c r="C11" s="55">
        <v>3.0680000000000001</v>
      </c>
      <c r="D11" s="2">
        <f t="shared" si="1"/>
        <v>4.3399162656449462E-2</v>
      </c>
      <c r="E11" s="18">
        <f t="shared" si="0"/>
        <v>1.8197762626639131E-4</v>
      </c>
      <c r="F11" s="2">
        <f t="shared" si="2"/>
        <v>38.403505920000008</v>
      </c>
      <c r="G11" s="2">
        <f>0.04079905*Table5[[#This Row],[ID  Inches]]^2</f>
        <v>0.38402611720720009</v>
      </c>
    </row>
    <row r="12" spans="1:7" x14ac:dyDescent="0.25">
      <c r="B12" s="135">
        <v>4</v>
      </c>
      <c r="C12" s="55">
        <v>4.0259999999999998</v>
      </c>
      <c r="D12" s="2">
        <f t="shared" si="1"/>
        <v>2.5202552015969722E-2</v>
      </c>
      <c r="E12" s="21">
        <f t="shared" si="0"/>
        <v>4.8499849061872579E-5</v>
      </c>
      <c r="F12" s="2">
        <f t="shared" si="2"/>
        <v>66.131398079999983</v>
      </c>
      <c r="G12" s="2">
        <f>0.04079905*Table5[[#This Row],[ID  Inches]]^2</f>
        <v>0.66129858255779994</v>
      </c>
    </row>
    <row r="13" spans="1:7" x14ac:dyDescent="0.25">
      <c r="B13" s="135">
        <v>6</v>
      </c>
      <c r="C13" s="55">
        <v>6.0650000000000004</v>
      </c>
      <c r="D13" s="2">
        <f t="shared" si="1"/>
        <v>1.1105303972015175E-2</v>
      </c>
      <c r="E13" s="21">
        <f t="shared" si="0"/>
        <v>6.6039147210924121E-6</v>
      </c>
      <c r="F13" s="2">
        <f t="shared" si="2"/>
        <v>150.07963800000002</v>
      </c>
      <c r="G13" s="2">
        <f>0.04079905*Table5[[#This Row],[ID  Inches]]^2</f>
        <v>1.5007614349862504</v>
      </c>
    </row>
    <row r="16" spans="1:7" x14ac:dyDescent="0.25">
      <c r="A16" s="16"/>
    </row>
    <row r="17" spans="1:6" ht="14" x14ac:dyDescent="0.3">
      <c r="A17" s="12"/>
    </row>
    <row r="18" spans="1:6" ht="14" x14ac:dyDescent="0.3">
      <c r="A18" s="121" t="s">
        <v>207</v>
      </c>
      <c r="B18" s="12" t="s">
        <v>208</v>
      </c>
    </row>
    <row r="19" spans="1:6" ht="14" x14ac:dyDescent="0.3">
      <c r="A19" s="121" t="s">
        <v>209</v>
      </c>
      <c r="B19" s="12" t="s">
        <v>210</v>
      </c>
      <c r="E19" s="12"/>
    </row>
    <row r="20" spans="1:6" ht="14" x14ac:dyDescent="0.3">
      <c r="A20" s="121" t="s">
        <v>211</v>
      </c>
      <c r="B20" s="12" t="s">
        <v>212</v>
      </c>
      <c r="E20" s="12"/>
    </row>
    <row r="21" spans="1:6" ht="14" x14ac:dyDescent="0.3">
      <c r="A21" s="121"/>
      <c r="B21" s="12"/>
      <c r="E21" s="12"/>
    </row>
    <row r="22" spans="1:6" ht="14" x14ac:dyDescent="0.3">
      <c r="A22" s="121"/>
      <c r="B22" s="12"/>
      <c r="E22" s="12"/>
    </row>
    <row r="23" spans="1:6" ht="14" x14ac:dyDescent="0.3">
      <c r="A23" s="121"/>
      <c r="B23" s="12"/>
      <c r="E23" s="12"/>
    </row>
    <row r="24" spans="1:6" ht="14" x14ac:dyDescent="0.3">
      <c r="A24" s="121"/>
      <c r="B24" s="12"/>
      <c r="E24" s="12"/>
    </row>
    <row r="25" spans="1:6" ht="14" x14ac:dyDescent="0.3">
      <c r="A25" s="121"/>
      <c r="B25" s="12"/>
      <c r="E25" s="12"/>
    </row>
    <row r="26" spans="1:6" ht="14" x14ac:dyDescent="0.3">
      <c r="A26" s="121"/>
      <c r="B26" s="12"/>
      <c r="E26" s="12"/>
    </row>
    <row r="27" spans="1:6" ht="14" x14ac:dyDescent="0.3">
      <c r="A27" s="12"/>
      <c r="B27" s="12"/>
      <c r="E27" s="12"/>
    </row>
    <row r="28" spans="1:6" ht="14" x14ac:dyDescent="0.3">
      <c r="A28" s="121" t="s">
        <v>32</v>
      </c>
      <c r="B28" s="12" t="s">
        <v>33</v>
      </c>
    </row>
    <row r="29" spans="1:6" ht="14" x14ac:dyDescent="0.3">
      <c r="A29" s="121" t="s">
        <v>34</v>
      </c>
      <c r="B29" s="12" t="s">
        <v>35</v>
      </c>
      <c r="E29" s="121"/>
      <c r="F29" s="12"/>
    </row>
    <row r="30" spans="1:6" ht="14" x14ac:dyDescent="0.3">
      <c r="A30" s="121" t="s">
        <v>45</v>
      </c>
      <c r="B30" s="12" t="s">
        <v>36</v>
      </c>
      <c r="E30" s="121"/>
      <c r="F30" s="12"/>
    </row>
    <row r="31" spans="1:6" ht="14" x14ac:dyDescent="0.3">
      <c r="A31" s="121" t="s">
        <v>37</v>
      </c>
      <c r="B31" s="12" t="s">
        <v>38</v>
      </c>
      <c r="E31" s="121"/>
      <c r="F31" s="12"/>
    </row>
    <row r="32" spans="1:6" ht="14" x14ac:dyDescent="0.3">
      <c r="A32" s="121" t="s">
        <v>39</v>
      </c>
      <c r="B32" s="12" t="s">
        <v>40</v>
      </c>
      <c r="E32" s="121"/>
      <c r="F32" s="12"/>
    </row>
    <row r="33" spans="1:6" ht="14" x14ac:dyDescent="0.3">
      <c r="A33" s="121" t="s">
        <v>41</v>
      </c>
      <c r="B33" s="12" t="s">
        <v>42</v>
      </c>
      <c r="E33" s="121"/>
      <c r="F33" s="12"/>
    </row>
    <row r="34" spans="1:6" ht="14" x14ac:dyDescent="0.3">
      <c r="A34" s="121" t="s">
        <v>43</v>
      </c>
      <c r="B34" s="12" t="s">
        <v>42</v>
      </c>
      <c r="E34" s="121"/>
      <c r="F34" s="12"/>
    </row>
    <row r="35" spans="1:6" ht="14" x14ac:dyDescent="0.3">
      <c r="A35" s="121" t="s">
        <v>44</v>
      </c>
      <c r="B35" s="12" t="s">
        <v>42</v>
      </c>
      <c r="E35" s="121"/>
      <c r="F35" s="12"/>
    </row>
    <row r="36" spans="1:6" ht="14" x14ac:dyDescent="0.3">
      <c r="E36" s="121"/>
      <c r="F36" s="12"/>
    </row>
  </sheetData>
  <sheetProtection algorithmName="SHA-512" hashValue="vqSkN+ZaC6zCbPw0CS6ZpUZL6oXRsiHLysdxP1OwR1iF6BkYtqizzv69u/bgED1l2m6j4Y3Z3bCPr6NzIRlzQw==" saltValue="xK2OYcyHCr6xDOuBiG+hjQ==" spinCount="100000" sheet="1" objects="1" scenarios="1"/>
  <pageMargins left="0.25" right="0.25" top="0.25" bottom="0.25" header="0.3" footer="0.3"/>
  <pageSetup orientation="landscape" horizontalDpi="1200" verticalDpi="120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 Page</vt:lpstr>
      <vt:lpstr>Step 1 - Design Inputs</vt:lpstr>
      <vt:lpstr>System Layout</vt:lpstr>
      <vt:lpstr>Step 3 - Zone TDH</vt:lpstr>
      <vt:lpstr>Pump Data</vt:lpstr>
      <vt:lpstr>Pipe Data .5" to 24"</vt:lpstr>
      <vt:lpstr>Drip Tube Data</vt:lpstr>
      <vt:lpstr>Drip Tube Loss Calculator</vt:lpstr>
      <vt:lpstr>Headworks Data</vt:lpstr>
      <vt:lpstr>Zone Valves Data</vt:lpstr>
      <vt:lpstr>Pipe Data</vt:lpstr>
    </vt:vector>
  </TitlesOfParts>
  <Company>your 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morgan</dc:creator>
  <cp:lastModifiedBy>Kolin Bishop</cp:lastModifiedBy>
  <cp:lastPrinted>2023-07-13T21:00:40Z</cp:lastPrinted>
  <dcterms:created xsi:type="dcterms:W3CDTF">2009-11-04T14:48:38Z</dcterms:created>
  <dcterms:modified xsi:type="dcterms:W3CDTF">2024-02-27T17:09:29Z</dcterms:modified>
</cp:coreProperties>
</file>